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C:\Users\odojak\Brodotehna\Projekti\Santa_Massenza\"/>
    </mc:Choice>
  </mc:AlternateContent>
  <xr:revisionPtr revIDLastSave="0" documentId="13_ncr:1_{FC388FCA-152E-465B-B8C6-2FB635D5647A}" xr6:coauthVersionLast="47" xr6:coauthVersionMax="47" xr10:uidLastSave="{00000000-0000-0000-0000-000000000000}"/>
  <bookViews>
    <workbookView xWindow="-120" yWindow="-120" windowWidth="29040" windowHeight="16440" firstSheet="1" activeTab="2" xr2:uid="{00000000-000D-0000-FFFF-FFFF00000000}"/>
  </bookViews>
  <sheets>
    <sheet name="DOCPROPERTIES" sheetId="7" state="hidden" r:id="rId1"/>
    <sheet name="Cover Sheet" sheetId="4" r:id="rId2"/>
    <sheet name="IO LIST" sheetId="9" r:id="rId3"/>
  </sheets>
  <definedNames>
    <definedName name="_xlnm._FilterDatabase" localSheetId="2" hidden="1">'IO LIST'!$A$1:$R$240</definedName>
    <definedName name="_xlnm.Print_Area" localSheetId="2">'IO LIST'!$A:$R</definedName>
    <definedName name="_xlnm.Print_Titles" localSheetId="2">'IO LIST'!$1:$1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4" l="1"/>
  <c r="B5" i="4"/>
  <c r="B4" i="4"/>
  <c r="F20" i="4"/>
  <c r="F17" i="4" l="1"/>
  <c r="F23" i="4"/>
  <c r="W45" i="4" l="1"/>
  <c r="AK45" i="4"/>
  <c r="AD45" i="4"/>
  <c r="I45" i="4"/>
  <c r="B45" i="4"/>
  <c r="B6" i="4"/>
  <c r="AA4" i="4"/>
  <c r="AG7" i="4"/>
  <c r="AG6" i="4"/>
  <c r="AL41" i="4" l="1"/>
  <c r="AF41" i="4"/>
  <c r="Z41" i="4"/>
  <c r="B41" i="4"/>
  <c r="AL40" i="4"/>
  <c r="AF40" i="4"/>
  <c r="Z40" i="4"/>
  <c r="B40" i="4"/>
  <c r="AL39" i="4"/>
  <c r="AF39" i="4"/>
  <c r="Z39" i="4"/>
  <c r="B39" i="4"/>
  <c r="AL38" i="4"/>
  <c r="AF38" i="4"/>
  <c r="Z38" i="4"/>
  <c r="B38" i="4"/>
  <c r="AL37" i="4"/>
  <c r="AF37" i="4"/>
  <c r="Z37" i="4"/>
  <c r="B37" i="4"/>
  <c r="AL36" i="4"/>
  <c r="AF36" i="4"/>
  <c r="Z36" i="4"/>
  <c r="B36" i="4"/>
  <c r="P45" i="4"/>
  <c r="C19" i="4" l="1"/>
</calcChain>
</file>

<file path=xl/sharedStrings.xml><?xml version="1.0" encoding="utf-8"?>
<sst xmlns="http://schemas.openxmlformats.org/spreadsheetml/2006/main" count="3355" uniqueCount="1103">
  <si>
    <t>Description</t>
  </si>
  <si>
    <t>Rev.</t>
  </si>
  <si>
    <t>Page</t>
  </si>
  <si>
    <t>Created by</t>
  </si>
  <si>
    <t>Doc. Rev.:</t>
  </si>
  <si>
    <t>Release Date</t>
  </si>
  <si>
    <t>Approved by</t>
  </si>
  <si>
    <t>Checked by</t>
  </si>
  <si>
    <t>SAP_PROPOSED_FILENAME</t>
  </si>
  <si>
    <t>SAP_V1_VERSION</t>
  </si>
  <si>
    <t>SAP_V1_USER</t>
  </si>
  <si>
    <t>SAP_V1_RELEASE_USER</t>
  </si>
  <si>
    <t>SAP_V1_RELEASE_DATE</t>
  </si>
  <si>
    <t>SAP_V2_VERSION</t>
  </si>
  <si>
    <t>SAP_V2_USER</t>
  </si>
  <si>
    <t>SAP_V2_RELEASE_USER</t>
  </si>
  <si>
    <t>SAP_V2_RELEASE_DATE</t>
  </si>
  <si>
    <t>SAP_V3_VERSION</t>
  </si>
  <si>
    <t>SAP_V3_USER</t>
  </si>
  <si>
    <t>SAP_V3_RELEASE_USER</t>
  </si>
  <si>
    <t>SAP_V3_RELEASE_DATE</t>
  </si>
  <si>
    <t>SAP_V4_VERSION</t>
  </si>
  <si>
    <t>SAP_V4_USER</t>
  </si>
  <si>
    <t>SAP_V4_RELEASE_USER</t>
  </si>
  <si>
    <t>SAP_V4_RELEASE_DATE</t>
  </si>
  <si>
    <t>SAP_V5_VERSION</t>
  </si>
  <si>
    <t>SAP_V5_USER</t>
  </si>
  <si>
    <t>SAP_V5_RELEASE_USER</t>
  </si>
  <si>
    <t>SAP_V5_RELEASE_DATE</t>
  </si>
  <si>
    <t>SAP_V6_VERSION</t>
  </si>
  <si>
    <t>SAP_V6_USER</t>
  </si>
  <si>
    <t>SAP_V6_RELEASE_USER</t>
  </si>
  <si>
    <t>SAP_V6_RELEASE_DATE</t>
  </si>
  <si>
    <t>SAP_DEPARTMENT_RELEASE_USER</t>
  </si>
  <si>
    <t>SAP_DESCRIPTION</t>
  </si>
  <si>
    <t>SAP_APPLICATION</t>
  </si>
  <si>
    <t>SAP_DTYPE</t>
  </si>
  <si>
    <t>SAP_DOCID</t>
  </si>
  <si>
    <t>SAP_DOCTYPE</t>
  </si>
  <si>
    <t>SAP_DOCPART</t>
  </si>
  <si>
    <t>SAP_DOCVERSION</t>
  </si>
  <si>
    <t>SAP_REVLEVEL</t>
  </si>
  <si>
    <t>SAP_DOCTEXT_EN</t>
  </si>
  <si>
    <t>SAP_DOCTEXT_DE</t>
  </si>
  <si>
    <t>SAP_DOCTEXT_EN_1</t>
  </si>
  <si>
    <t>SAP_DOCTEXT_DE_1</t>
  </si>
  <si>
    <t>SAP_DOCTEXT_EN_2</t>
  </si>
  <si>
    <t>SAP_DOCTEXT_DE_2</t>
  </si>
  <si>
    <t>SAP_USERNAME</t>
  </si>
  <si>
    <t>SAP_CREATION_USER</t>
  </si>
  <si>
    <t>SAP_CREATION_DATE</t>
  </si>
  <si>
    <t>SAP_REVIEW_DATE</t>
  </si>
  <si>
    <t>SAP_REVIEW_USER</t>
  </si>
  <si>
    <t>SAP_RELEASE_DATE</t>
  </si>
  <si>
    <t>SAP_RELEASE_USER</t>
  </si>
  <si>
    <t>SAP_LAST_CHANGE_DATE</t>
  </si>
  <si>
    <t>SAP_LAST_CHANGE_USER</t>
  </si>
  <si>
    <t>SAP_LABORATORY</t>
  </si>
  <si>
    <t>SAP_AUTHGROUP</t>
  </si>
  <si>
    <t>SAP_CHGNUMBER</t>
  </si>
  <si>
    <t>SAP_CC_NAME</t>
  </si>
  <si>
    <t>SAP_CONTENT_TYPE</t>
  </si>
  <si>
    <t>SAP_CONTENT_TYPE_KEY</t>
  </si>
  <si>
    <t>SAP_STDBEN_EN</t>
  </si>
  <si>
    <t>SAP_STRUCTURE_ELEMENT</t>
  </si>
  <si>
    <t>SAP_PROJECT_ASSIGNMENT</t>
  </si>
  <si>
    <t>SAP_POWER_HOUSE_NAME</t>
  </si>
  <si>
    <t>SAP_USER_DEFINED_DESCRIPTION</t>
  </si>
  <si>
    <t>SAP_DRAWING_ID</t>
  </si>
  <si>
    <t>SAP_DOCSTATUS</t>
  </si>
  <si>
    <t>MAT_NO</t>
  </si>
  <si>
    <t>MAT_DESC</t>
  </si>
  <si>
    <t>MAT_WRKST</t>
  </si>
  <si>
    <t>MAT_WEIGHT</t>
  </si>
  <si>
    <t>Title</t>
  </si>
  <si>
    <t>Subject</t>
  </si>
  <si>
    <t>Author</t>
  </si>
  <si>
    <t>Keywords</t>
  </si>
  <si>
    <t>Comments</t>
  </si>
  <si>
    <t>Template</t>
  </si>
  <si>
    <t>Last author</t>
  </si>
  <si>
    <t>Revision number</t>
  </si>
  <si>
    <t>Application name</t>
  </si>
  <si>
    <t>Last print date</t>
  </si>
  <si>
    <t>Creation date</t>
  </si>
  <si>
    <t>Last save time</t>
  </si>
  <si>
    <t>Total editing time</t>
  </si>
  <si>
    <t>Number of pages</t>
  </si>
  <si>
    <t>Number of words</t>
  </si>
  <si>
    <t>Number of characters</t>
  </si>
  <si>
    <t>Security</t>
  </si>
  <si>
    <t>Category</t>
  </si>
  <si>
    <t>Format</t>
  </si>
  <si>
    <t>Manager</t>
  </si>
  <si>
    <t>Company</t>
  </si>
  <si>
    <t>Number of bytes</t>
  </si>
  <si>
    <t>Number of lines</t>
  </si>
  <si>
    <t>Number of paragraphs</t>
  </si>
  <si>
    <t>Number of slides</t>
  </si>
  <si>
    <t>Number of notes</t>
  </si>
  <si>
    <t>Number of hidden Slides</t>
  </si>
  <si>
    <t>Number of multimedia clips</t>
  </si>
  <si>
    <t>Hyperlink base</t>
  </si>
  <si>
    <t>Number of characters (with spaces)</t>
  </si>
  <si>
    <t>Content type</t>
  </si>
  <si>
    <t>Content status</t>
  </si>
  <si>
    <t>Language</t>
  </si>
  <si>
    <t>Document version</t>
  </si>
  <si>
    <t>Doc. ID:</t>
  </si>
  <si>
    <t>Date</t>
  </si>
  <si>
    <t/>
  </si>
  <si>
    <t>INSTRUMENT LIST</t>
  </si>
  <si>
    <t>XLS:P</t>
  </si>
  <si>
    <t>SLX1</t>
  </si>
  <si>
    <t>2-10546900</t>
  </si>
  <si>
    <t>HSP</t>
  </si>
  <si>
    <t>000</t>
  </si>
  <si>
    <t>INSTRUMENTENLISTE</t>
  </si>
  <si>
    <t>laquama</t>
  </si>
  <si>
    <t>2024-10-30</t>
  </si>
  <si>
    <t>EU0</t>
  </si>
  <si>
    <t>Signal List</t>
  </si>
  <si>
    <t>SL</t>
  </si>
  <si>
    <t>AGC0600</t>
  </si>
  <si>
    <t>Santa Massenza</t>
  </si>
  <si>
    <t>2AGC06-0000-10546900</t>
  </si>
  <si>
    <t>SAP_V1_CREATE_DATE</t>
  </si>
  <si>
    <t>SAP_V1_NUMBER_OF_CHANGES</t>
  </si>
  <si>
    <t>SAP_V1_CHANGE_NOTE</t>
  </si>
  <si>
    <t>SAP_V2_CREATE_DATE</t>
  </si>
  <si>
    <t>SAP_V2_NUMBER_OF_CHANGES</t>
  </si>
  <si>
    <t>SAP_V2_CHANGE_NOTE</t>
  </si>
  <si>
    <t>SAP_V3_CREATE_DATE</t>
  </si>
  <si>
    <t>SAP_V3_NUMBER_OF_CHANGES</t>
  </si>
  <si>
    <t>SAP_V3_CHANGE_NOTE</t>
  </si>
  <si>
    <t>SAP_V4_CREATE_DATE</t>
  </si>
  <si>
    <t>SAP_V4_NUMBER_OF_CHANGES</t>
  </si>
  <si>
    <t>SAP_V4_CHANGE_NOTE</t>
  </si>
  <si>
    <t>SAP_V5_CREATE_DATE</t>
  </si>
  <si>
    <t>SAP_V5_NUMBER_OF_CHANGES</t>
  </si>
  <si>
    <t>SAP_V5_CHANGE_NOTE</t>
  </si>
  <si>
    <t>SAP_V6_CREATE_DATE</t>
  </si>
  <si>
    <t>SAP_V6_NUMBER_OF_CHANGES</t>
  </si>
  <si>
    <t>SAP_V6_CHANGE_NOTE</t>
  </si>
  <si>
    <t>SAP_V7_VERSION</t>
  </si>
  <si>
    <t>SAP_V7_USER</t>
  </si>
  <si>
    <t>SAP_V7_CREATE_DATE</t>
  </si>
  <si>
    <t>SAP_V7_RELEASE_USER</t>
  </si>
  <si>
    <t>SAP_V7_RELEASE_DATE</t>
  </si>
  <si>
    <t>SAP_V7_NUMBER_OF_CHANGES</t>
  </si>
  <si>
    <t>SAP_V7_CHANGE_NOTE</t>
  </si>
  <si>
    <t>SAP_V8_VERSION</t>
  </si>
  <si>
    <t>SAP_V8_USER</t>
  </si>
  <si>
    <t>SAP_V8_CREATE_DATE</t>
  </si>
  <si>
    <t>SAP_V8_RELEASE_USER</t>
  </si>
  <si>
    <t>SAP_V8_RELEASE_DATE</t>
  </si>
  <si>
    <t>SAP_V8_NUMBER_OF_CHANGES</t>
  </si>
  <si>
    <t>SAP_V8_CHANGE_NOTE</t>
  </si>
  <si>
    <t>STDBEN1</t>
  </si>
  <si>
    <t>instrument list</t>
  </si>
  <si>
    <t>STDBEN1_1</t>
  </si>
  <si>
    <t>工具清单</t>
  </si>
  <si>
    <t>STDBEN1_D</t>
  </si>
  <si>
    <t>Instrumentenliste</t>
  </si>
  <si>
    <t>STDBEN1_E</t>
  </si>
  <si>
    <t>STDBEN1_F</t>
  </si>
  <si>
    <t>liste d-instruments</t>
  </si>
  <si>
    <t>STDBEN1_I</t>
  </si>
  <si>
    <t>lista strumenti</t>
  </si>
  <si>
    <t>STDBEN1_J</t>
  </si>
  <si>
    <t>器具一覧</t>
  </si>
  <si>
    <t>STDBEN1_K</t>
  </si>
  <si>
    <t>instrumentliste</t>
  </si>
  <si>
    <t>STDBEN1_P</t>
  </si>
  <si>
    <t>lista de instrument</t>
  </si>
  <si>
    <t>STDBEN1_R</t>
  </si>
  <si>
    <t>спис.инструментов</t>
  </si>
  <si>
    <t>STDBEN1_S</t>
  </si>
  <si>
    <t>lista instrumentos</t>
  </si>
  <si>
    <t>STDBEN1_U</t>
  </si>
  <si>
    <t>laitteistoluettelo</t>
  </si>
  <si>
    <t>STDBEN1_V</t>
  </si>
  <si>
    <t>instrumentlista</t>
  </si>
  <si>
    <t>STDBEN1_Z</t>
  </si>
  <si>
    <t>lista de instrum.</t>
  </si>
  <si>
    <t>SAP_PROJECT_PREFIX</t>
  </si>
  <si>
    <t>SMAS</t>
  </si>
  <si>
    <t>SAP_CONSORTIUM_DOCUMENT_ID</t>
  </si>
  <si>
    <t>SAP_CUSTOMER_DOCUMENT_ID</t>
  </si>
  <si>
    <t>SAP_CONTRACT_REFERENCE</t>
  </si>
  <si>
    <t>Microsoft Excel</t>
  </si>
  <si>
    <t>0</t>
  </si>
  <si>
    <t>Voith Hydro</t>
  </si>
  <si>
    <t>SIGLA</t>
  </si>
  <si>
    <t>DESCRIZIONE</t>
  </si>
  <si>
    <t>COSTRUTTORE</t>
  </si>
  <si>
    <t>MODELLO</t>
  </si>
  <si>
    <t>UBICAZIONE</t>
  </si>
  <si>
    <t xml:space="preserve">TIPO </t>
  </si>
  <si>
    <t>CONTATTO</t>
  </si>
  <si>
    <t>SEGNALE</t>
  </si>
  <si>
    <t>CAR. ELETT.</t>
  </si>
  <si>
    <t>CASS.</t>
  </si>
  <si>
    <t>MORS.</t>
  </si>
  <si>
    <t>ST1</t>
  </si>
  <si>
    <t>Captatore di velocità -  rilievo velocità turbina</t>
  </si>
  <si>
    <t>BRAUN</t>
  </si>
  <si>
    <t>SSG</t>
  </si>
  <si>
    <t>DI</t>
  </si>
  <si>
    <t>IMPULSIVO</t>
  </si>
  <si>
    <t>+24Vcc</t>
  </si>
  <si>
    <t>DIRETTO</t>
  </si>
  <si>
    <t>ST2</t>
  </si>
  <si>
    <t>ST3</t>
  </si>
  <si>
    <t>ST4</t>
  </si>
  <si>
    <t>IFM</t>
  </si>
  <si>
    <t>AI</t>
  </si>
  <si>
    <t>4-20mA 0÷160bar</t>
  </si>
  <si>
    <t>JB00</t>
  </si>
  <si>
    <t>X1</t>
  </si>
  <si>
    <t>ZTP101.1</t>
  </si>
  <si>
    <t>Trasduttore di pressione- pressione olio valle ED101.1 - pressione al controgetto 1</t>
  </si>
  <si>
    <t>ZTP101.2</t>
  </si>
  <si>
    <t>Trasduttore di pressione - pressione olio valle ED101.2 - pressione al controgetto 2</t>
  </si>
  <si>
    <t>MP FILTRI</t>
  </si>
  <si>
    <t>SPDT</t>
  </si>
  <si>
    <t>NO</t>
  </si>
  <si>
    <t>Contatto pulito</t>
  </si>
  <si>
    <t>ZTP5.1</t>
  </si>
  <si>
    <t>Trasduttore di pressione - pressione olio valle ED1.1 (65S.1)</t>
  </si>
  <si>
    <t>ZTP5.2</t>
  </si>
  <si>
    <t>ZTP101.vr</t>
  </si>
  <si>
    <t>Trasduttore di pressione - pressione olio valle CCO101 - pressione al quadro rotative [24]</t>
  </si>
  <si>
    <t>Industrietechnik</t>
  </si>
  <si>
    <t>F.lli Giacomello</t>
  </si>
  <si>
    <t>ZS.CMA1.1</t>
  </si>
  <si>
    <t>Finecorsa cassetto manuale CMA1.1: abilitazione comando cassetti turbina 1</t>
  </si>
  <si>
    <t>Schneider Electric</t>
  </si>
  <si>
    <t>ZS.CMA1.2</t>
  </si>
  <si>
    <t>Finecorsa cassetto manuale CMA1.2: abilitazione comando cassetti turbina 2</t>
  </si>
  <si>
    <t>ZS.CMA101.1</t>
  </si>
  <si>
    <t>Finecorsa cassetto manuale CMA101.1: abilitazione controgetto 1</t>
  </si>
  <si>
    <t>ZS.CMA101.2</t>
  </si>
  <si>
    <t>Finecorsa cassetto manuale CMA101.2: abilitazione controgetto 2</t>
  </si>
  <si>
    <t>DO</t>
  </si>
  <si>
    <t>ED1.1 (65S.1)</t>
  </si>
  <si>
    <t>Elettrovalvola messa in sicurezza turbina 1</t>
  </si>
  <si>
    <t>+125Vcc 30W</t>
  </si>
  <si>
    <t>ED1.2 (65S.2)</t>
  </si>
  <si>
    <t>Elettrovalvola messa in sicurezza turbina 2</t>
  </si>
  <si>
    <t>ED101.1</t>
  </si>
  <si>
    <t>Elettrovalvola comando attivazione controgetto 1</t>
  </si>
  <si>
    <t>ED101.2</t>
  </si>
  <si>
    <t>Elettrovalvola comando attivazione controgetto 2</t>
  </si>
  <si>
    <t>PNP</t>
  </si>
  <si>
    <t>JB01</t>
  </si>
  <si>
    <t>4-20mA 0÷100%</t>
  </si>
  <si>
    <t>ZS.CMA102.1</t>
  </si>
  <si>
    <t>Finecorsa cassetto manuale CMA102.1: abilitazione valvole proporzionali turbina 1 - introduttore superiore</t>
  </si>
  <si>
    <t>JB02</t>
  </si>
  <si>
    <t>ZS.CMA103.1</t>
  </si>
  <si>
    <t>Finecorsa cassetto manuale CMA103.1: abilitazione valvole proporzionali turbina 1 - introduttore inferiore</t>
  </si>
  <si>
    <t>ZS_CG.1.ch</t>
  </si>
  <si>
    <t>ZS_CG.1.ap</t>
  </si>
  <si>
    <t>ZS.DCM</t>
  </si>
  <si>
    <t>Finecorsa centrifugo di velocità</t>
  </si>
  <si>
    <t>ZTS_SSP_SUP.1</t>
  </si>
  <si>
    <t>Temposonics</t>
  </si>
  <si>
    <t>ZTS_STE_SUP.1</t>
  </si>
  <si>
    <t>ZTS_SSP_INF.1</t>
  </si>
  <si>
    <t>ZTS_STE_INF.1</t>
  </si>
  <si>
    <t>VP_SSP_SUP.1</t>
  </si>
  <si>
    <t>Valvola proporzionale - comando introduttore spina superiore turbina 1_SSP_SUP.1</t>
  </si>
  <si>
    <t>AO</t>
  </si>
  <si>
    <t>4-20mA</t>
  </si>
  <si>
    <t>VP_STE_SUP.1</t>
  </si>
  <si>
    <t>Valvola proporzionale - comando servomotore tegolo superiore turbina 1_STE_SUP.1</t>
  </si>
  <si>
    <t>VP_SSP_INF.1</t>
  </si>
  <si>
    <t>Valvola proporzionale - comando introduttore spina inferiore turbina 1_SSP_INF.1</t>
  </si>
  <si>
    <t>VP_STE_INF.1</t>
  </si>
  <si>
    <t>Valvola proporzionale - comando servomotore tegolo inferiore turbina 1_STE_INF.1</t>
  </si>
  <si>
    <t>ZS.CMA102.2</t>
  </si>
  <si>
    <t>Finecorsa cassetto manuale CMA102.2: abilitazione valvole proporzionali turbina 2 - introduttore superiore</t>
  </si>
  <si>
    <t>JB03</t>
  </si>
  <si>
    <t>ZS.CMA103.2</t>
  </si>
  <si>
    <t>Finecorsa cassetto manuale CMA103.2: abilitazione valvole proporzionali turbina 2 - introduttore inferiore</t>
  </si>
  <si>
    <t>ZS_CG.2.ch</t>
  </si>
  <si>
    <t>ZS_CG.2.ap</t>
  </si>
  <si>
    <t>ZTS_SSP_SUP.2</t>
  </si>
  <si>
    <t>ZTS_STE_SUP.2</t>
  </si>
  <si>
    <t>ZTS_SSP_INF.2</t>
  </si>
  <si>
    <t>ZTS_STE_INF.2</t>
  </si>
  <si>
    <t>VP_SSP_SUP.2</t>
  </si>
  <si>
    <t>Valvola proporzionale - comando introduttore spina superiore turbina 2_SSP_SUP.2</t>
  </si>
  <si>
    <t>VP_STE_SUP.2</t>
  </si>
  <si>
    <t>Valvola proporzionale - comando servomotore tegolo superiore turbina 2_STE_SUP.2</t>
  </si>
  <si>
    <t>VP_SSP_INF.2</t>
  </si>
  <si>
    <t>Valvola proporzionale - comando introduttore spina inferiore turbina 2_SSP_INF.2</t>
  </si>
  <si>
    <t>VP_STE_INF.2</t>
  </si>
  <si>
    <t>Valvola proporzionale - comando servomotore tegolo inferiore turbina 2_STE_INF.2</t>
  </si>
  <si>
    <t>LS4/1</t>
  </si>
  <si>
    <t>Livellostato - vasca di raccolta perdite introduttore supreriore turbina 1 / olio misto acqua - presenza perdita</t>
  </si>
  <si>
    <t>JB04</t>
  </si>
  <si>
    <t>LS4/2</t>
  </si>
  <si>
    <t>Livellostato - vasca di raccolta perdite introduttore inferiore turbina 1 / olio misto acqua - presenza perdita</t>
  </si>
  <si>
    <t>LS5/1</t>
  </si>
  <si>
    <t>Livellostato - vasca di raccolta perdite introduttore supreriore turbina 2 / olio misto acqua - presenza perdita</t>
  </si>
  <si>
    <t>LS5/2</t>
  </si>
  <si>
    <t>Livellostato - vasca di raccolta perdite introduttore inferiore turbina 2 / olio misto acqua - presenza perdita</t>
  </si>
  <si>
    <t>ZTP26/1</t>
  </si>
  <si>
    <t>JB06</t>
  </si>
  <si>
    <t>ZS.CMA2/1</t>
  </si>
  <si>
    <t>ED2/1</t>
  </si>
  <si>
    <t>ED9/1</t>
  </si>
  <si>
    <t>ZTP12/1</t>
  </si>
  <si>
    <t>ZTP13/1</t>
  </si>
  <si>
    <t>ZTP17/1</t>
  </si>
  <si>
    <t>ZTP27/1</t>
  </si>
  <si>
    <t>ZS.CMA7/1</t>
  </si>
  <si>
    <t>ZS.CMA3/1</t>
  </si>
  <si>
    <t>Valvola rotativa V41</t>
  </si>
  <si>
    <t>X2</t>
  </si>
  <si>
    <t>PDS14/1</t>
  </si>
  <si>
    <t>X3</t>
  </si>
  <si>
    <t>ZTP26/2</t>
  </si>
  <si>
    <t>X4</t>
  </si>
  <si>
    <t>ZS.CMA2/2</t>
  </si>
  <si>
    <t>ED2/2</t>
  </si>
  <si>
    <t>ED9/2</t>
  </si>
  <si>
    <t>ZTP13/2</t>
  </si>
  <si>
    <t>ZTP17/2</t>
  </si>
  <si>
    <t>ZTP27/2</t>
  </si>
  <si>
    <t>ZS.CMA7/2</t>
  </si>
  <si>
    <t>ZS.CMA3/2</t>
  </si>
  <si>
    <t>Valvola rotativa V42</t>
  </si>
  <si>
    <t>PDS14/2</t>
  </si>
  <si>
    <t>JB08</t>
  </si>
  <si>
    <t>JB07</t>
  </si>
  <si>
    <t>Trasduttore di pressione olio mandata pompa PQ</t>
  </si>
  <si>
    <t>Elettrovalvola bistabile comando giunto</t>
  </si>
  <si>
    <t>Elettrovalvola mancanto innesto giunto - rotazione</t>
  </si>
  <si>
    <t>Elettrovalvola comando valvola a fuso</t>
  </si>
  <si>
    <t>Finecorsa valvola comando giunto: innesta giunto</t>
  </si>
  <si>
    <t>Finecorsa valvola comando giunto:disinnesta giunto</t>
  </si>
  <si>
    <t>88PQ</t>
  </si>
  <si>
    <t>Motore pompa PQ</t>
  </si>
  <si>
    <t>Trasduttore di posizione lineare valvola a fuso</t>
  </si>
  <si>
    <t>Finecorsa giunto: disinnestato</t>
  </si>
  <si>
    <t>Giunto</t>
  </si>
  <si>
    <t>Finecorsa giunto: innesto iniziato</t>
  </si>
  <si>
    <t>Finecorsa giunto: innesto totale</t>
  </si>
  <si>
    <t>aut</t>
  </si>
  <si>
    <t>Unit no. 4</t>
  </si>
  <si>
    <t>A</t>
  </si>
  <si>
    <t>belluca</t>
  </si>
  <si>
    <t>2025-02-06</t>
  </si>
  <si>
    <t>EDGI</t>
  </si>
  <si>
    <t>EDGI.ROT</t>
  </si>
  <si>
    <t>ZS.EDGI.INN</t>
  </si>
  <si>
    <t>ZS.EDGI.DIS</t>
  </si>
  <si>
    <t>ZS.GI.DIS</t>
  </si>
  <si>
    <t>ZS.GI.IN.IN</t>
  </si>
  <si>
    <t>ZS.GI.IN</t>
  </si>
  <si>
    <t>ZS.TV41.SCOS</t>
  </si>
  <si>
    <t>ZS.TV41.ACC</t>
  </si>
  <si>
    <t>ZS.V41.AP</t>
  </si>
  <si>
    <t>ZS.V41.CH</t>
  </si>
  <si>
    <t>ZTS.V41</t>
  </si>
  <si>
    <t>PT100 3 fili + 3 fili</t>
  </si>
  <si>
    <t>ZTP12/2</t>
  </si>
  <si>
    <t>LS100</t>
  </si>
  <si>
    <t>LS101</t>
  </si>
  <si>
    <t>Supporto tronchetto</t>
  </si>
  <si>
    <t>ZTL100</t>
  </si>
  <si>
    <t>TE100.sx</t>
  </si>
  <si>
    <t>TE100.dx</t>
  </si>
  <si>
    <t>TE101</t>
  </si>
  <si>
    <t>Termoresistenza temperatura olio supporto</t>
  </si>
  <si>
    <t>LS200</t>
  </si>
  <si>
    <t>Livellostato livello olio supporto combinato pompa: livello olio massimo</t>
  </si>
  <si>
    <t>LS201</t>
  </si>
  <si>
    <t>Livellostato livello olio supporto tronchetto: livello olio minimo</t>
  </si>
  <si>
    <t>ZTL200</t>
  </si>
  <si>
    <t>Trasduttore di livello olio supporto tronchetto</t>
  </si>
  <si>
    <t>Supporto combinato pompa</t>
  </si>
  <si>
    <t>TE208</t>
  </si>
  <si>
    <t>Temperatura olio supporto combinato pompa</t>
  </si>
  <si>
    <t>TE204</t>
  </si>
  <si>
    <t>TE206</t>
  </si>
  <si>
    <t>Temperatura metallo bianco spinta supporto combinato (sonda 1)</t>
  </si>
  <si>
    <t>TE200</t>
  </si>
  <si>
    <t>Temperatura metallo bianco controspinta supporto combinato (sonda 1)</t>
  </si>
  <si>
    <t>TE202</t>
  </si>
  <si>
    <t>TE205</t>
  </si>
  <si>
    <t>TE207</t>
  </si>
  <si>
    <t>Temperatura metallo bianco spinta supporto combinato (sonda 2)</t>
  </si>
  <si>
    <t>TE201</t>
  </si>
  <si>
    <t>Temperatura metallo bianco controspinta supporto combinato (sonda 2)</t>
  </si>
  <si>
    <t>TE203</t>
  </si>
  <si>
    <t>FS200</t>
  </si>
  <si>
    <t>FS201</t>
  </si>
  <si>
    <t>TE501.sx</t>
  </si>
  <si>
    <t>Termoresistenza temperatura metallo bianco supporto alternatore sinistro (sonda SX)</t>
  </si>
  <si>
    <t>TE502.sx</t>
  </si>
  <si>
    <t>Termoresistenza temperatura metallo bianco supporto alternatore sinistro (sonda DX)</t>
  </si>
  <si>
    <t>Supporto alternatore sinistro</t>
  </si>
  <si>
    <t>TE501.dx</t>
  </si>
  <si>
    <t>Termoresistenza temperatura metallo bianco supporto alternatore destro (sonda SX)</t>
  </si>
  <si>
    <t>TE502.dx</t>
  </si>
  <si>
    <t>Termoresistenza temperatura metallo bianco supporto alternatore destro (sonda DX)</t>
  </si>
  <si>
    <t>Supporto alternatore destro</t>
  </si>
  <si>
    <t>LS300</t>
  </si>
  <si>
    <t>Livellostato livello olio supporto tronchetto: livello olio massimo</t>
  </si>
  <si>
    <t>LS301</t>
  </si>
  <si>
    <t>ZTL300</t>
  </si>
  <si>
    <t>TE300</t>
  </si>
  <si>
    <t>Termoresistenza temperatura metallo bianco supporto trochetto</t>
  </si>
  <si>
    <t>TE301</t>
  </si>
  <si>
    <t>Termoresistenza temperatura metallo bianco lato valle</t>
  </si>
  <si>
    <t>TE302</t>
  </si>
  <si>
    <t>Termoresistenza temperatura metallo bianco lato monte</t>
  </si>
  <si>
    <t>TE303</t>
  </si>
  <si>
    <t xml:space="preserve">Aggiunta strumentazione supporti e correzione tag </t>
  </si>
  <si>
    <t>DI/AI</t>
  </si>
  <si>
    <t>SBG234</t>
  </si>
  <si>
    <t>Trasduttore di pressione - pressione azoto accumulatore BP: allarme bassa pressione</t>
  </si>
  <si>
    <t>Trasduttore di pressione - pressione azoto accumulatore AP: blocco minima pressione</t>
  </si>
  <si>
    <t>Trasduttore di pressione - pressione azoto accumulatore BP: blocco minima pressione</t>
  </si>
  <si>
    <t>Trasduttore di temperatura azoto accumulatore alta pressione</t>
  </si>
  <si>
    <t>Trasduttore di temperatura azoto accumulatore bassa pressione</t>
  </si>
  <si>
    <t>Trasduttore di posizione lineare - posizione pistone accumulatore AP</t>
  </si>
  <si>
    <t>Trasduttore di posizione lineare - posizione pistone accumulatore BP</t>
  </si>
  <si>
    <t>Finecorsa valvola manuale esclusione accumulatore AP</t>
  </si>
  <si>
    <t>Finecorsa valvola manuale esclusione accumulatore BP</t>
  </si>
  <si>
    <t>Finecorsa livello olio accumulatore AP: allarme basso livello</t>
  </si>
  <si>
    <t>Finecorsa livello olio accumulatore AP: blocco minimo livello</t>
  </si>
  <si>
    <t>Finecorsa livello olio accumulatore BP: allarme basso livello</t>
  </si>
  <si>
    <t>Finecorsa livello olio accumulatore BP: blocco minimo livello</t>
  </si>
  <si>
    <t>Manifold oleodinamico turbina 1 - sinistra</t>
  </si>
  <si>
    <t>Manifold oleodinamico turbina 2 - destra</t>
  </si>
  <si>
    <t>Finecorsa controgetto 1_SCG.1 - turbina 1 sinistra  / aperto</t>
  </si>
  <si>
    <t>Finecorsa controgetto 1_SCG.1 - turbina 1 sinistra / chiuso</t>
  </si>
  <si>
    <t>Finecorsa controgetto 2_SCG.2 - turbina 2 destra  / aperto</t>
  </si>
  <si>
    <t>Finecorsa controgetto 2_SCG.2 - turbina 2 destra / chiuso</t>
  </si>
  <si>
    <t>Trasduttore di posizione lineare - introduttore spina superiore turbina 1 sinistra_SSP_SUP.1</t>
  </si>
  <si>
    <t>Trasduttore di posizione lineare - servomotore tegolo superiore turbina 1 sinistra_STE_SUP.1</t>
  </si>
  <si>
    <t>Trasduttore di posizione lineare - introduttore spina superiore turbina 2 destra_SSP_SUP.2</t>
  </si>
  <si>
    <t>Trasduttore di posizione lineare - servomotore tegolo superiore turbina 2 destra_STE_SUP.2</t>
  </si>
  <si>
    <t>Vasca di raccolta perdite - Turbina 1 sinistra</t>
  </si>
  <si>
    <t>Vasca di raccolta perdite - Turbina 2 destra</t>
  </si>
  <si>
    <t>Finecorsa cassetto manuale CMA2/1: abilitazione comando valvola rotativa V41 - sinistra</t>
  </si>
  <si>
    <t>Finecorsa cassetto manuale CMA7/1: abilitazione comando anello di tenuta valvola rotativa V41 - sinistra</t>
  </si>
  <si>
    <t>Quadro valvola rotativa - lato V41</t>
  </si>
  <si>
    <t>Quadro valvola rotativa - lato V42</t>
  </si>
  <si>
    <t>Elettrovalvola comando rotazione valvola rotativa V41 - sinistra</t>
  </si>
  <si>
    <t>Elettrovalvola comando rotazione valvola rotativa V42 - destra</t>
  </si>
  <si>
    <t>Trasduttore di pressione acqua monte valvola rotativa V41 - sinistra</t>
  </si>
  <si>
    <t>Trasduttore di pressione acqua valle valvola rotativa V41 - sinistra</t>
  </si>
  <si>
    <t>Trasduttore di pressione acqua monte valvola rotativa V42 - destra</t>
  </si>
  <si>
    <t>Trasduttore di pressione acqua valle valvola rotativa V42 - destra</t>
  </si>
  <si>
    <t>Trasduttore di pressione acqua scosta anello otturatore valvola rotativa V42 - destra</t>
  </si>
  <si>
    <t>Trasduttore di pressione acqua scosta anello otturatore valvola rotativa V41 - sinistra</t>
  </si>
  <si>
    <t>4-20mA 0÷100bar</t>
  </si>
  <si>
    <t>Trasduttore di pressione olio valle ED2/1 comando rotazione valvola V41 - sinistra</t>
  </si>
  <si>
    <t>Finecorsa anello di tenuta valvola rotativa V41 - sinistra: accostato</t>
  </si>
  <si>
    <t xml:space="preserve">Finecorsa anello di tenuta valvola rotativa V41 - sinistra: scostato </t>
  </si>
  <si>
    <t>Finecorsa valvola rotativa V41 - sinistra: chiusa</t>
  </si>
  <si>
    <t>Finecorsa valvola rotativa V41 - sinistra: aperta</t>
  </si>
  <si>
    <t>ZS.TV42.ACC</t>
  </si>
  <si>
    <t>ZS.TV42.SCOS</t>
  </si>
  <si>
    <t>ZS.V42.AP</t>
  </si>
  <si>
    <t>ZS.V42.CH</t>
  </si>
  <si>
    <t>Finecorsa anello di tenuta valvola rotativa V42 - destra: accostato</t>
  </si>
  <si>
    <t xml:space="preserve">Finecorsa anello di tenuta valvola rotativa V42 - destra: scostato </t>
  </si>
  <si>
    <t>Finecorsa valvola rotativa V42 - destra: aperta</t>
  </si>
  <si>
    <t>Finecorsa valvola rotativa V42 - destra: chiusa</t>
  </si>
  <si>
    <t>Trasduttore di posizione lineare - valvola rotativa V41 - sinistra</t>
  </si>
  <si>
    <t>ZTS.V42</t>
  </si>
  <si>
    <t>Trasduttore di posizione lineare - valvola rotativa V42 - destra</t>
  </si>
  <si>
    <t>+110Vcc 30W + 30W</t>
  </si>
  <si>
    <t>Trasduttore di posizione valvola rotativa mandata pompa</t>
  </si>
  <si>
    <t>Trasduttore di posizione valvola rotativa aspirazione pompa</t>
  </si>
  <si>
    <t>Serbatoio di compenso sopraelevato - valvola ritegno</t>
  </si>
  <si>
    <t>Livellostato livello olio supporto combinato pompa: livello olio minimo</t>
  </si>
  <si>
    <t>PT100</t>
  </si>
  <si>
    <t>Temperatura metallo bianco guida lato pompa (sonda 1) - supporto combinato pompa</t>
  </si>
  <si>
    <t>Temperatura metallo bianco guida lato pompa (sonda2 ) - supporto combinato pompa</t>
  </si>
  <si>
    <t>Temperatura metallo bianco guida lato gruppo (sonda 1) - supporto combinato pompa</t>
  </si>
  <si>
    <t>Temperatura metallo bianco guida lato gruppo (sonda 2) - supporto combinato pompa</t>
  </si>
  <si>
    <t>Lubrificazione supporto combinato pompa</t>
  </si>
  <si>
    <t>PDS200</t>
  </si>
  <si>
    <t>Pressostato differenziale - intasamento filtro olio FO200 - lubrificazione supporto combinato</t>
  </si>
  <si>
    <t>Centrifugo sottovelocità pompa</t>
  </si>
  <si>
    <t>ZTP63.412iQ</t>
  </si>
  <si>
    <t>FORNITORE</t>
  </si>
  <si>
    <t>SINTAKSA</t>
  </si>
  <si>
    <t>VOITH</t>
  </si>
  <si>
    <t>NOTE</t>
  </si>
  <si>
    <t>cablaggio fino a strumento da realizzare in impianto</t>
  </si>
  <si>
    <t>INFO</t>
  </si>
  <si>
    <t>ZS.V40.ACC</t>
  </si>
  <si>
    <t>Finecorsa valvola rotativa mandata pompa V40: Accostata</t>
  </si>
  <si>
    <t>Valvola rotativa mandata pompa V40</t>
  </si>
  <si>
    <t>ZS.V40.SCOS</t>
  </si>
  <si>
    <t>Finecorsa valvola rotativa mandata pompa V40: Scostata</t>
  </si>
  <si>
    <t>ZS.V40.AP</t>
  </si>
  <si>
    <t>Finecorsa valvola rotativa mandata pompa V40: Aperta</t>
  </si>
  <si>
    <t>ZS.V40.CH</t>
  </si>
  <si>
    <t>Finecorsa valvola rotativa mandata pompa V40: Chiusa</t>
  </si>
  <si>
    <t>ZS.vQV40</t>
  </si>
  <si>
    <t>ZTS.V40</t>
  </si>
  <si>
    <t>ZTS.V4</t>
  </si>
  <si>
    <t>Valvola rotativa aspirazione pompa V4</t>
  </si>
  <si>
    <t>ZS.V4.ACC</t>
  </si>
  <si>
    <t>Finecorsa valvola rotativa aspirazione pompa V4: Accostata</t>
  </si>
  <si>
    <t>ZS.V4.SCOS</t>
  </si>
  <si>
    <t>Finecorsa valvola rotativa aspirazione pompa V4: Scostata</t>
  </si>
  <si>
    <t>ZS.V4.AP</t>
  </si>
  <si>
    <t>Finecorsa valvola rotativa aspirazione pompa V4: Aperta</t>
  </si>
  <si>
    <t>ZS.V4.CH</t>
  </si>
  <si>
    <t>Finecorsa valvola rotativa aspirazione pompa V4: Chiusa</t>
  </si>
  <si>
    <t>ZS.vQV4</t>
  </si>
  <si>
    <t>Elettrovalvola comando valvola rotativa mandata pompa V40</t>
  </si>
  <si>
    <t>ZTP.SV40</t>
  </si>
  <si>
    <t>Trasduttore di pressione - pressione olio valle SV40 - Comando apertura valvola rotativa mandata pompa V40</t>
  </si>
  <si>
    <t>SV40</t>
  </si>
  <si>
    <t>Elettrovalvola comando valvola rotativa aspirazione pompa V4</t>
  </si>
  <si>
    <t>ZTP.SV4</t>
  </si>
  <si>
    <t>Trasduttore di pressione - pressione olio valle SV4 - Comando apertura valvola rotativa aspirazione pompa V4</t>
  </si>
  <si>
    <t>SV4</t>
  </si>
  <si>
    <t>S20VR</t>
  </si>
  <si>
    <t>ZS.20VR.AP</t>
  </si>
  <si>
    <t>Finecorsa valvola a fuso 20VR aperta</t>
  </si>
  <si>
    <t>Valvola a fuso 20VR</t>
  </si>
  <si>
    <t>ZS.20VR.8/10</t>
  </si>
  <si>
    <t>Finecorsa valvola a fuso 20VR 8/10</t>
  </si>
  <si>
    <t>ZS.20VR.CH</t>
  </si>
  <si>
    <t>Finecorsa valvola a fuso 20VR chiusa</t>
  </si>
  <si>
    <t>ZTP.S20VR</t>
  </si>
  <si>
    <t>Trasduttore di pressione - pressione olio valle S20VR - Comando apertura valvola a fuso</t>
  </si>
  <si>
    <t>ZTS.20VR</t>
  </si>
  <si>
    <t>IFS240</t>
  </si>
  <si>
    <t>Elettrovalvola comando by-pass valvola rotativa V41 - sinistra (FUTURO)</t>
  </si>
  <si>
    <t>Elettrovalvola comando by-pass valvola rotativa V42 - destra (FUTURO)</t>
  </si>
  <si>
    <t>Trasduttore di pressione olio comando bypass valvola rotativa V41 - sinistra (FUTURO)</t>
  </si>
  <si>
    <t>Trasduttore di pressione olio comando bypass valvola rotativa V42 - destra (FUTURO)</t>
  </si>
  <si>
    <t>Finecorsa cassetto manuale CMA3/1: abilitazione comando by-pass valvola rotativa V41 - sinistra (FUTURO)</t>
  </si>
  <si>
    <t>Finecorsa cassetto manuale CMA3/2: abilitazione comando by-pass valvola rotativa V42 - destra (FUTURO)</t>
  </si>
  <si>
    <t>Finecorsa cassetto manuale CMA2/2: abilitazione comando valvola rotativa V42 - destra</t>
  </si>
  <si>
    <t>Valvola motorizzata inserzione raffreddamento - centralina alta pressione turbina</t>
  </si>
  <si>
    <t>Elettrovalvola messa a scarico pompe olio - centralina alta pressione turbina</t>
  </si>
  <si>
    <t>Flussostato acqua raffreddamento - presenza circolazione acqua - centralina alta pressione turbina</t>
  </si>
  <si>
    <t>Livellostato livello olio serbatoio centralina - livello olio massimo - centralina alta pressione turbina</t>
  </si>
  <si>
    <t>Livellostato livello olio serbatoio centralina - livello olio minimo - centralina alta pressione turbina</t>
  </si>
  <si>
    <t>Livellostato livello olio cassone perdite centralina_SO2 - presenza perdite olio - centralina alta pressione turbina</t>
  </si>
  <si>
    <t>Motore pompa olio 1  - centralina alta pressione turbina</t>
  </si>
  <si>
    <t>Motore pompa olio 2  - centralina alta pressione turbina</t>
  </si>
  <si>
    <t>Trasduttore di temperatura - misura temperatura olio serbatoio - centralina alta pressione turbina</t>
  </si>
  <si>
    <t>Termostato temperatura olio serbatoio centralina alta pressione turbina - temperatura massima</t>
  </si>
  <si>
    <t>Trasduttore di pressione olio mandata pompa 1 - centralina alta pressione turbina</t>
  </si>
  <si>
    <t>Trasduttore di pressione olio mandata pompa 2 - centralina alta pressione turbina</t>
  </si>
  <si>
    <t>Trasduttore di pressione - pressione olio collettore mandata pompe centralina alta pressione turbina: blocco minima pressione</t>
  </si>
  <si>
    <t>Trasduttore di pressione - pressione olio collettore mandata pompe centralina alta pressione turbina: allarme minima pressione</t>
  </si>
  <si>
    <t>Valvola motorizzata inserzione raffreddamento - centralina bassa pressione pompa</t>
  </si>
  <si>
    <t>Scaldiglia riscaldamento olio serbatoio centralina centralina alta pressione turbina</t>
  </si>
  <si>
    <t>Scaldiglia riscaldamento olio serbatoio centralina centralina bassa pressione pompa</t>
  </si>
  <si>
    <t>Flussostato acqua raffreddamento - presenza circolazione acqua - centralina bassa pressione pompa</t>
  </si>
  <si>
    <t>Livellostato livello olio serbatoio centralina - livello olio massimo - centralina bassa pressione pompa</t>
  </si>
  <si>
    <t>Livellostato livello olio serbatoio centralina - livello olio minimo - centralina bassa pressione pompa</t>
  </si>
  <si>
    <t>Livellostato livello olio cassone perdite centralina_SO2 - presenza perdite olio - centralina bassa pressione pompa</t>
  </si>
  <si>
    <t>Motore pompa olio 1 - centralina bassa pressione pompa</t>
  </si>
  <si>
    <t>Motore pompa olio 2 - centralina bassa pressione pompa</t>
  </si>
  <si>
    <t>Trasduttore di temperatura - misura temperatura olio serbatoio - centralina bassa pressione pompa</t>
  </si>
  <si>
    <t>Termostato temperatura olio serbatoio centralina bassa pressione pompa - temperatura massima</t>
  </si>
  <si>
    <t>Valvola motorizzata inserzione raffreddamento centralina alta pressione turbina - aperta</t>
  </si>
  <si>
    <t>Valvola motorizzata inserzione raffreddamento centralina alta pressione turbina - chiusa</t>
  </si>
  <si>
    <t>Valvola motorizzata inserzione raffreddamento centralina bassa pressione pompa - aperta</t>
  </si>
  <si>
    <t>Valvola motorizzata inserzione raffreddamento centralina bassa pressione pompa - chiusa</t>
  </si>
  <si>
    <t>Trasduttore di pressione olio mandata pompa 1 - centralina bassa pressione pompa</t>
  </si>
  <si>
    <t>Trasduttore di pressione olio mandata pompa 2 - centralina bassa pressione pompa</t>
  </si>
  <si>
    <t>Trasduttore di pressione - pressione olio collettore mandata pompe centralina bassa pressione pompa: blocco minima pressione</t>
  </si>
  <si>
    <t>Trasduttore di pressione - pressione olio collettore mandata pompe centralina bassa pressione pompa: allarme minima pressione</t>
  </si>
  <si>
    <t>PDS15</t>
  </si>
  <si>
    <t>Pressostato differenziale - intasamento filtro acqua FW15 - acqua manovra rotative pompa</t>
  </si>
  <si>
    <t>Pressostato differenziale - intasamento filtro acqua FW14/1 - valvola rotativa V41 sinistra</t>
  </si>
  <si>
    <t>Pressostato differenziale - intasamento filtro acqua FW14/2 - valvola rotativa V42 destra</t>
  </si>
  <si>
    <t>ZTS.V4.ACC</t>
  </si>
  <si>
    <t>ZTS.V40.ACC</t>
  </si>
  <si>
    <t>Trasduttore di posizione servomotore scostamento valvola rotativa aspirazione pompa</t>
  </si>
  <si>
    <t>Trasduttore di posizione servomotore scostamento valvola rotativa mandata pompa</t>
  </si>
  <si>
    <t>Finecorsa cassetto manuale CMA7/2: abilitazione comando anello di tenuta valvola rotativa V42 - destra</t>
  </si>
  <si>
    <t>Trasduttore di pressione olio valle ED2/2 comando rotazione valvola V42 - destra</t>
  </si>
  <si>
    <t>Trasduttore di pressione - pressione a valle centrifugo sottovelocità pompa</t>
  </si>
  <si>
    <t>2025-03-07</t>
  </si>
  <si>
    <t>ZS.VSCA1.ap</t>
  </si>
  <si>
    <t>ZS.VSCA1.ch</t>
  </si>
  <si>
    <t>Finecorsa valvola sfiato aria mandata pompa aperta</t>
  </si>
  <si>
    <t>Finecorsa valvola sfiato aria mandata pompa chiusa</t>
  </si>
  <si>
    <t>Tubazione mandata pompa</t>
  </si>
  <si>
    <t>B</t>
  </si>
  <si>
    <t>2025-04-03</t>
  </si>
  <si>
    <t>SAP_DRAWING_NUMBER</t>
  </si>
  <si>
    <t>23/03/2009 09:00:00</t>
  </si>
  <si>
    <t>Accumulatore a pistone alta pressione A4</t>
  </si>
  <si>
    <t>TE2.A4</t>
  </si>
  <si>
    <t>ZS.MS.A4</t>
  </si>
  <si>
    <t>ZTP8.A4</t>
  </si>
  <si>
    <t>ZTP9.A4</t>
  </si>
  <si>
    <t>ZTS.AOP.A4</t>
  </si>
  <si>
    <t>PDS1/1.A4</t>
  </si>
  <si>
    <t>PDS1/2.A4</t>
  </si>
  <si>
    <t>Pressostato differenziale - intasamento filtro olio centralina_FO1/1.A4 - centralina alta pressione turbina</t>
  </si>
  <si>
    <t>Pressostato differenziale - intasamento filtro olio centralina_FO1/2.A4 - centralina alta pressione turbina</t>
  </si>
  <si>
    <t>Centralina oleodinamica alta pressione A4</t>
  </si>
  <si>
    <t>ZTP1.A4</t>
  </si>
  <si>
    <t>ZTP2.A4</t>
  </si>
  <si>
    <t>ZTP3.A4</t>
  </si>
  <si>
    <t>ZTP4.A4</t>
  </si>
  <si>
    <t>EDVSO.A4</t>
  </si>
  <si>
    <t>MPO1.A4</t>
  </si>
  <si>
    <t>MPO2.A4</t>
  </si>
  <si>
    <t>TS1.A4</t>
  </si>
  <si>
    <t>LS3.A4</t>
  </si>
  <si>
    <t>LS1.HH.A4</t>
  </si>
  <si>
    <t>LS1.LL.A4</t>
  </si>
  <si>
    <t>LT1.A4</t>
  </si>
  <si>
    <t>Trasduttore di livello olio serbatoio centralina - centralina alta pressione turbina</t>
  </si>
  <si>
    <t>TE1.A4</t>
  </si>
  <si>
    <t>ED3.A4 (S20Q)</t>
  </si>
  <si>
    <t>Elettrovalvola bistabile comando VRP3.A4 - centralina alta pressione turbina</t>
  </si>
  <si>
    <t>ER.A4</t>
  </si>
  <si>
    <t>PDS3.A4</t>
  </si>
  <si>
    <t>Pressostato differenziale - intasamento filtro olio FO3.A4 - centralina alta pressione turbina</t>
  </si>
  <si>
    <t>VMW7.A4</t>
  </si>
  <si>
    <t>ZS.VMW7.AP.A4</t>
  </si>
  <si>
    <t>ZS.VMW7.CH.A4</t>
  </si>
  <si>
    <t>NOTE HDE</t>
  </si>
  <si>
    <t>DESCRIZIONE PER LISTA IO (da HDE)</t>
  </si>
  <si>
    <t>SOD A4 - ECCITAZIONE ED1.1 (65S.1)</t>
  </si>
  <si>
    <t>SOD A4 - ECCITAZIONE ED1.2 (65S.2)</t>
  </si>
  <si>
    <t>APERTURA CONTROGETTO 1</t>
  </si>
  <si>
    <t>APERTURA CONTROGETTO 2</t>
  </si>
  <si>
    <t>SOD A4 - ECCITAZIONE EV DI MESSA A SCARICO OLIO</t>
  </si>
  <si>
    <t>SOD A4 - AVVIAMENTO RISCALDAMENTO OLIO</t>
  </si>
  <si>
    <t>SOD A4 - PRESENZA CIRCOLAZ. ACQUA RAFF.</t>
  </si>
  <si>
    <t>SOD A4 - MAX LIVELLO OLIO CENTRALINA</t>
  </si>
  <si>
    <t>SOD A4 - MIN LIVELLO OLIO CENTRALINA</t>
  </si>
  <si>
    <t>SOD A4 - PRESENZA PERDITE OLIO CENTRALINA</t>
  </si>
  <si>
    <t>SOD A4 - AVVIAMENTO POMPA OLIO 88QR1 (MPO1.A4)</t>
  </si>
  <si>
    <t>SOD A4 - AVVIAMENTO POMPA OLIO 88QR2 (MPO2.A4)</t>
  </si>
  <si>
    <t>SOD A4 - INTASAMENTO FILTRO OLIO 1 MANDATA POMPE</t>
  </si>
  <si>
    <t>SOD A4 - INTASAMENTO FILTRO OLIO IN SCARICO</t>
  </si>
  <si>
    <t>SOD A4 - TEMPERATURA OLIO CENTRALINA</t>
  </si>
  <si>
    <t>SOD A4 - MASSIMA TEMPERATURA OLIO CENTRALINA</t>
  </si>
  <si>
    <t>SOD A4 - INSERZIONE RAFFREDDAMENTO</t>
  </si>
  <si>
    <t>BISTABILE; prevedere anche comando di arresto</t>
  </si>
  <si>
    <t>SOD A4 - COMANDO CASSETTI TURBINA 1 ABILITATO</t>
  </si>
  <si>
    <t>SOD A4 - COMANDO CASSETTI TURBINA 2 ABILITATO</t>
  </si>
  <si>
    <t>SOD A4 - COMANDO CONTROGETTO 1 ABILITATO</t>
  </si>
  <si>
    <t>SOD A4 - COMANDO CONTROGETTO 2 ABILITATO</t>
  </si>
  <si>
    <t>SOD A4 - VALVOLA ACQUA RAFF. CENTRALINA APERTA</t>
  </si>
  <si>
    <t>SOD A4 - VALVOLA ACQUA RAFF. CENTRALINA CHIUSA</t>
  </si>
  <si>
    <t>SOD A4 - PRESENZA PRESSIONE OLIO 88QR1</t>
  </si>
  <si>
    <t>solo DI</t>
  </si>
  <si>
    <t>SOD A4 - PRESENZA PRESSIONE OLIO APERTURA CONTROGETTO 1</t>
  </si>
  <si>
    <t>SOD A4 - PRESENZA PRESSIONE OLIO APERTURA CONTROGETTO 2</t>
  </si>
  <si>
    <t>SOD A4 - PRESENZA PRESSIONE OLIO AL QUADRO ROTATIVE V41/V42</t>
  </si>
  <si>
    <t>SOD A4 - PRESENZA PRESSIONE 88QR2</t>
  </si>
  <si>
    <t>SOD A4 - MINIMA PRESSIONE OLIO MONTE VRP3 (20Q)</t>
  </si>
  <si>
    <t>SOD A4 - PRESSIONE OLIO MONTE VRP3 (20Q)</t>
  </si>
  <si>
    <t>prendere solo AI</t>
  </si>
  <si>
    <t>SOD A4 - PRESENZA PRESSIONE OLIO VALLE ED1.1 (65S.1)</t>
  </si>
  <si>
    <t>SOD A4 - PRESENZA PRESSIONE OLIO VALLE ED1.2 (65S.2)</t>
  </si>
  <si>
    <t>ZTP7.A4</t>
  </si>
  <si>
    <t>SOD A4 - PRESENZA PRESSIONE VALLE VRP3.A4 (20Q)</t>
  </si>
  <si>
    <t>FSW.A4</t>
  </si>
  <si>
    <t>TEMPERATURA BOMBOLE AZOTO ACCUMULATORE GRUPPO</t>
  </si>
  <si>
    <t>MINIMO LIVELLO OLIO ACCUMULATORE GRUPPO</t>
  </si>
  <si>
    <t>VALVOLA INTERCETTAZIONE ACCUMULATORE GRUPPO APERTA</t>
  </si>
  <si>
    <t>PRESSIONE AZOTO ACCUMULATORE GRUPPO</t>
  </si>
  <si>
    <t>MINIMA PRESSIONE AZOTO ACCUMULATORE GRUPPO</t>
  </si>
  <si>
    <t>LIVELLO OLIO ACCUMULATORE GRUPPO</t>
  </si>
  <si>
    <t>Trasduttore di pressione - pressione azoto accumulatore AP</t>
  </si>
  <si>
    <t>lasciato perché gia presente su accumulatore da gruppi da 70</t>
  </si>
  <si>
    <t>blocco hardware</t>
  </si>
  <si>
    <t>non serve digitale, cablare invece l'analogica;</t>
  </si>
  <si>
    <t>Solo per regolatore di velocità</t>
  </si>
  <si>
    <t>TURBINA 1 - COMANDO SPINA/TEGOLO SUPERIORI ABILITATO</t>
  </si>
  <si>
    <t>TURBINA 1 - COMANDO SPINA/TEGOLO INFERIORI ABILITATO</t>
  </si>
  <si>
    <t>CONTROGETTO 1 APERTO</t>
  </si>
  <si>
    <t>CONTROGETTO 1 CHIUSO</t>
  </si>
  <si>
    <t>POSIZIONE SPINA SUPERIORE TURBINA 1</t>
  </si>
  <si>
    <t>POSIZIONE TEGOLO SUPERIORE TURBINA 1</t>
  </si>
  <si>
    <t>Trasduttore di posizione lineare - introduttore spina inferiore turbina 1 sinistra_SSP_INF.1</t>
  </si>
  <si>
    <t>Trasduttore di posizione lineare - servomotore tegolo inferiore turbina 1 sinistra_STE_INF.1</t>
  </si>
  <si>
    <t>POSIZIONE SPINA INFERIORE TURBINA 1</t>
  </si>
  <si>
    <t>POSIZIONE TEGOLO INFERIORE TURBINA 1</t>
  </si>
  <si>
    <t>PRESENZA PERDITE OLIO SPINA SUPERIORE TURBINA 1</t>
  </si>
  <si>
    <t>PRESENZA PERDITE OLIO SPINA INFERIORE TURBINA 1</t>
  </si>
  <si>
    <t>TURBINA 2 - COMANDO SPINA/TEGOLO SUPERIORI ABILITATO</t>
  </si>
  <si>
    <t>TURBINA 2 - COMANDO SPINA/TEGOLO INFERIORI ABILITATO</t>
  </si>
  <si>
    <t>CONTROGETTO 2 APERTO</t>
  </si>
  <si>
    <t>CONTROGETTO 2 CHIUSO</t>
  </si>
  <si>
    <t xml:space="preserve">POSIZIONE SPINA SUPERIORE TURBINA 2 </t>
  </si>
  <si>
    <t xml:space="preserve">POSIZIONE SPINA INFERIORE TURBINA 2 </t>
  </si>
  <si>
    <t xml:space="preserve">POSIZIONE TEGOLO SUPERIORE TURBINA 2 </t>
  </si>
  <si>
    <t xml:space="preserve">POSIZIONE TEGOLO INFERIORE TURBINA 2 </t>
  </si>
  <si>
    <t>Trasduttore di posizione lineare - introduttore spina inferiore turbina 2 destra_SSP_INF.2</t>
  </si>
  <si>
    <t>APERTURA ROTATIVA V41</t>
  </si>
  <si>
    <t>APERTURA BYPASS V41 (PREDISPOSIZIONE)</t>
  </si>
  <si>
    <t>INTASAMENTO FILTRO ACQUA ROTATIVA V41</t>
  </si>
  <si>
    <t>COMANDO ROTATIVA V41 ABILITATO</t>
  </si>
  <si>
    <t>COMANDO BYPASS ROTATIVA V41 ABILITATO (PREDISP.)</t>
  </si>
  <si>
    <t>COMANDO ANELLO ROTATIVA V41 ABILITATO</t>
  </si>
  <si>
    <t>ROTATIVA V41 - ANELLO ACCOSTATO</t>
  </si>
  <si>
    <t>ROTATIVA V41 - ANELLO SCOSTATO</t>
  </si>
  <si>
    <t>ROTATIVA V41 - APERTA</t>
  </si>
  <si>
    <t>ROTATIVA V41 - CHIUSA</t>
  </si>
  <si>
    <t>PRESSIONE MONTE ROTATIVA V41</t>
  </si>
  <si>
    <t>PRESSIONE ACQUA VALLE ROTATIVA V41</t>
  </si>
  <si>
    <t>PRESENZA PRESSIONE ACQUA SCOSTAMENTO ANELLO V41</t>
  </si>
  <si>
    <t>PRESENZA PRESSIONE OLIO APERTURA V41</t>
  </si>
  <si>
    <t>PRESENZA PRESS. OLIO APERTURA BYPASS V41 (PREDISP.)</t>
  </si>
  <si>
    <t>POSIZIONE SERVOMOTORE DI ROTAZIONE V41</t>
  </si>
  <si>
    <t>solo AI</t>
  </si>
  <si>
    <t>ZTP18/1</t>
  </si>
  <si>
    <t>ZS.TV41.ACC.mecc</t>
  </si>
  <si>
    <t>Pizzato</t>
  </si>
  <si>
    <t>ZTP21/1</t>
  </si>
  <si>
    <t>Trasduttore di pressione acqua accosta anello otturatore valvola rotativa V41 - sinistra (PREDISPOSIZIONE)</t>
  </si>
  <si>
    <t xml:space="preserve">PRESENZA PRESSIONE ACQUA ACCOSTAMENTO ANELLO V41 </t>
  </si>
  <si>
    <t>ZS.TV42.ACC.mecc</t>
  </si>
  <si>
    <t xml:space="preserve">Finecorsa anello di tenuta valvola rotativa V42 - destra: accostato </t>
  </si>
  <si>
    <t xml:space="preserve">Finecorsa anello di tenuta valvola rotativa V41 - sinistra: accostato </t>
  </si>
  <si>
    <t>ROTATIVA V42 - ANELLO SCOSTATO</t>
  </si>
  <si>
    <t>ROTATIVA V42 - ANELLO ACCOSTATO</t>
  </si>
  <si>
    <t>ZTP18/2</t>
  </si>
  <si>
    <t>ZTP21/2</t>
  </si>
  <si>
    <t>Trasduttore di pressione acqua rotazione valvola rotativa V41 - sinistra</t>
  </si>
  <si>
    <t>PRESENZA PRESSIONE ACQUA ACCOSTAMENTO ANELLO V42</t>
  </si>
  <si>
    <t>APERTURA ROTATIVA V42</t>
  </si>
  <si>
    <t>APERTURA BYPASS V42 (PREDISPOSIZIONE)</t>
  </si>
  <si>
    <t>INTASAMENTO FILTRO ACQUA ROTATIVA V42</t>
  </si>
  <si>
    <t>COMANDO ROTATIVA V42 ABILITATO</t>
  </si>
  <si>
    <t>COMANDO BYPASS ROTATIVA V42 ABILITATO (PREDISP.)</t>
  </si>
  <si>
    <t>COMANDO ANELLO ROTATIVA V42 ABILITATO</t>
  </si>
  <si>
    <t>ZS.V42.AP.mecc</t>
  </si>
  <si>
    <t>ROTATIVA V42 - APERTA</t>
  </si>
  <si>
    <t>ZS.V41.AP.mecc</t>
  </si>
  <si>
    <t>Finecorsa valvola rotativa V41 - destra: sinistra</t>
  </si>
  <si>
    <t>ROTATIVA V42 - CHIUSA</t>
  </si>
  <si>
    <t>PRESSIONE ACQUA MONTE ROTATIVA V42</t>
  </si>
  <si>
    <t>PRESSIONE ACQUA VALLE ROTATIVA V42</t>
  </si>
  <si>
    <t>Solo AI</t>
  </si>
  <si>
    <t>PRESENZA PRESSIONE ACQUA SCOSTAMENTO ANELLO V42</t>
  </si>
  <si>
    <t>PRESENZA PRESSIONE OLIO APERTURA V42</t>
  </si>
  <si>
    <t>PRESENZA PRESS. OLIO APERTURA BYPASS V42 (PREDISP.)</t>
  </si>
  <si>
    <t>POSIZIONE SERVOMOTORE DI ROTAZIONE V42</t>
  </si>
  <si>
    <t>PRESSIONE ACQUA APERTURA V42 (PREDISPOSIZIONE)</t>
  </si>
  <si>
    <t>solo DI, non cabliamo</t>
  </si>
  <si>
    <t>PRESSIONE ACQUA APERTURA V41 (PREDISPOSIZIONE)</t>
  </si>
  <si>
    <t>AVVIAMENTO POMPA CHIUSURA VALVOLA DI RITEGNO</t>
  </si>
  <si>
    <t>TS1.P4</t>
  </si>
  <si>
    <t>SOD P4 - MASSIMA TEMPERATURA OLIO CENTRALINA</t>
  </si>
  <si>
    <t>LT1.P4</t>
  </si>
  <si>
    <t>Trasduttore di livello olio serbatoio centralina - centralina bassa pressione pompa</t>
  </si>
  <si>
    <t>Centralina oleodinamica bassa pressione P4</t>
  </si>
  <si>
    <t>Accumulatore a pistone bassa pressione P4</t>
  </si>
  <si>
    <t>TE2.P4</t>
  </si>
  <si>
    <t>TEMPERATURA BOMBOLE AZOTO ACCUMULATORE POMPA</t>
  </si>
  <si>
    <t>MINIMO LIVELLO OLIO ACCUMULATORE POMPA</t>
  </si>
  <si>
    <t>/</t>
  </si>
  <si>
    <t>VALVOLA INTERCETTAZIONE ACCUMULATORE POMPA APERTA</t>
  </si>
  <si>
    <t>PRESSIONE AZOTO ACCUMULATORE POMPA</t>
  </si>
  <si>
    <t>MINIMA PRESSIONE AZOTO ACCUMULATORE POMPA</t>
  </si>
  <si>
    <t>LIVELLO OLIO ACCUMULATORE POMPA</t>
  </si>
  <si>
    <t>Solo ai</t>
  </si>
  <si>
    <t>ZS.AOP.P4.all</t>
  </si>
  <si>
    <t>ZS.AOP.P4.bl</t>
  </si>
  <si>
    <t>ZS.MS.P4</t>
  </si>
  <si>
    <t>ZTP8.P4</t>
  </si>
  <si>
    <t>ZTP9.P4</t>
  </si>
  <si>
    <t>ZTS.AOP.P4</t>
  </si>
  <si>
    <t>LS1_HH.P4</t>
  </si>
  <si>
    <t>LS1_LL.P4</t>
  </si>
  <si>
    <t>INSERZIONE GIUNTO</t>
  </si>
  <si>
    <t>ECCITAZIONE EV DI MANCATO INNESTO GIUNTO</t>
  </si>
  <si>
    <t>SOD P4 - ECCITAZIONE EV DI MESSA A SCARICO OLIO</t>
  </si>
  <si>
    <t>EDVSO.P4</t>
  </si>
  <si>
    <t>SOD P4 - AVVIAMENTO RISCALDAMENTO OLIO</t>
  </si>
  <si>
    <t>ER.P4</t>
  </si>
  <si>
    <t>FSW.P4</t>
  </si>
  <si>
    <t>SOD P4 - PRESENZA CIRCOLAZ. ACQUA RAFF.</t>
  </si>
  <si>
    <t>SOD P4 - MAX LIVELLO OLIO CENTRALINA</t>
  </si>
  <si>
    <t>SOD P4 - MIN LIVELLO OLIO CENTRALINA</t>
  </si>
  <si>
    <t>SOD P4 -  LIVELLO OLIO CENTRALINA</t>
  </si>
  <si>
    <t>SOD P4 - PRESENZA PERDITE OLIO CENTRALINA</t>
  </si>
  <si>
    <t>LS3.P4</t>
  </si>
  <si>
    <t>MPO1.P4</t>
  </si>
  <si>
    <t>MPO2.P4</t>
  </si>
  <si>
    <t>SOD P4 - AVVIAMENTO 88QR1</t>
  </si>
  <si>
    <t>SOD P4 - AVVIAMENTO 88QR2</t>
  </si>
  <si>
    <t>PDS1/1.P4</t>
  </si>
  <si>
    <t>PDS1/2.P4</t>
  </si>
  <si>
    <t>SOD P4 - INTASAMENTO FILTRO OLIO 1 MANDATA POMPE</t>
  </si>
  <si>
    <t>SOD P4 - INTASAMENTO FILTRO OLIO 2 MANDATA POMPE</t>
  </si>
  <si>
    <t>SOD P4 - INTASAMENTO FILTRO OLIO IN SCARICO</t>
  </si>
  <si>
    <t>PDS3.P4</t>
  </si>
  <si>
    <t>APERTURA VALVOLA DI RITEGNO</t>
  </si>
  <si>
    <t>APERTURA ROTATIVA V4</t>
  </si>
  <si>
    <t>APERTURA ROTATIVA V40</t>
  </si>
  <si>
    <t>SOD P4 - TEMPERATURA OLIO CENTRALINA</t>
  </si>
  <si>
    <t>TE1.P4</t>
  </si>
  <si>
    <t>SOD P4 - INSERZIONE RAFFREDDAMENTO</t>
  </si>
  <si>
    <t>VMW7.P4</t>
  </si>
  <si>
    <t>EV INNESTO GIUNTO IN POSIZIONE DI DISINNESTO</t>
  </si>
  <si>
    <t>EV INNESTO GIUNTO IN POSIZIONE DI INNESTO</t>
  </si>
  <si>
    <t>SOD P4 - VALVOLA ACQUA RAFF. CENTRALINA APERTA</t>
  </si>
  <si>
    <t>SOD P4 - VALVOLA ACQUA RAFF. CENTRALINA CHIUSA</t>
  </si>
  <si>
    <t xml:space="preserve">PRESENZA PRESSIONE OLIO POMPA CHIUSURA VALVOLA DI RITEGNO </t>
  </si>
  <si>
    <t>PRESENZA PRESSIONE OLIO APERTURA VALVOLA DI RITEGNO</t>
  </si>
  <si>
    <t>PRESENZA PRESSIONE OLIO APERTURA V4</t>
  </si>
  <si>
    <t>PRESENZA PRESSIONE OLIO APERTURA V40</t>
  </si>
  <si>
    <t>SOD P4 - PRESENZA PRESSIONE OLIO 88QR1</t>
  </si>
  <si>
    <t>SOD P4 - PRESENZA PRESSIONE OLIO 88QR2</t>
  </si>
  <si>
    <t>ZTP1.P4</t>
  </si>
  <si>
    <t>ZTP2.P4</t>
  </si>
  <si>
    <t>ZTP3.P4</t>
  </si>
  <si>
    <t>ZTP4.P4</t>
  </si>
  <si>
    <t>ZTP7.P4</t>
  </si>
  <si>
    <t>MINIMO LIVELLO OLIO SERBATOIO DI COMPENSAZIONE</t>
  </si>
  <si>
    <t>INTASAMENTO FILTRO ACQUA ROTATIVE V4/V40</t>
  </si>
  <si>
    <t>VALVOLA DI RITEGNO CHIUSA &lt; 8/10</t>
  </si>
  <si>
    <t>VALVOLA DI RITEGNO APERTA</t>
  </si>
  <si>
    <t>VALVOLA DI RITEGNO CHIUSA</t>
  </si>
  <si>
    <t>ROTATIVA V40 - ACCOSTATA</t>
  </si>
  <si>
    <t>ROTATIVA V40 - APERTA</t>
  </si>
  <si>
    <t>ROTATIVA V40 - CHIUSA</t>
  </si>
  <si>
    <t>'ROTATIVA V40 - SCOSTATA</t>
  </si>
  <si>
    <t>COMANDO ROTATIVA V40 ABILITATO</t>
  </si>
  <si>
    <t>POSIZIONE VALVOLA DI RITEGNO</t>
  </si>
  <si>
    <t>POSIZIONE SERVOMOTORE DI ROTAZIONE V40</t>
  </si>
  <si>
    <t>POSIZIONE SERVOMOTORE DI SCOSTAMENTO V40</t>
  </si>
  <si>
    <t>LQ.min</t>
  </si>
  <si>
    <t>LQ.max</t>
  </si>
  <si>
    <t>MASSIMO LIVELLO OLIO SERBATOIO DI COMPENSAZIONE</t>
  </si>
  <si>
    <t>GIUNTO DISINNESTATO</t>
  </si>
  <si>
    <t>GIUNTO INNESTATO</t>
  </si>
  <si>
    <t>GIUNTO IN FASE DI INNESTO</t>
  </si>
  <si>
    <t>ROTATIVA V4 - ACCOSTATA</t>
  </si>
  <si>
    <t>ROTATIVA V4 - APERTA</t>
  </si>
  <si>
    <t>ROTATIVA V4 - CHIUSA</t>
  </si>
  <si>
    <t>COMANDO ROTATIVA V4 ABILITATO</t>
  </si>
  <si>
    <t>POSIZIONE SERVOMOTORE DI ROTAZIONE V4</t>
  </si>
  <si>
    <t>POSIZIONE SERVOMOTORE DI SCOSTAMENTO V4</t>
  </si>
  <si>
    <t>Livellostato - Massimo livello Serbatoio di compenso sopraelevato</t>
  </si>
  <si>
    <t>Livellostato - Minimo livello Serbatoio di compenso sopraelevato</t>
  </si>
  <si>
    <t>SOD A4 -  LIVELLO OLIO CENTRALINA</t>
  </si>
  <si>
    <t>VALVOLA DI SFIATO MANDATA POMPA APERTA</t>
  </si>
  <si>
    <t>VALVOLA DI SFIATO MANDATA POMPA CHIUSA</t>
  </si>
  <si>
    <t>ZTP.ASP.P4</t>
  </si>
  <si>
    <t>Trasduttore di pressione acqua lato aspirazione pompa</t>
  </si>
  <si>
    <t>Trasduttore di pressione acqua premente pompa</t>
  </si>
  <si>
    <t>ZTP.PRP.P4</t>
  </si>
  <si>
    <t>SOD P4 - PRESENZA PRESSIONE VALLE CENTRIFUGO SOTTOVELOCITA POMPA</t>
  </si>
  <si>
    <t>TEMPERATURA MB PATTINI SPINTA SUPPORTO COMB. P4 (SONDA 1)</t>
  </si>
  <si>
    <t>TEMPERATURA MB PATTINI SPINTA SUPPORTO COMB. P4 (SONDA 2)</t>
  </si>
  <si>
    <t>TEMPERATURA MB GUIDA LATO POMPA SUPPORTO COMB. P4 (SONDA 1)</t>
  </si>
  <si>
    <t>TEMPERATURA MB GUIDA LATO POMPA SUPPORTO COMB. P4 (SONDA 2)</t>
  </si>
  <si>
    <t>TEMPERATURA MB GUIDA LATO GRUPPO SUPPORTO COMB. P4 (SONDA 1)</t>
  </si>
  <si>
    <t>TEMPERATURA MB GUIDA LATO GRUPPO SUPPORTO COMB. P4 (SONDA 2)</t>
  </si>
  <si>
    <t>TEMPERATURA MB PATTINI CONTROSPINTA SUPPORTO COMB. P4 (SONDA 1)</t>
  </si>
  <si>
    <t>TEMPERATURA MB PATTINI CONTROSPINTA SUPPORTO COMB. P4 (SONDA 2)</t>
  </si>
  <si>
    <t>TEMPERATURA OLIO SUPPORTO COMB. P4</t>
  </si>
  <si>
    <t>TEMPERATURA MB SUPPORTO TRONCHETTO</t>
  </si>
  <si>
    <t>TEMPERATURA MB SUPPORTO TRONCHETTO SONDA VALLE</t>
  </si>
  <si>
    <t>TEMPERATURA MB SUPPORTO TRONCHETTO SONDA MONTE</t>
  </si>
  <si>
    <t>TEMPERATURA OLIO SUPPORTO TRONCHETTO</t>
  </si>
  <si>
    <t>TEMPERATURA MB SUPPORTO 1 ALTERNATORE - SONDA DX</t>
  </si>
  <si>
    <t>TEMPERATURA MB SUPPORTO 1 ALTERNATORE - SONDA SX</t>
  </si>
  <si>
    <t>TEMPERATURA MB SUPPORTO 2 ALTERNATORE - SONDA DX</t>
  </si>
  <si>
    <t>TEMPERATURA MB SUPPORTO 2 ALTERNATORE - SONDA SX</t>
  </si>
  <si>
    <t>PRESENZA CIRCOLAZ. OLIO DA POMPA MECCANICA SUPP. COMB. P4</t>
  </si>
  <si>
    <t>PRESENZA CIRCOLAZ. OLIO DA POMPA ELETTRICA SUPP. COMB. P4</t>
  </si>
  <si>
    <t>MAX LIVELLO OLIO SUPPORTO COMB. POMPA</t>
  </si>
  <si>
    <t>MIN LIVELLO OLIO SUPPORTO COMB. POMPA</t>
  </si>
  <si>
    <t>MAX LIVELLO OLIO SUPPORTO TRONCHETTO</t>
  </si>
  <si>
    <t>MIN LIVELLO OLIO SUPPORTO TRONCHETTO</t>
  </si>
  <si>
    <t>PRESENZA PERDITE OLIO SPINA SUP TURB 2</t>
  </si>
  <si>
    <t>PRESENZA PERDITE OLIO SPINA INF TURB 2</t>
  </si>
  <si>
    <t>INTASAMENTO FILTRO OLIO MANDATA POMPE LUB. SUPP. COMB. P4</t>
  </si>
  <si>
    <t>LIVELLO OLIO SUPPORTO TRONCHETTO</t>
  </si>
  <si>
    <t>Aggiornamento generale dopo commenti HDE</t>
  </si>
  <si>
    <t>ZTP.S1.P4</t>
  </si>
  <si>
    <t>ZTP.EQ.P4</t>
  </si>
  <si>
    <t>Trasduttore di pressione acqua: primo stadio pompa P4</t>
  </si>
  <si>
    <t>Trasduttore di pressione acqua: pressione equilibratura pompa P4</t>
  </si>
  <si>
    <t>4-20mA 0÷XX bar</t>
  </si>
  <si>
    <t>Pompa P4</t>
  </si>
  <si>
    <t>GT2M-0150M-D60-1A1</t>
  </si>
  <si>
    <t>MTS</t>
  </si>
  <si>
    <t>Camille bauer</t>
  </si>
  <si>
    <t>WT707</t>
  </si>
  <si>
    <t>GPS-0250M-D60-1A1</t>
  </si>
  <si>
    <t>Trasduttore di livello olio supporto combinato pompa</t>
  </si>
  <si>
    <t>LIVELLO OLIO SUPPORTO COMBINATO POMPA</t>
  </si>
  <si>
    <t>PRESSIONE OLIO PATTINI SPINTA SUPPORTO COMBINATO POMPA</t>
  </si>
  <si>
    <t>PRESSIONE ACQUA DI BILANCIAMENTO POMPA</t>
  </si>
  <si>
    <t>Trasduttore di pressione olio pattini supporto combinato pompa P4 lato spinta</t>
  </si>
  <si>
    <t>ZS.AOP.A4.bl</t>
  </si>
  <si>
    <t>ZS.AOP.A4.all</t>
  </si>
  <si>
    <t>Elettrovalvola bistabile comando VRP3.P4 - centralina bassa pressione pompa</t>
  </si>
  <si>
    <t>ED3.P4 (S20Q.P4)</t>
  </si>
  <si>
    <t>SOD P4 - APERTURA VRP3.P4 (20Q.P4)</t>
  </si>
  <si>
    <t>SOD A4 - APERTURA VRP3.A4 (20Q.A4)</t>
  </si>
  <si>
    <t xml:space="preserve">Trasduttore di pressione acqua rotazione valvola rotativa V42 - destra </t>
  </si>
  <si>
    <t>Trasduttore di posizione lineare - servomotore tegolo inferiore turbina 2 destra_STE_INF.2</t>
  </si>
  <si>
    <t>ZS.VSCA.T1.ap</t>
  </si>
  <si>
    <t>ZS.VSCA.T1.ch</t>
  </si>
  <si>
    <t>ZS.VSCA.T2.ap</t>
  </si>
  <si>
    <t>ZS.VSCA.T2.ch</t>
  </si>
  <si>
    <t>Finecorsa valvola sfiato turbina 1 - sinistra: aperta</t>
  </si>
  <si>
    <t>Finecorsa valvola sfiato turbina 1 - sinistra: chiusa</t>
  </si>
  <si>
    <t>Finecorsa valvola sfiato turbina 2 - destra: aperta</t>
  </si>
  <si>
    <t>Finecorsa valvola sfiato turbina 2 - destra: chiusa</t>
  </si>
  <si>
    <t>VALVOLA DI SFIATO TURBINA 1 APERTA</t>
  </si>
  <si>
    <t>VALVOLA DI SFIATO TURBINA 1 CHIUSA</t>
  </si>
  <si>
    <t>VALVOLA DI SFIATO TURBINA 2 APERTA</t>
  </si>
  <si>
    <t>VALVOLA DI SFIATO TURBINA 2 CHIUSA</t>
  </si>
  <si>
    <t>ZS.VR.AP.mecc</t>
  </si>
  <si>
    <t>ZS.VR.CH.mecc</t>
  </si>
  <si>
    <t>ZS.V4.AP.mecc</t>
  </si>
  <si>
    <t>ZS.V4.ACC.mecc</t>
  </si>
  <si>
    <t>ZS.V40.AP.mecc</t>
  </si>
  <si>
    <t>ZS.V40.ACC.mecc</t>
  </si>
  <si>
    <t>2025-04-29</t>
  </si>
  <si>
    <t>Trasduttore di pressione acqua accosta anello otturatore valvola rotativa V42 - destra (PREDISPOSIZIONE)</t>
  </si>
  <si>
    <t>C</t>
  </si>
  <si>
    <t>2025-07-11</t>
  </si>
  <si>
    <t>Cnt caspani</t>
  </si>
  <si>
    <t>ZS.VMW.IRR.AP</t>
  </si>
  <si>
    <t>ZS.VMW.IRR.CH</t>
  </si>
  <si>
    <t>Valvola motorizzata inserzione irrorazione giranti: Aperta</t>
  </si>
  <si>
    <t>Valvola motorizzata inserzione irrorazione giranti: Chiusa</t>
  </si>
  <si>
    <t>Circuito irrorazione giranti</t>
  </si>
  <si>
    <t>VMW.IRR</t>
  </si>
  <si>
    <t>Valvola motorizzata inserzione irrorazione giranti</t>
  </si>
  <si>
    <t>cnt caspani</t>
  </si>
  <si>
    <t>Aggiunta V.M. irrorazione modificati F.C. giunto</t>
  </si>
  <si>
    <t>400Vca 50HZ 20W</t>
  </si>
  <si>
    <t>11</t>
  </si>
  <si>
    <t>2025-10-03</t>
  </si>
  <si>
    <t>D</t>
  </si>
  <si>
    <t>Mival</t>
  </si>
  <si>
    <t>110Vcc 20W</t>
  </si>
  <si>
    <t>Bosch Rexroth</t>
  </si>
  <si>
    <t>3SED06 CK XX/350 CG125N9K4</t>
  </si>
  <si>
    <t>4WE06 D/OF XX/EG110 N9K4</t>
  </si>
  <si>
    <t>4WE06 Y 6X/EG110 N9K4</t>
  </si>
  <si>
    <t>1500W 400V/3/50 L=600 2.1/2"G</t>
  </si>
  <si>
    <t>LR3000+E43227+E43229</t>
  </si>
  <si>
    <t>M-7,5kW 4P 400/690-50 B5 IE3</t>
  </si>
  <si>
    <t>Sovem</t>
  </si>
  <si>
    <t>DLE20HA50P01 (2bar)</t>
  </si>
  <si>
    <t>2x PT100 1/2"G (100 Ω)</t>
  </si>
  <si>
    <t>Trafag</t>
  </si>
  <si>
    <t>ZCKS2+ZCKD01</t>
  </si>
  <si>
    <t>Integrati nell'attuatore della valvola</t>
  </si>
  <si>
    <t>PN2512</t>
  </si>
  <si>
    <t>M-4kW 4P 230/400-50 B5 IE3</t>
  </si>
  <si>
    <t>RPE3-062J15/11000E1S1</t>
  </si>
  <si>
    <t>ARGO-HYTOS</t>
  </si>
  <si>
    <t>Resistor</t>
  </si>
  <si>
    <t>+110Vcc 30W</t>
  </si>
  <si>
    <t>400Vca 1,5KW</t>
  </si>
  <si>
    <t>400Vca 4KW</t>
  </si>
  <si>
    <t>RL/G1-F3-S2 L=250mm</t>
  </si>
  <si>
    <t>RL/G1-F3-S2 L=550mm</t>
  </si>
  <si>
    <t>RL/G1-F3-S2 L=100mm</t>
  </si>
  <si>
    <t>LR3000+E43337+E43336</t>
  </si>
  <si>
    <t>15kW 4P 400/690-50 B5 IE3 °°</t>
  </si>
  <si>
    <t>TV090U 0-90°C  SPDT</t>
  </si>
  <si>
    <t>G.20/105.B 3/4" + SM.300.ER20</t>
  </si>
  <si>
    <t>Integrati nella valvola EDGI.P4</t>
  </si>
  <si>
    <t>PN2543</t>
  </si>
  <si>
    <t>PN2593</t>
  </si>
  <si>
    <t>3SED10 CK XX/350 CG125N9K4</t>
  </si>
  <si>
    <t>PN2592</t>
  </si>
  <si>
    <t>Eaton</t>
  </si>
  <si>
    <t>AE62.2,5.P.VA</t>
  </si>
  <si>
    <t>4WREE 06 E16-3X/V/24F1</t>
  </si>
  <si>
    <t>4WREE 10 E 25 3X/M/24F1</t>
  </si>
  <si>
    <t>GT2 M 0100M D60 1 A1</t>
  </si>
  <si>
    <t>RL/G1-F3-S2 L=200mm</t>
  </si>
  <si>
    <t>RL/G1-F3-S2 L=240mm</t>
  </si>
  <si>
    <t>RL/G1-F3-S2 L=280mm</t>
  </si>
  <si>
    <t>ROTATIVA V4 - SCOSTATA</t>
  </si>
  <si>
    <t>PN2093</t>
  </si>
  <si>
    <t>Gefran</t>
  </si>
  <si>
    <t>WPA-A-A-1190-E-0000X000X00X0XX</t>
  </si>
  <si>
    <t>Stem</t>
  </si>
  <si>
    <t>AOX005</t>
  </si>
  <si>
    <t>E407 BG BF Z200</t>
  </si>
  <si>
    <t>FD252</t>
  </si>
  <si>
    <t>FD215</t>
  </si>
  <si>
    <t>FD256</t>
  </si>
  <si>
    <t>integrati nell'attuatore AOX005</t>
  </si>
  <si>
    <t>GPS-0200M-D60-1A0</t>
  </si>
  <si>
    <t>FD251</t>
  </si>
  <si>
    <t>Finecorsa valvola rotativa aspirazione pompa V40: Aperta</t>
  </si>
  <si>
    <t>Finecorsa valvola rotativa aspirazione pompa V40: Scostata</t>
  </si>
  <si>
    <t>GPS-0150M-D60-1A1</t>
  </si>
  <si>
    <t>IFH</t>
  </si>
  <si>
    <t xml:space="preserve">Integrato nel filtro </t>
  </si>
  <si>
    <t>BEA15HA50 (1,5bar)</t>
  </si>
  <si>
    <t>borrona</t>
  </si>
  <si>
    <t>ZTP.20VR.P4</t>
  </si>
  <si>
    <t>Trasduttore di pressione acqua a valle 20VR</t>
  </si>
  <si>
    <t>PN2092</t>
  </si>
  <si>
    <t>PI1602+E30116</t>
  </si>
  <si>
    <t>LS6.P4</t>
  </si>
  <si>
    <t>Livellostato - vasca di raccolta perdite giunto rotante innesto giunto a denti - presenza perdita olio</t>
  </si>
  <si>
    <t>PRESENZA PERDITE OLIO GIUNTO ROTANTE INNESTO GIUNTO A DENTI</t>
  </si>
  <si>
    <t>ESISTENTE</t>
  </si>
  <si>
    <t>IEG - INOX- FD 3061 HC 03</t>
  </si>
  <si>
    <t>Vasca di raccolta perdite - Giunto rotante innesto giunto a denti</t>
  </si>
  <si>
    <t>Borroni, Alberto</t>
  </si>
  <si>
    <t>A5S0DS0M1815B74</t>
  </si>
  <si>
    <t>VELOCITÀ 1 PER AUTOMAZIONE</t>
  </si>
  <si>
    <t>VELOCITÀ 2 PER AUTOMAZIONE</t>
  </si>
  <si>
    <t>VELOCITÀ 1 PER REGOLATORE DI VELOCITÀ</t>
  </si>
  <si>
    <t>VELOCITÀ 2 PER REGOLATORE DI VELOCITÀ</t>
  </si>
  <si>
    <t>INTERVENTO CENTRIFUGO DI VELOCITÀ GRUPPO</t>
  </si>
  <si>
    <t>ZTP.63PQ</t>
  </si>
  <si>
    <t>ZTP.SCP.SP</t>
  </si>
  <si>
    <t>Elettronica ridondante, 2x:
4-20mA  0÷100%</t>
  </si>
  <si>
    <t>G.20/105.B 1/2" + SM.300.ER20</t>
  </si>
  <si>
    <t>4-20mA -1÷25bar</t>
  </si>
  <si>
    <t>Elettrovalvola messa a scarico pompe olio - centralina bassa pressione pompa</t>
  </si>
  <si>
    <t>RL/G1-F3-S2 L=400mm</t>
  </si>
  <si>
    <t>Pressostato differenziale - intasamento filtro olio centralina_FO1/2.P4 - centralina bassa pressione pompa</t>
  </si>
  <si>
    <t>Pressostato differenziale - intasamento filtro olio centralina_FO1/1.P4 - centralina bassa pressione pompa</t>
  </si>
  <si>
    <t>Pressostato differenziale - intasamento filtro olio FO3.P4 - centralina bassa pressione pompa</t>
  </si>
  <si>
    <t>Finecorsa valvola manuale vQV4: abilitazione pilotaggio olio rotativa aspirazione pompa V4</t>
  </si>
  <si>
    <t>Finecorsa valvola manuale vQV40: abilitazione pilotaggio olio rotativa mandata pompa V40</t>
  </si>
  <si>
    <t>Trasduttore di pressione - pressione olio valle VRP3.A4 (20Q) - centralina alta pressione turbina</t>
  </si>
  <si>
    <t>Trasduttore di pressione - pressione olio valle VRP3.P4 (20Q.P4) - centralina bassa pressione pompa</t>
  </si>
  <si>
    <t>SOD P4 - PRESENZA PRESSIONE VALLE VRP3.P4 (20Q)</t>
  </si>
  <si>
    <t>SOD P4 - MINIMA PRESSIONE OLIO MONTE VRP3.P4 (20Q)</t>
  </si>
  <si>
    <t>SOD P4 - PRESSIONE OLIO MONTE VRP3.P4 (20Q)</t>
  </si>
  <si>
    <t>Flussostato olio lubrificazione supporto combinato pompa - presenza circolazione da pompa meccanica</t>
  </si>
  <si>
    <t>Flussostato olio lubrificazione supporto combinato pompa - presenza circolazione da pompa elettrica</t>
  </si>
  <si>
    <t>Livellostato livello olio supporto finale: livello olio massimo</t>
  </si>
  <si>
    <t>Supporto finale</t>
  </si>
  <si>
    <t>Livellostato livello olio supporto finale: livello olio minimo</t>
  </si>
  <si>
    <t>Termoresistenza temperatura metallo bianco lato destro - supporto finale</t>
  </si>
  <si>
    <t>Termoresistenza temperatura metallo bianco lato sinistro - supporto finale</t>
  </si>
  <si>
    <t>Termoresistenza temperatura olio supporto finale</t>
  </si>
  <si>
    <t>Trasduttore di livello olio supporto finale</t>
  </si>
  <si>
    <t>MAX LIVELLO OLIO SUPPORTO FINALE</t>
  </si>
  <si>
    <t>MIN LIVELLO OLIO SUPPORTO FINALE</t>
  </si>
  <si>
    <t>TEMPERATURA MB SUPPORTO FINALE - LATO DX</t>
  </si>
  <si>
    <t>TEMPERATURA MB SUPPORTO FINALE - LATO SX</t>
  </si>
  <si>
    <t>TEMPERATURA OLIO SUPPORTO FINALE</t>
  </si>
  <si>
    <t>LIVELLO OLIO SUPPORTO FINALE</t>
  </si>
  <si>
    <t>ZS.VMW7.AP.P4</t>
  </si>
  <si>
    <t>ZS.VMW7.CH.P4</t>
  </si>
  <si>
    <t>Trasduttore di pressione - pressione olio valle ED1.2 (65S.2)</t>
  </si>
  <si>
    <t>4-20mA -1÷100bar</t>
  </si>
  <si>
    <t>SI5000</t>
  </si>
  <si>
    <t>Ins. marca e mod. strumentazione / Modificati segnali indicati con "D" nella colonna "Rev."</t>
  </si>
  <si>
    <t>REV.</t>
  </si>
  <si>
    <t>D: corretta alimentazione</t>
  </si>
  <si>
    <t>D: modificato tipo strumento</t>
  </si>
  <si>
    <t>D: corretta descrizione</t>
  </si>
  <si>
    <t>D: aggiornato tipo strumento</t>
  </si>
  <si>
    <t>D: corretta sigla</t>
  </si>
  <si>
    <t>D: aggiunto strumento</t>
  </si>
  <si>
    <t>SMAS-2AGC06-0000-10546900-RevE-SL_INSTRUMENT_LIST</t>
  </si>
  <si>
    <t>2025-11-17</t>
  </si>
  <si>
    <t>E</t>
  </si>
  <si>
    <t>2026-01-20</t>
  </si>
  <si>
    <t>2-10546900/HSP/E INSTRUMENT LIST</t>
  </si>
  <si>
    <t>17/11/2025 09:21:27</t>
  </si>
  <si>
    <t>17/11/2025 09:21:37</t>
  </si>
  <si>
    <t>FSW1</t>
  </si>
  <si>
    <t>Flussostato acqua irrorazione turbina 1 - presenza circolazione acqua irrorazione turbina 1</t>
  </si>
  <si>
    <t>FSW2</t>
  </si>
  <si>
    <t>Flussostato acqua irrorazione turbina 2 - presenza circolazione acqua irrorazione turbina 2</t>
  </si>
  <si>
    <t>Elenco segnali in revisione E redatto su schema idraulico n. 10527153 Revisione G</t>
  </si>
  <si>
    <t>Aggiunti FSW1 e FSW2 per circuito irrorazione gir.</t>
  </si>
  <si>
    <t>EVC811</t>
  </si>
  <si>
    <t>E12341 (30 m)</t>
  </si>
  <si>
    <t>EVC767 (25 m)</t>
  </si>
  <si>
    <t>WIRABLE SOCKET</t>
  </si>
  <si>
    <t>EVF566</t>
  </si>
  <si>
    <t>EVF388 (25 m)</t>
  </si>
  <si>
    <t>metalna kabelska uvodnica</t>
  </si>
  <si>
    <t>plug-in angled metal connector M18x1,5</t>
  </si>
  <si>
    <t>CONNECTOR CABLES WITH SOCKET</t>
  </si>
  <si>
    <t>ugrađen kabel 30 cm</t>
  </si>
  <si>
    <t>threaded conduit entry PG 13.5</t>
  </si>
  <si>
    <t>370 460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</si>
</sst>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sz val="20"/>
      <name val="Arial Narrow"/>
      <family val="2"/>
    </font>
    <font>
      <sz val="9"/>
      <name val="Arial"/>
      <family val="2"/>
    </font>
    <font>
      <sz val="14"/>
      <color theme="0" tint="-0.499984740745262"/>
      <name val="Arial"/>
      <family val="2"/>
    </font>
    <font>
      <sz val="17"/>
      <color theme="0" tint="-0.499984740745262"/>
      <name val="Arial"/>
      <family val="2"/>
    </font>
    <font>
      <sz val="24"/>
      <color theme="4" tint="-0.499984740745262"/>
      <name val="Arial"/>
      <family val="2"/>
    </font>
    <font>
      <sz val="16"/>
      <color theme="0" tint="-0.499984740745262"/>
      <name val="Arial"/>
      <family val="2"/>
    </font>
    <font>
      <b/>
      <sz val="9"/>
      <name val="Arial"/>
      <family val="2"/>
    </font>
    <font>
      <sz val="16"/>
      <color theme="4" tint="-0.499984740745262"/>
      <name val="Arial"/>
      <family val="2"/>
    </font>
    <font>
      <sz val="14"/>
      <color theme="4" tint="-0.499984740745262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0"/>
      <color rgb="FF000000"/>
      <name val="ArialMT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CE3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2" fillId="0" borderId="0"/>
    <xf numFmtId="0" fontId="12" fillId="0" borderId="0"/>
    <xf numFmtId="0" fontId="1" fillId="0" borderId="0"/>
  </cellStyleXfs>
  <cellXfs count="101">
    <xf numFmtId="0" fontId="0" fillId="0" borderId="0" xfId="0"/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1" applyAlignment="1">
      <alignment vertical="center"/>
    </xf>
    <xf numFmtId="49" fontId="0" fillId="0" borderId="0" xfId="0" applyNumberFormat="1"/>
    <xf numFmtId="49" fontId="7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0" fontId="13" fillId="0" borderId="19" xfId="3" applyFont="1" applyBorder="1" applyAlignment="1">
      <alignment horizontal="center" vertical="center" wrapText="1"/>
    </xf>
    <xf numFmtId="0" fontId="12" fillId="0" borderId="11" xfId="4" applyFont="1" applyBorder="1" applyAlignment="1">
      <alignment horizontal="left" vertical="center" wrapText="1"/>
    </xf>
    <xf numFmtId="0" fontId="12" fillId="0" borderId="10" xfId="3" quotePrefix="1" applyBorder="1" applyAlignment="1">
      <alignment horizontal="left" vertical="center"/>
    </xf>
    <xf numFmtId="0" fontId="12" fillId="0" borderId="15" xfId="3" quotePrefix="1" applyBorder="1" applyAlignment="1">
      <alignment horizontal="left" vertical="center"/>
    </xf>
    <xf numFmtId="0" fontId="12" fillId="0" borderId="10" xfId="3" quotePrefix="1" applyBorder="1" applyAlignment="1">
      <alignment vertical="center"/>
    </xf>
    <xf numFmtId="0" fontId="12" fillId="0" borderId="10" xfId="3" quotePrefix="1" applyBorder="1" applyAlignment="1">
      <alignment vertical="center" wrapText="1"/>
    </xf>
    <xf numFmtId="0" fontId="12" fillId="0" borderId="10" xfId="4" applyFont="1" applyBorder="1" applyAlignment="1">
      <alignment horizontal="left" vertical="center" wrapText="1"/>
    </xf>
    <xf numFmtId="0" fontId="12" fillId="0" borderId="6" xfId="4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4" quotePrefix="1" applyFont="1" applyBorder="1" applyAlignment="1">
      <alignment horizontal="left" vertical="center" wrapText="1"/>
    </xf>
    <xf numFmtId="0" fontId="12" fillId="0" borderId="10" xfId="3" quotePrefix="1" applyBorder="1" applyAlignment="1">
      <alignment horizontal="left" vertical="center" wrapText="1"/>
    </xf>
    <xf numFmtId="0" fontId="12" fillId="0" borderId="10" xfId="0" quotePrefix="1" applyFont="1" applyBorder="1" applyAlignment="1">
      <alignment vertical="center"/>
    </xf>
    <xf numFmtId="0" fontId="13" fillId="0" borderId="17" xfId="3" quotePrefix="1" applyFont="1" applyBorder="1" applyAlignment="1">
      <alignment vertical="center" wrapText="1"/>
    </xf>
    <xf numFmtId="0" fontId="13" fillId="0" borderId="18" xfId="3" quotePrefix="1" applyFont="1" applyBorder="1" applyAlignment="1">
      <alignment vertical="center" wrapText="1"/>
    </xf>
    <xf numFmtId="0" fontId="13" fillId="0" borderId="18" xfId="3" applyFont="1" applyBorder="1" applyAlignment="1">
      <alignment vertical="center" wrapText="1"/>
    </xf>
    <xf numFmtId="0" fontId="13" fillId="0" borderId="19" xfId="3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12" fillId="0" borderId="16" xfId="4" applyFont="1" applyBorder="1" applyAlignment="1">
      <alignment horizontal="left" vertical="center" wrapText="1"/>
    </xf>
    <xf numFmtId="0" fontId="12" fillId="0" borderId="15" xfId="3" quotePrefix="1" applyBorder="1" applyAlignment="1">
      <alignment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0" xfId="4" applyFont="1" applyBorder="1" applyAlignment="1">
      <alignment horizontal="left" vertical="center" wrapText="1"/>
    </xf>
    <xf numFmtId="0" fontId="12" fillId="0" borderId="21" xfId="3" quotePrefix="1" applyBorder="1" applyAlignment="1">
      <alignment horizontal="left" vertical="center"/>
    </xf>
    <xf numFmtId="0" fontId="12" fillId="0" borderId="15" xfId="4" applyFont="1" applyBorder="1" applyAlignment="1">
      <alignment horizontal="left" vertical="center" wrapText="1"/>
    </xf>
    <xf numFmtId="0" fontId="12" fillId="0" borderId="3" xfId="4" applyFont="1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12" fillId="0" borderId="10" xfId="3" applyBorder="1" applyAlignment="1">
      <alignment horizontal="left" vertical="center"/>
    </xf>
    <xf numFmtId="0" fontId="0" fillId="0" borderId="10" xfId="0" applyBorder="1"/>
    <xf numFmtId="0" fontId="0" fillId="0" borderId="6" xfId="0" applyBorder="1"/>
    <xf numFmtId="0" fontId="12" fillId="0" borderId="11" xfId="0" applyFont="1" applyBorder="1" applyAlignment="1">
      <alignment vertical="center"/>
    </xf>
    <xf numFmtId="0" fontId="12" fillId="0" borderId="0" xfId="3" quotePrefix="1" applyAlignment="1">
      <alignment horizontal="left" vertical="center"/>
    </xf>
    <xf numFmtId="0" fontId="0" fillId="0" borderId="10" xfId="0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12" xfId="0" applyFont="1" applyBorder="1" applyAlignment="1">
      <alignment horizontal="center"/>
    </xf>
    <xf numFmtId="0" fontId="12" fillId="0" borderId="2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3" borderId="10" xfId="3" quotePrefix="1" applyFill="1" applyBorder="1" applyAlignment="1">
      <alignment vertical="center"/>
    </xf>
    <xf numFmtId="0" fontId="12" fillId="3" borderId="10" xfId="3" quotePrefix="1" applyFill="1" applyBorder="1" applyAlignment="1">
      <alignment vertical="center" wrapText="1"/>
    </xf>
    <xf numFmtId="0" fontId="12" fillId="3" borderId="10" xfId="4" quotePrefix="1" applyFont="1" applyFill="1" applyBorder="1" applyAlignment="1">
      <alignment horizontal="left" vertical="center" wrapText="1"/>
    </xf>
    <xf numFmtId="0" fontId="12" fillId="4" borderId="10" xfId="3" quotePrefix="1" applyFill="1" applyBorder="1" applyAlignment="1">
      <alignment vertical="center"/>
    </xf>
    <xf numFmtId="0" fontId="0" fillId="0" borderId="15" xfId="0" applyBorder="1"/>
    <xf numFmtId="0" fontId="12" fillId="0" borderId="15" xfId="0" applyFont="1" applyBorder="1"/>
    <xf numFmtId="0" fontId="12" fillId="0" borderId="15" xfId="0" applyFont="1" applyBorder="1" applyAlignment="1">
      <alignment vertical="center"/>
    </xf>
    <xf numFmtId="0" fontId="12" fillId="0" borderId="21" xfId="3" quotePrefix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0" fillId="3" borderId="10" xfId="0" applyFill="1" applyBorder="1" applyAlignment="1">
      <alignment vertical="center"/>
    </xf>
    <xf numFmtId="0" fontId="12" fillId="0" borderId="21" xfId="3" quotePrefix="1" applyBorder="1" applyAlignment="1">
      <alignment vertical="center"/>
    </xf>
    <xf numFmtId="49" fontId="12" fillId="0" borderId="10" xfId="3" quotePrefix="1" applyNumberFormat="1" applyBorder="1" applyAlignment="1">
      <alignment vertical="center" wrapText="1"/>
    </xf>
    <xf numFmtId="0" fontId="12" fillId="5" borderId="10" xfId="3" quotePrefix="1" applyFill="1" applyBorder="1" applyAlignment="1">
      <alignment vertical="center"/>
    </xf>
    <xf numFmtId="0" fontId="12" fillId="5" borderId="10" xfId="3" quotePrefix="1" applyFill="1" applyBorder="1" applyAlignment="1">
      <alignment vertical="center" wrapText="1"/>
    </xf>
    <xf numFmtId="0" fontId="2" fillId="0" borderId="14" xfId="4" applyFont="1" applyBorder="1" applyAlignment="1">
      <alignment horizontal="center" vertical="center" wrapText="1"/>
    </xf>
    <xf numFmtId="0" fontId="2" fillId="0" borderId="0" xfId="4" applyFont="1" applyAlignment="1">
      <alignment horizontal="center" vertical="center" wrapText="1"/>
    </xf>
    <xf numFmtId="49" fontId="1" fillId="2" borderId="6" xfId="1" applyNumberFormat="1" applyFill="1" applyBorder="1" applyAlignment="1">
      <alignment horizontal="justify" vertical="center" wrapText="1"/>
    </xf>
    <xf numFmtId="49" fontId="15" fillId="2" borderId="7" xfId="1" applyNumberFormat="1" applyFont="1" applyFill="1" applyBorder="1" applyAlignment="1">
      <alignment horizontal="justify" vertical="center"/>
    </xf>
    <xf numFmtId="49" fontId="15" fillId="2" borderId="8" xfId="1" applyNumberFormat="1" applyFont="1" applyFill="1" applyBorder="1" applyAlignment="1">
      <alignment horizontal="justify" vertical="center"/>
    </xf>
    <xf numFmtId="49" fontId="1" fillId="2" borderId="6" xfId="1" applyNumberFormat="1" applyFill="1" applyBorder="1" applyAlignment="1">
      <alignment horizontal="left" vertical="center"/>
    </xf>
    <xf numFmtId="49" fontId="1" fillId="2" borderId="7" xfId="1" applyNumberFormat="1" applyFill="1" applyBorder="1" applyAlignment="1">
      <alignment horizontal="left" vertical="center"/>
    </xf>
    <xf numFmtId="49" fontId="1" fillId="2" borderId="8" xfId="1" applyNumberFormat="1" applyFill="1" applyBorder="1" applyAlignment="1">
      <alignment horizontal="left" vertical="center"/>
    </xf>
    <xf numFmtId="0" fontId="1" fillId="2" borderId="6" xfId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0" fontId="1" fillId="2" borderId="7" xfId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49" fontId="9" fillId="2" borderId="6" xfId="1" applyNumberFormat="1" applyFont="1" applyFill="1" applyBorder="1" applyAlignment="1">
      <alignment horizontal="center" vertical="center"/>
    </xf>
    <xf numFmtId="49" fontId="9" fillId="2" borderId="7" xfId="1" applyNumberFormat="1" applyFont="1" applyFill="1" applyBorder="1" applyAlignment="1">
      <alignment horizontal="center" vertical="center"/>
    </xf>
    <xf numFmtId="49" fontId="9" fillId="2" borderId="8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</cellXfs>
  <cellStyles count="5">
    <cellStyle name="Normal" xfId="0" builtinId="0"/>
    <cellStyle name="Normale 2" xfId="3" xr:uid="{EF407F57-ECE4-42E4-9133-8C83AC0D4FE4}"/>
    <cellStyle name="Normale 3" xfId="2" xr:uid="{DA7BF903-BDA6-47D8-9F79-08305993EAD8}"/>
    <cellStyle name="Standard_PPPP-GIISS-UUMM-TTT_STD_Excel_Landscape_A3_Identical" xfId="4" xr:uid="{13CC0416-57E8-48B6-96E8-89D7D07C1255}"/>
    <cellStyle name="Standard_PPPP-GIISS-UUMM-TTT_STD_Excel_Portrait_A4_Identical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1E78"/>
      <rgbColor rgb="00009900"/>
      <rgbColor rgb="00FFFFCC"/>
      <rgbColor rgb="00FFCCFF"/>
      <rgbColor rgb="00D2D2D2"/>
      <rgbColor rgb="00FFCCCC"/>
      <rgbColor rgb="00FF0066"/>
      <rgbColor rgb="00CCCCFF"/>
      <rgbColor rgb="00000000"/>
      <rgbColor rgb="009B9B9B"/>
      <rgbColor rgb="00E6F0FA"/>
      <rgbColor rgb="007D7D7D"/>
      <rgbColor rgb="00CC99FF"/>
      <rgbColor rgb="00B9B9B9"/>
      <rgbColor rgb="0099CCFF"/>
      <rgbColor rgb="00FFFFFF"/>
      <rgbColor rgb="00FFFFCC"/>
      <rgbColor rgb="00FFF58C"/>
      <rgbColor rgb="00CCCCFF"/>
      <rgbColor rgb="00CCECFF"/>
      <rgbColor rgb="00CCFFCC"/>
      <rgbColor rgb="00CCFF99"/>
      <rgbColor rgb="00FFCCFF"/>
      <rgbColor rgb="00FFCCCC"/>
      <rgbColor rgb="00001E78"/>
      <rgbColor rgb="00000000"/>
      <rgbColor rgb="00960032"/>
      <rgbColor rgb="00800080"/>
      <rgbColor rgb="00009900"/>
      <rgbColor rgb="003366FF"/>
      <rgbColor rgb="00FF0066"/>
      <rgbColor rgb="00FF6600"/>
      <rgbColor rgb="00CCECFF"/>
      <rgbColor rgb="00CCFF66"/>
      <rgbColor rgb="0099FF33"/>
      <rgbColor rgb="0099FF99"/>
      <rgbColor rgb="00CCFF99"/>
      <rgbColor rgb="003366FF"/>
      <rgbColor rgb="00CCFFCC"/>
      <rgbColor rgb="0099FFCC"/>
      <rgbColor rgb="00FF99CC"/>
      <rgbColor rgb="00FF6600"/>
      <rgbColor rgb="00FFCC99"/>
      <rgbColor rgb="00FF9999"/>
      <rgbColor rgb="00FFF58C"/>
      <rgbColor rgb="005F5F5F"/>
      <rgbColor rgb="00E6E6E6"/>
      <rgbColor rgb="00800080"/>
      <rgbColor rgb="00C8DCF0"/>
      <rgbColor rgb="00FF9900"/>
      <rgbColor rgb="00A5BEDC"/>
      <rgbColor rgb="008296C8"/>
      <rgbColor rgb="00465FA5"/>
      <rgbColor rgb="00CCFFFF"/>
      <rgbColor rgb="00960032"/>
      <rgbColor rgb="00FFD7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161193</xdr:rowOff>
    </xdr:from>
    <xdr:to>
      <xdr:col>3</xdr:col>
      <xdr:colOff>65943</xdr:colOff>
      <xdr:row>33</xdr:row>
      <xdr:rowOff>102578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 rot="16200000">
          <a:off x="-1381124" y="4824779"/>
          <a:ext cx="3238499" cy="476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6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reproduction, distribution and utilization of this document as well as the</a:t>
          </a:r>
          <a:endParaRPr lang="de-DE" sz="6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n-GB" sz="6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communication of its contents to others without express authorization is prohibited.</a:t>
          </a:r>
          <a:endParaRPr lang="de-DE" sz="6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n-GB" sz="6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Offenders will be held liable for the payment of damages.</a:t>
          </a:r>
          <a:endParaRPr lang="de-DE" sz="6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n-GB" sz="6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All rights reserved in the event of the grant of a patent, utility model or design.</a:t>
          </a:r>
          <a:endParaRPr lang="de-DE" sz="6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endParaRPr lang="de-DE" sz="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33</xdr:col>
      <xdr:colOff>40480</xdr:colOff>
      <xdr:row>1</xdr:row>
      <xdr:rowOff>20239</xdr:rowOff>
    </xdr:from>
    <xdr:to>
      <xdr:col>43</xdr:col>
      <xdr:colOff>8333</xdr:colOff>
      <xdr:row>2</xdr:row>
      <xdr:rowOff>129410</xdr:rowOff>
    </xdr:to>
    <xdr:pic>
      <xdr:nvPicPr>
        <xdr:cNvPr id="1032" name="Picture 5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5589" y="115489"/>
          <a:ext cx="1396603" cy="326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B151"/>
  <sheetViews>
    <sheetView topLeftCell="A60" workbookViewId="0">
      <selection activeCell="C99" sqref="C99"/>
    </sheetView>
  </sheetViews>
  <sheetFormatPr defaultColWidth="11.42578125" defaultRowHeight="12.75"/>
  <sheetData>
    <row r="1" spans="1:2">
      <c r="A1" t="s">
        <v>8</v>
      </c>
      <c r="B1" s="5" t="s">
        <v>1078</v>
      </c>
    </row>
    <row r="2" spans="1:2">
      <c r="A2" t="s">
        <v>9</v>
      </c>
      <c r="B2" s="5" t="s">
        <v>353</v>
      </c>
    </row>
    <row r="3" spans="1:2">
      <c r="A3" t="s">
        <v>10</v>
      </c>
      <c r="B3" s="5" t="s">
        <v>354</v>
      </c>
    </row>
    <row r="4" spans="1:2">
      <c r="A4" t="s">
        <v>11</v>
      </c>
      <c r="B4" s="5" t="s">
        <v>354</v>
      </c>
    </row>
    <row r="5" spans="1:2">
      <c r="A5" t="s">
        <v>12</v>
      </c>
      <c r="B5" s="5" t="s">
        <v>593</v>
      </c>
    </row>
    <row r="6" spans="1:2">
      <c r="A6" t="s">
        <v>13</v>
      </c>
      <c r="B6" s="5" t="s">
        <v>599</v>
      </c>
    </row>
    <row r="7" spans="1:2">
      <c r="A7" t="s">
        <v>14</v>
      </c>
      <c r="B7" s="5" t="s">
        <v>118</v>
      </c>
    </row>
    <row r="8" spans="1:2">
      <c r="A8" t="s">
        <v>15</v>
      </c>
      <c r="B8" s="5" t="s">
        <v>354</v>
      </c>
    </row>
    <row r="9" spans="1:2">
      <c r="A9" t="s">
        <v>16</v>
      </c>
      <c r="B9" s="5" t="s">
        <v>935</v>
      </c>
    </row>
    <row r="10" spans="1:2">
      <c r="A10" t="s">
        <v>17</v>
      </c>
      <c r="B10" s="5" t="s">
        <v>937</v>
      </c>
    </row>
    <row r="11" spans="1:2">
      <c r="A11" t="s">
        <v>18</v>
      </c>
      <c r="B11" s="5" t="s">
        <v>118</v>
      </c>
    </row>
    <row r="12" spans="1:2">
      <c r="A12" t="s">
        <v>19</v>
      </c>
      <c r="B12" s="5" t="s">
        <v>354</v>
      </c>
    </row>
    <row r="13" spans="1:2">
      <c r="A13" t="s">
        <v>20</v>
      </c>
      <c r="B13" s="5" t="s">
        <v>951</v>
      </c>
    </row>
    <row r="14" spans="1:2">
      <c r="A14" t="s">
        <v>21</v>
      </c>
      <c r="B14" s="5" t="s">
        <v>952</v>
      </c>
    </row>
    <row r="15" spans="1:2">
      <c r="A15" t="s">
        <v>22</v>
      </c>
      <c r="B15" s="5" t="s">
        <v>1015</v>
      </c>
    </row>
    <row r="16" spans="1:2">
      <c r="A16" t="s">
        <v>23</v>
      </c>
      <c r="B16" s="5" t="s">
        <v>354</v>
      </c>
    </row>
    <row r="17" spans="1:2">
      <c r="A17" t="s">
        <v>24</v>
      </c>
      <c r="B17" s="5" t="s">
        <v>1079</v>
      </c>
    </row>
    <row r="18" spans="1:2">
      <c r="A18" t="s">
        <v>25</v>
      </c>
      <c r="B18" s="5" t="s">
        <v>1080</v>
      </c>
    </row>
    <row r="19" spans="1:2">
      <c r="A19" t="s">
        <v>26</v>
      </c>
      <c r="B19" s="5" t="s">
        <v>118</v>
      </c>
    </row>
    <row r="20" spans="1:2">
      <c r="A20" t="s">
        <v>27</v>
      </c>
      <c r="B20" s="5" t="s">
        <v>110</v>
      </c>
    </row>
    <row r="21" spans="1:2">
      <c r="A21" t="s">
        <v>28</v>
      </c>
      <c r="B21" s="5" t="s">
        <v>110</v>
      </c>
    </row>
    <row r="22" spans="1:2">
      <c r="A22" t="s">
        <v>29</v>
      </c>
      <c r="B22" s="5" t="s">
        <v>110</v>
      </c>
    </row>
    <row r="23" spans="1:2">
      <c r="A23" t="s">
        <v>30</v>
      </c>
      <c r="B23" s="5" t="s">
        <v>110</v>
      </c>
    </row>
    <row r="24" spans="1:2">
      <c r="A24" t="s">
        <v>31</v>
      </c>
      <c r="B24" s="5" t="s">
        <v>110</v>
      </c>
    </row>
    <row r="25" spans="1:2">
      <c r="A25" t="s">
        <v>32</v>
      </c>
      <c r="B25" s="5" t="s">
        <v>110</v>
      </c>
    </row>
    <row r="26" spans="1:2">
      <c r="A26" t="s">
        <v>33</v>
      </c>
      <c r="B26" s="5" t="s">
        <v>351</v>
      </c>
    </row>
    <row r="27" spans="1:2">
      <c r="A27" t="s">
        <v>34</v>
      </c>
      <c r="B27" s="5" t="s">
        <v>111</v>
      </c>
    </row>
    <row r="28" spans="1:2">
      <c r="A28" t="s">
        <v>35</v>
      </c>
      <c r="B28" s="5" t="s">
        <v>112</v>
      </c>
    </row>
    <row r="29" spans="1:2">
      <c r="A29" t="s">
        <v>36</v>
      </c>
      <c r="B29" s="5" t="s">
        <v>113</v>
      </c>
    </row>
    <row r="30" spans="1:2">
      <c r="A30" t="s">
        <v>37</v>
      </c>
      <c r="B30" s="5" t="s">
        <v>114</v>
      </c>
    </row>
    <row r="31" spans="1:2">
      <c r="A31" t="s">
        <v>38</v>
      </c>
      <c r="B31" s="5" t="s">
        <v>115</v>
      </c>
    </row>
    <row r="32" spans="1:2">
      <c r="A32" t="s">
        <v>39</v>
      </c>
      <c r="B32" s="5" t="s">
        <v>116</v>
      </c>
    </row>
    <row r="33" spans="1:2">
      <c r="A33" t="s">
        <v>40</v>
      </c>
      <c r="B33" s="5" t="s">
        <v>1080</v>
      </c>
    </row>
    <row r="34" spans="1:2">
      <c r="A34" t="s">
        <v>41</v>
      </c>
      <c r="B34" s="5" t="s">
        <v>110</v>
      </c>
    </row>
    <row r="35" spans="1:2">
      <c r="A35" t="s">
        <v>42</v>
      </c>
      <c r="B35" s="5" t="s">
        <v>111</v>
      </c>
    </row>
    <row r="36" spans="1:2">
      <c r="A36" t="s">
        <v>43</v>
      </c>
      <c r="B36" s="5" t="s">
        <v>117</v>
      </c>
    </row>
    <row r="37" spans="1:2">
      <c r="A37" t="s">
        <v>44</v>
      </c>
      <c r="B37" s="5" t="s">
        <v>110</v>
      </c>
    </row>
    <row r="38" spans="1:2">
      <c r="A38" t="s">
        <v>45</v>
      </c>
      <c r="B38" s="5" t="s">
        <v>110</v>
      </c>
    </row>
    <row r="39" spans="1:2">
      <c r="A39" t="s">
        <v>46</v>
      </c>
      <c r="B39" s="5" t="s">
        <v>110</v>
      </c>
    </row>
    <row r="40" spans="1:2">
      <c r="A40" t="s">
        <v>47</v>
      </c>
      <c r="B40" s="5" t="s">
        <v>110</v>
      </c>
    </row>
    <row r="41" spans="1:2">
      <c r="A41" t="s">
        <v>48</v>
      </c>
      <c r="B41" s="5" t="s">
        <v>118</v>
      </c>
    </row>
    <row r="42" spans="1:2">
      <c r="A42" t="s">
        <v>49</v>
      </c>
      <c r="B42" s="5" t="s">
        <v>118</v>
      </c>
    </row>
    <row r="43" spans="1:2">
      <c r="A43" t="s">
        <v>50</v>
      </c>
      <c r="B43" s="5" t="s">
        <v>119</v>
      </c>
    </row>
    <row r="44" spans="1:2">
      <c r="A44" t="s">
        <v>51</v>
      </c>
      <c r="B44" s="5" t="s">
        <v>119</v>
      </c>
    </row>
    <row r="45" spans="1:2">
      <c r="A45" t="s">
        <v>52</v>
      </c>
      <c r="B45" s="5" t="s">
        <v>354</v>
      </c>
    </row>
    <row r="46" spans="1:2">
      <c r="A46" t="s">
        <v>53</v>
      </c>
      <c r="B46" s="5" t="s">
        <v>119</v>
      </c>
    </row>
    <row r="47" spans="1:2">
      <c r="A47" t="s">
        <v>54</v>
      </c>
      <c r="B47" s="5" t="s">
        <v>354</v>
      </c>
    </row>
    <row r="48" spans="1:2">
      <c r="A48" t="s">
        <v>55</v>
      </c>
      <c r="B48" s="5" t="s">
        <v>1081</v>
      </c>
    </row>
    <row r="49" spans="1:2">
      <c r="A49" t="s">
        <v>56</v>
      </c>
      <c r="B49" s="5" t="s">
        <v>118</v>
      </c>
    </row>
    <row r="50" spans="1:2">
      <c r="A50" t="s">
        <v>57</v>
      </c>
      <c r="B50" s="5" t="s">
        <v>120</v>
      </c>
    </row>
    <row r="51" spans="1:2">
      <c r="A51" t="s">
        <v>58</v>
      </c>
      <c r="B51" s="5" t="s">
        <v>120</v>
      </c>
    </row>
    <row r="52" spans="1:2">
      <c r="A52" t="s">
        <v>59</v>
      </c>
      <c r="B52" s="5" t="s">
        <v>110</v>
      </c>
    </row>
    <row r="53" spans="1:2">
      <c r="A53" t="s">
        <v>60</v>
      </c>
      <c r="B53" s="5" t="s">
        <v>1082</v>
      </c>
    </row>
    <row r="54" spans="1:2">
      <c r="A54" t="s">
        <v>61</v>
      </c>
      <c r="B54" s="5" t="s">
        <v>121</v>
      </c>
    </row>
    <row r="55" spans="1:2">
      <c r="A55" t="s">
        <v>62</v>
      </c>
      <c r="B55" s="5" t="s">
        <v>122</v>
      </c>
    </row>
    <row r="56" spans="1:2">
      <c r="A56" t="s">
        <v>63</v>
      </c>
      <c r="B56" s="5" t="s">
        <v>111</v>
      </c>
    </row>
    <row r="57" spans="1:2">
      <c r="A57" t="s">
        <v>64</v>
      </c>
      <c r="B57" s="5" t="s">
        <v>123</v>
      </c>
    </row>
    <row r="58" spans="1:2">
      <c r="A58" t="s">
        <v>65</v>
      </c>
      <c r="B58" s="5" t="s">
        <v>110</v>
      </c>
    </row>
    <row r="59" spans="1:2">
      <c r="A59" t="s">
        <v>66</v>
      </c>
      <c r="B59" s="5" t="s">
        <v>124</v>
      </c>
    </row>
    <row r="60" spans="1:2">
      <c r="A60" t="s">
        <v>67</v>
      </c>
      <c r="B60" s="5" t="s">
        <v>110</v>
      </c>
    </row>
    <row r="61" spans="1:2">
      <c r="A61" t="s">
        <v>68</v>
      </c>
      <c r="B61" s="5" t="s">
        <v>125</v>
      </c>
    </row>
    <row r="62" spans="1:2">
      <c r="A62" t="s">
        <v>69</v>
      </c>
      <c r="B62" s="5" t="s">
        <v>950</v>
      </c>
    </row>
    <row r="63" spans="1:2">
      <c r="A63" t="s">
        <v>70</v>
      </c>
      <c r="B63" s="5" t="s">
        <v>110</v>
      </c>
    </row>
    <row r="64" spans="1:2">
      <c r="A64" t="s">
        <v>71</v>
      </c>
      <c r="B64" s="5" t="s">
        <v>110</v>
      </c>
    </row>
    <row r="65" spans="1:2">
      <c r="A65" t="s">
        <v>72</v>
      </c>
      <c r="B65" s="5" t="s">
        <v>110</v>
      </c>
    </row>
    <row r="66" spans="1:2">
      <c r="A66" t="s">
        <v>73</v>
      </c>
      <c r="B66" s="5" t="s">
        <v>110</v>
      </c>
    </row>
    <row r="67" spans="1:2">
      <c r="A67" t="s">
        <v>126</v>
      </c>
      <c r="B67" s="5" t="s">
        <v>355</v>
      </c>
    </row>
    <row r="68" spans="1:2">
      <c r="A68" t="s">
        <v>127</v>
      </c>
      <c r="B68" s="5" t="s">
        <v>110</v>
      </c>
    </row>
    <row r="69" spans="1:2">
      <c r="A69" t="s">
        <v>128</v>
      </c>
      <c r="B69" s="5" t="s">
        <v>110</v>
      </c>
    </row>
    <row r="70" spans="1:2">
      <c r="A70" t="s">
        <v>129</v>
      </c>
      <c r="B70" s="5" t="s">
        <v>600</v>
      </c>
    </row>
    <row r="71" spans="1:2">
      <c r="A71" t="s">
        <v>130</v>
      </c>
      <c r="B71" s="5" t="s">
        <v>110</v>
      </c>
    </row>
    <row r="72" spans="1:2">
      <c r="A72" t="s">
        <v>131</v>
      </c>
      <c r="B72" s="5" t="s">
        <v>110</v>
      </c>
    </row>
    <row r="73" spans="1:2">
      <c r="A73" t="s">
        <v>132</v>
      </c>
      <c r="B73" s="5" t="s">
        <v>938</v>
      </c>
    </row>
    <row r="74" spans="1:2">
      <c r="A74" t="s">
        <v>133</v>
      </c>
      <c r="B74" s="5" t="s">
        <v>110</v>
      </c>
    </row>
    <row r="75" spans="1:2">
      <c r="A75" t="s">
        <v>134</v>
      </c>
      <c r="B75" s="5" t="s">
        <v>110</v>
      </c>
    </row>
    <row r="76" spans="1:2">
      <c r="A76" t="s">
        <v>135</v>
      </c>
      <c r="B76" s="5" t="s">
        <v>951</v>
      </c>
    </row>
    <row r="77" spans="1:2">
      <c r="A77" t="s">
        <v>136</v>
      </c>
      <c r="B77" s="5" t="s">
        <v>110</v>
      </c>
    </row>
    <row r="78" spans="1:2">
      <c r="A78" t="s">
        <v>137</v>
      </c>
      <c r="B78" s="5" t="s">
        <v>110</v>
      </c>
    </row>
    <row r="79" spans="1:2">
      <c r="A79" t="s">
        <v>138</v>
      </c>
      <c r="B79" s="5" t="s">
        <v>1081</v>
      </c>
    </row>
    <row r="80" spans="1:2">
      <c r="A80" t="s">
        <v>139</v>
      </c>
      <c r="B80" s="5" t="s">
        <v>110</v>
      </c>
    </row>
    <row r="81" spans="1:2">
      <c r="A81" t="s">
        <v>140</v>
      </c>
      <c r="B81" s="5" t="s">
        <v>110</v>
      </c>
    </row>
    <row r="82" spans="1:2">
      <c r="A82" t="s">
        <v>141</v>
      </c>
      <c r="B82" s="5" t="s">
        <v>110</v>
      </c>
    </row>
    <row r="83" spans="1:2">
      <c r="A83" t="s">
        <v>142</v>
      </c>
      <c r="B83" s="5" t="s">
        <v>110</v>
      </c>
    </row>
    <row r="84" spans="1:2">
      <c r="A84" t="s">
        <v>143</v>
      </c>
      <c r="B84" s="5" t="s">
        <v>110</v>
      </c>
    </row>
    <row r="85" spans="1:2">
      <c r="A85" t="s">
        <v>144</v>
      </c>
      <c r="B85" s="5" t="s">
        <v>110</v>
      </c>
    </row>
    <row r="86" spans="1:2">
      <c r="A86" t="s">
        <v>145</v>
      </c>
      <c r="B86" s="5" t="s">
        <v>110</v>
      </c>
    </row>
    <row r="87" spans="1:2">
      <c r="A87" t="s">
        <v>146</v>
      </c>
      <c r="B87" s="5" t="s">
        <v>110</v>
      </c>
    </row>
    <row r="88" spans="1:2">
      <c r="A88" t="s">
        <v>147</v>
      </c>
      <c r="B88" s="5" t="s">
        <v>110</v>
      </c>
    </row>
    <row r="89" spans="1:2">
      <c r="A89" t="s">
        <v>148</v>
      </c>
      <c r="B89" s="5" t="s">
        <v>110</v>
      </c>
    </row>
    <row r="90" spans="1:2">
      <c r="A90" t="s">
        <v>149</v>
      </c>
      <c r="B90" s="5" t="s">
        <v>110</v>
      </c>
    </row>
    <row r="91" spans="1:2">
      <c r="A91" t="s">
        <v>150</v>
      </c>
      <c r="B91" s="5" t="s">
        <v>110</v>
      </c>
    </row>
    <row r="92" spans="1:2">
      <c r="A92" t="s">
        <v>151</v>
      </c>
      <c r="B92" s="5" t="s">
        <v>110</v>
      </c>
    </row>
    <row r="93" spans="1:2">
      <c r="A93" t="s">
        <v>152</v>
      </c>
      <c r="B93" s="5" t="s">
        <v>110</v>
      </c>
    </row>
    <row r="94" spans="1:2">
      <c r="A94" t="s">
        <v>153</v>
      </c>
      <c r="B94" s="5" t="s">
        <v>110</v>
      </c>
    </row>
    <row r="95" spans="1:2">
      <c r="A95" t="s">
        <v>154</v>
      </c>
      <c r="B95" s="5" t="s">
        <v>110</v>
      </c>
    </row>
    <row r="96" spans="1:2">
      <c r="A96" t="s">
        <v>155</v>
      </c>
      <c r="B96" s="5" t="s">
        <v>110</v>
      </c>
    </row>
    <row r="97" spans="1:2">
      <c r="A97" t="s">
        <v>156</v>
      </c>
      <c r="B97" s="5" t="s">
        <v>110</v>
      </c>
    </row>
    <row r="98" spans="1:2">
      <c r="A98" t="s">
        <v>157</v>
      </c>
      <c r="B98" s="5" t="s">
        <v>110</v>
      </c>
    </row>
    <row r="99" spans="1:2">
      <c r="A99" t="s">
        <v>158</v>
      </c>
      <c r="B99" s="5" t="s">
        <v>159</v>
      </c>
    </row>
    <row r="100" spans="1:2">
      <c r="A100" t="s">
        <v>160</v>
      </c>
      <c r="B100" s="5" t="s">
        <v>161</v>
      </c>
    </row>
    <row r="101" spans="1:2">
      <c r="A101" t="s">
        <v>162</v>
      </c>
      <c r="B101" s="5" t="s">
        <v>163</v>
      </c>
    </row>
    <row r="102" spans="1:2">
      <c r="A102" t="s">
        <v>164</v>
      </c>
      <c r="B102" s="5" t="s">
        <v>159</v>
      </c>
    </row>
    <row r="103" spans="1:2">
      <c r="A103" t="s">
        <v>165</v>
      </c>
      <c r="B103" s="5" t="s">
        <v>166</v>
      </c>
    </row>
    <row r="104" spans="1:2">
      <c r="A104" t="s">
        <v>167</v>
      </c>
      <c r="B104" s="5" t="s">
        <v>168</v>
      </c>
    </row>
    <row r="105" spans="1:2">
      <c r="A105" t="s">
        <v>169</v>
      </c>
      <c r="B105" s="5" t="s">
        <v>170</v>
      </c>
    </row>
    <row r="106" spans="1:2">
      <c r="A106" t="s">
        <v>171</v>
      </c>
      <c r="B106" s="5" t="s">
        <v>172</v>
      </c>
    </row>
    <row r="107" spans="1:2">
      <c r="A107" t="s">
        <v>173</v>
      </c>
      <c r="B107" s="5" t="s">
        <v>174</v>
      </c>
    </row>
    <row r="108" spans="1:2">
      <c r="A108" t="s">
        <v>175</v>
      </c>
      <c r="B108" s="5" t="s">
        <v>176</v>
      </c>
    </row>
    <row r="109" spans="1:2">
      <c r="A109" t="s">
        <v>177</v>
      </c>
      <c r="B109" s="5" t="s">
        <v>178</v>
      </c>
    </row>
    <row r="110" spans="1:2">
      <c r="A110" t="s">
        <v>179</v>
      </c>
      <c r="B110" s="5" t="s">
        <v>180</v>
      </c>
    </row>
    <row r="111" spans="1:2">
      <c r="A111" t="s">
        <v>181</v>
      </c>
      <c r="B111" s="5" t="s">
        <v>182</v>
      </c>
    </row>
    <row r="112" spans="1:2">
      <c r="A112" t="s">
        <v>183</v>
      </c>
      <c r="B112" s="5" t="s">
        <v>184</v>
      </c>
    </row>
    <row r="113" spans="1:2">
      <c r="A113" t="s">
        <v>185</v>
      </c>
      <c r="B113" s="5" t="s">
        <v>186</v>
      </c>
    </row>
    <row r="114" spans="1:2">
      <c r="A114" t="s">
        <v>187</v>
      </c>
      <c r="B114" s="5" t="s">
        <v>110</v>
      </c>
    </row>
    <row r="115" spans="1:2">
      <c r="A115" t="s">
        <v>188</v>
      </c>
      <c r="B115" s="5" t="s">
        <v>110</v>
      </c>
    </row>
    <row r="116" spans="1:2">
      <c r="A116" t="s">
        <v>189</v>
      </c>
      <c r="B116" s="5" t="s">
        <v>110</v>
      </c>
    </row>
    <row r="117" spans="1:2">
      <c r="A117" t="s">
        <v>601</v>
      </c>
      <c r="B117" s="5" t="s">
        <v>110</v>
      </c>
    </row>
    <row r="118" spans="1:2">
      <c r="A118" t="s">
        <v>74</v>
      </c>
      <c r="B118" s="5" t="s">
        <v>110</v>
      </c>
    </row>
    <row r="119" spans="1:2">
      <c r="A119" t="s">
        <v>75</v>
      </c>
      <c r="B119" s="5"/>
    </row>
    <row r="120" spans="1:2">
      <c r="A120" t="s">
        <v>76</v>
      </c>
      <c r="B120" s="5" t="s">
        <v>110</v>
      </c>
    </row>
    <row r="121" spans="1:2">
      <c r="A121" t="s">
        <v>77</v>
      </c>
      <c r="B121" s="5"/>
    </row>
    <row r="122" spans="1:2">
      <c r="A122" t="s">
        <v>78</v>
      </c>
      <c r="B122" s="5"/>
    </row>
    <row r="123" spans="1:2">
      <c r="A123" t="s">
        <v>79</v>
      </c>
      <c r="B123" s="5"/>
    </row>
    <row r="124" spans="1:2">
      <c r="A124" t="s">
        <v>80</v>
      </c>
      <c r="B124" s="5" t="s">
        <v>1026</v>
      </c>
    </row>
    <row r="125" spans="1:2">
      <c r="A125" t="s">
        <v>81</v>
      </c>
      <c r="B125" s="5"/>
    </row>
    <row r="126" spans="1:2">
      <c r="A126" t="s">
        <v>82</v>
      </c>
      <c r="B126" s="5" t="s">
        <v>190</v>
      </c>
    </row>
    <row r="127" spans="1:2">
      <c r="A127" t="s">
        <v>83</v>
      </c>
      <c r="B127" s="5" t="s">
        <v>1083</v>
      </c>
    </row>
    <row r="128" spans="1:2">
      <c r="A128" t="s">
        <v>84</v>
      </c>
      <c r="B128" s="5" t="s">
        <v>602</v>
      </c>
    </row>
    <row r="129" spans="1:2">
      <c r="A129" t="s">
        <v>85</v>
      </c>
      <c r="B129" s="5" t="s">
        <v>1084</v>
      </c>
    </row>
    <row r="130" spans="1:2">
      <c r="A130" t="s">
        <v>86</v>
      </c>
      <c r="B130" s="5" t="s">
        <v>191</v>
      </c>
    </row>
    <row r="131" spans="1:2">
      <c r="A131" t="s">
        <v>87</v>
      </c>
      <c r="B131" s="5"/>
    </row>
    <row r="132" spans="1:2">
      <c r="A132" t="s">
        <v>88</v>
      </c>
      <c r="B132" s="5"/>
    </row>
    <row r="133" spans="1:2">
      <c r="A133" t="s">
        <v>89</v>
      </c>
      <c r="B133" s="5"/>
    </row>
    <row r="134" spans="1:2">
      <c r="A134" t="s">
        <v>90</v>
      </c>
      <c r="B134" s="5" t="s">
        <v>191</v>
      </c>
    </row>
    <row r="135" spans="1:2">
      <c r="A135" t="s">
        <v>91</v>
      </c>
      <c r="B135" s="5"/>
    </row>
    <row r="136" spans="1:2">
      <c r="A136" t="s">
        <v>92</v>
      </c>
      <c r="B136" s="5"/>
    </row>
    <row r="137" spans="1:2">
      <c r="A137" t="s">
        <v>93</v>
      </c>
      <c r="B137" s="5"/>
    </row>
    <row r="138" spans="1:2">
      <c r="A138" t="s">
        <v>94</v>
      </c>
      <c r="B138" s="5" t="s">
        <v>192</v>
      </c>
    </row>
    <row r="139" spans="1:2">
      <c r="A139" t="s">
        <v>95</v>
      </c>
      <c r="B139" s="5"/>
    </row>
    <row r="140" spans="1:2">
      <c r="A140" t="s">
        <v>96</v>
      </c>
      <c r="B140" s="5"/>
    </row>
    <row r="141" spans="1:2">
      <c r="A141" t="s">
        <v>97</v>
      </c>
      <c r="B141" s="5"/>
    </row>
    <row r="142" spans="1:2">
      <c r="A142" t="s">
        <v>98</v>
      </c>
      <c r="B142" s="5"/>
    </row>
    <row r="143" spans="1:2">
      <c r="A143" t="s">
        <v>99</v>
      </c>
      <c r="B143" s="5"/>
    </row>
    <row r="144" spans="1:2">
      <c r="A144" t="s">
        <v>100</v>
      </c>
      <c r="B144" s="5"/>
    </row>
    <row r="145" spans="1:2">
      <c r="A145" t="s">
        <v>101</v>
      </c>
      <c r="B145" s="5"/>
    </row>
    <row r="146" spans="1:2">
      <c r="A146" t="s">
        <v>102</v>
      </c>
      <c r="B146" s="5"/>
    </row>
    <row r="147" spans="1:2">
      <c r="A147" t="s">
        <v>103</v>
      </c>
      <c r="B147" s="5"/>
    </row>
    <row r="148" spans="1:2">
      <c r="A148" t="s">
        <v>104</v>
      </c>
      <c r="B148" s="5"/>
    </row>
    <row r="149" spans="1:2">
      <c r="A149" t="s">
        <v>105</v>
      </c>
      <c r="B149" s="5"/>
    </row>
    <row r="150" spans="1:2">
      <c r="A150" t="s">
        <v>106</v>
      </c>
      <c r="B150" s="5"/>
    </row>
    <row r="151" spans="1:2">
      <c r="A151" t="s">
        <v>107</v>
      </c>
      <c r="B151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pageSetUpPr autoPageBreaks="0"/>
  </sheetPr>
  <dimension ref="A1:AR69"/>
  <sheetViews>
    <sheetView zoomScale="115" zoomScaleNormal="115" zoomScaleSheetLayoutView="100" workbookViewId="0">
      <selection activeCell="AP33" sqref="AP33"/>
    </sheetView>
  </sheetViews>
  <sheetFormatPr defaultColWidth="0" defaultRowHeight="15" customHeight="1" zeroHeight="1"/>
  <cols>
    <col min="1" max="1" width="1.7109375" style="1" customWidth="1"/>
    <col min="2" max="43" width="2.140625" style="1" customWidth="1"/>
    <col min="44" max="44" width="1.7109375" style="1" customWidth="1"/>
    <col min="45" max="16384" width="4.7109375" style="1" hidden="1"/>
  </cols>
  <sheetData>
    <row r="1" spans="2:43" ht="8.1" customHeight="1"/>
    <row r="2" spans="2:43" ht="16.5" customHeight="1">
      <c r="AH2"/>
      <c r="AI2"/>
    </row>
    <row r="3" spans="2:43" ht="16.5" customHeight="1"/>
    <row r="4" spans="2:43" ht="16.5" customHeight="1">
      <c r="B4" s="75" t="str">
        <f>INDEX(DOCPROPERTIES!B:B,MATCH("SAP_STDBEN_EN",DOCPROPERTIES!A:A,0))</f>
        <v>INSTRUMENT LIST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7"/>
      <c r="AA4" s="75" t="str">
        <f>INDEX(DOCPROPERTIES!B:B,MATCH("SAP_POWER_HOUSE_NAME",DOCPROPERTIES!A:A,0))</f>
        <v>Santa Massenza</v>
      </c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7"/>
    </row>
    <row r="5" spans="2:43" ht="16.5" customHeight="1">
      <c r="B5" s="84" t="str">
        <f>INDEX(DOCPROPERTIES!B:B,MATCH("SAP_USER_DEFINED_DESCRIPTION",DOCPROPERTIES!A:A,0))</f>
        <v/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6"/>
      <c r="AA5" s="78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80"/>
    </row>
    <row r="6" spans="2:43" ht="16.5" customHeight="1">
      <c r="B6" s="81" t="str">
        <f>INDEX(DOCPROPERTIES!B:B,MATCH("SAP_CONTENT_TYPE",DOCPROPERTIES!A:A,0))</f>
        <v>Signal List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3"/>
      <c r="AA6" s="91" t="s">
        <v>108</v>
      </c>
      <c r="AB6" s="92"/>
      <c r="AC6" s="92"/>
      <c r="AD6" s="92"/>
      <c r="AE6" s="92"/>
      <c r="AF6" s="93"/>
      <c r="AG6" s="98" t="str">
        <f>INDEX(DOCPROPERTIES!B:B,MATCH("SAP_DOCID",DOCPROPERTIES!A:A,0))</f>
        <v>2-10546900</v>
      </c>
      <c r="AH6" s="99"/>
      <c r="AI6" s="99"/>
      <c r="AJ6" s="99"/>
      <c r="AK6" s="99"/>
      <c r="AL6" s="99"/>
      <c r="AM6" s="99"/>
      <c r="AN6" s="99"/>
      <c r="AO6" s="99"/>
      <c r="AP6" s="99"/>
      <c r="AQ6" s="100"/>
    </row>
    <row r="7" spans="2:43" ht="16.5" customHeight="1">
      <c r="B7" s="84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6"/>
      <c r="AA7" s="91" t="s">
        <v>4</v>
      </c>
      <c r="AB7" s="92"/>
      <c r="AC7" s="92"/>
      <c r="AD7" s="92"/>
      <c r="AE7" s="92"/>
      <c r="AF7" s="93"/>
      <c r="AG7" s="98" t="str">
        <f>INDEX(DOCPROPERTIES!B:B,MATCH("SAP_DOCVERSION",DOCPROPERTIES!A:A,0))</f>
        <v>E</v>
      </c>
      <c r="AH7" s="99"/>
      <c r="AI7" s="99"/>
      <c r="AJ7" s="99"/>
      <c r="AK7" s="99"/>
      <c r="AL7" s="99"/>
      <c r="AM7" s="99"/>
      <c r="AN7" s="99"/>
      <c r="AO7" s="99"/>
      <c r="AP7" s="99"/>
      <c r="AQ7" s="100"/>
    </row>
    <row r="8" spans="2:43" ht="16.5" customHeight="1"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2:43" ht="16.5" customHeight="1"/>
    <row r="10" spans="2:43" ht="16.5" customHeight="1"/>
    <row r="11" spans="2:43" ht="16.5" customHeight="1"/>
    <row r="12" spans="2:43" ht="16.5" customHeight="1"/>
    <row r="13" spans="2:43" ht="16.5" customHeight="1"/>
    <row r="14" spans="2:43" ht="16.5" customHeight="1"/>
    <row r="15" spans="2:43" ht="16.5" customHeight="1"/>
    <row r="16" spans="2:43" ht="16.5" customHeight="1"/>
    <row r="17" spans="3:42" ht="16.5" customHeight="1">
      <c r="F17" s="94" t="str">
        <f>INDEX(DOCPROPERTIES!B:B,MATCH("SAP_POWER_HOUSE_NAME",DOCPROPERTIES!A:A,0))</f>
        <v>Santa Massenza</v>
      </c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</row>
    <row r="18" spans="3:42" ht="16.5" customHeight="1">
      <c r="F18" s="95" t="s">
        <v>352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</row>
    <row r="19" spans="3:42" ht="16.5" customHeight="1">
      <c r="C19" s="6" t="e">
        <f>#REF!</f>
        <v>#REF!</v>
      </c>
      <c r="D19" s="6"/>
      <c r="E19" s="6"/>
      <c r="F19" s="6"/>
      <c r="G19" s="6"/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3:42" ht="16.5" customHeight="1">
      <c r="C20" s="7"/>
      <c r="D20" s="7"/>
      <c r="E20" s="7"/>
      <c r="F20" s="96" t="str">
        <f>INDEX(DOCPROPERTIES!B:B,MATCH("SAP_STDBEN_EN",DOCPROPERTIES!A:A,0))</f>
        <v>INSTRUMENT LIST</v>
      </c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7"/>
      <c r="AO20" s="7"/>
      <c r="AP20" s="7"/>
    </row>
    <row r="21" spans="3:42" ht="16.5" customHeight="1">
      <c r="F21" s="97" t="str">
        <f>INDEX(DOCPROPERTIES!B:B,MATCH("SAP_USER_DEFINED_DESCRIPTION",DOCPROPERTIES!A:A,0))</f>
        <v/>
      </c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3"/>
      <c r="AO21" s="3"/>
    </row>
    <row r="22" spans="3:42" ht="16.5" customHeight="1"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3"/>
      <c r="AL22" s="3"/>
      <c r="AM22" s="3"/>
      <c r="AN22" s="3"/>
      <c r="AO22" s="3"/>
    </row>
    <row r="23" spans="3:42" ht="16.5" customHeight="1">
      <c r="F23" s="97" t="str">
        <f>INDEX(DOCPROPERTIES!B:B,MATCH("SAP_CONTENT_TYPE",DOCPROPERTIES!A:A,0))</f>
        <v>Signal List</v>
      </c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2"/>
      <c r="AO23" s="2"/>
    </row>
    <row r="24" spans="3:42" ht="16.5" customHeight="1">
      <c r="I24" s="2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"/>
      <c r="AK24" s="2"/>
      <c r="AL24" s="2"/>
      <c r="AM24" s="2"/>
      <c r="AN24" s="2"/>
      <c r="AO24" s="2"/>
    </row>
    <row r="25" spans="3:42" ht="16.5" customHeight="1">
      <c r="I25" s="2"/>
      <c r="J25" s="2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2"/>
      <c r="AJ25" s="2"/>
      <c r="AK25" s="2"/>
      <c r="AL25" s="2"/>
      <c r="AM25" s="2"/>
      <c r="AN25" s="2"/>
      <c r="AO25" s="2"/>
    </row>
    <row r="26" spans="3:42" ht="16.5" customHeight="1"/>
    <row r="27" spans="3:42" ht="16.5" customHeight="1"/>
    <row r="28" spans="3:42" ht="16.5" customHeight="1"/>
    <row r="29" spans="3:42" ht="16.5" customHeight="1"/>
    <row r="30" spans="3:42" ht="16.5" customHeight="1"/>
    <row r="31" spans="3:42" ht="16.5" customHeight="1">
      <c r="U31" s="4"/>
      <c r="V31" s="4"/>
    </row>
    <row r="32" spans="3:42" ht="16.5" customHeight="1"/>
    <row r="33" spans="2:43" ht="16.5" customHeight="1"/>
    <row r="34" spans="2:43" ht="16.5" customHeight="1"/>
    <row r="35" spans="2:43" ht="16.5" customHeight="1">
      <c r="B35" s="87" t="s">
        <v>1</v>
      </c>
      <c r="C35" s="89"/>
      <c r="D35" s="87" t="s">
        <v>2</v>
      </c>
      <c r="E35" s="88"/>
      <c r="F35" s="88"/>
      <c r="G35" s="87" t="s">
        <v>0</v>
      </c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9"/>
      <c r="Z35" s="87" t="s">
        <v>3</v>
      </c>
      <c r="AA35" s="88"/>
      <c r="AB35" s="88"/>
      <c r="AC35" s="88"/>
      <c r="AD35" s="88"/>
      <c r="AE35" s="89"/>
      <c r="AF35" s="87" t="s">
        <v>6</v>
      </c>
      <c r="AG35" s="88"/>
      <c r="AH35" s="88"/>
      <c r="AI35" s="88"/>
      <c r="AJ35" s="88"/>
      <c r="AK35" s="89"/>
      <c r="AL35" s="87" t="s">
        <v>5</v>
      </c>
      <c r="AM35" s="88"/>
      <c r="AN35" s="88"/>
      <c r="AO35" s="88"/>
      <c r="AP35" s="88"/>
      <c r="AQ35" s="89"/>
    </row>
    <row r="36" spans="2:43" ht="16.5" customHeight="1">
      <c r="B36" s="71" t="str">
        <f>INDEX(DOCPROPERTIES!B:B,MATCH("SAP_V1_VERSION",DOCPROPERTIES!A:A,0))</f>
        <v>A</v>
      </c>
      <c r="C36" s="73"/>
      <c r="D36" s="90"/>
      <c r="E36" s="72"/>
      <c r="F36" s="73"/>
      <c r="G36" s="68" t="s">
        <v>422</v>
      </c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70"/>
      <c r="Z36" s="74" t="str">
        <f>INDEX(DOCPROPERTIES!B:B,MATCH("SAP_V1_USER",DOCPROPERTIES!A:A,0))</f>
        <v>belluca</v>
      </c>
      <c r="AA36" s="72"/>
      <c r="AB36" s="72"/>
      <c r="AC36" s="72"/>
      <c r="AD36" s="72"/>
      <c r="AE36" s="73"/>
      <c r="AF36" s="71" t="str">
        <f>INDEX(DOCPROPERTIES!B:B,MATCH("SAP_V1_RELEASE_USER",DOCPROPERTIES!A:A,0))</f>
        <v>belluca</v>
      </c>
      <c r="AG36" s="72"/>
      <c r="AH36" s="72"/>
      <c r="AI36" s="72"/>
      <c r="AJ36" s="72"/>
      <c r="AK36" s="73"/>
      <c r="AL36" s="71" t="str">
        <f>INDEX(DOCPROPERTIES!B:B,MATCH("SAP_V1_RELEASE_DATE",DOCPROPERTIES!A:A,0))</f>
        <v>2025-03-07</v>
      </c>
      <c r="AM36" s="72"/>
      <c r="AN36" s="72"/>
      <c r="AO36" s="72"/>
      <c r="AP36" s="72"/>
      <c r="AQ36" s="73"/>
    </row>
    <row r="37" spans="2:43" ht="16.5" customHeight="1">
      <c r="B37" s="71" t="str">
        <f>INDEX(DOCPROPERTIES!B:B,MATCH("SAP_V2_VERSION",DOCPROPERTIES!A:A,0))</f>
        <v>B</v>
      </c>
      <c r="C37" s="73"/>
      <c r="D37" s="90"/>
      <c r="E37" s="72"/>
      <c r="F37" s="73"/>
      <c r="G37" s="68" t="s">
        <v>892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70"/>
      <c r="Z37" s="71" t="str">
        <f>INDEX(DOCPROPERTIES!B:B,MATCH("SAP_V2_USER",DOCPROPERTIES!A:A,0))</f>
        <v>laquama</v>
      </c>
      <c r="AA37" s="72"/>
      <c r="AB37" s="72"/>
      <c r="AC37" s="72"/>
      <c r="AD37" s="72"/>
      <c r="AE37" s="73"/>
      <c r="AF37" s="71" t="str">
        <f>INDEX(DOCPROPERTIES!B:B,MATCH("SAP_V2_RELEASE_USER",DOCPROPERTIES!A:A,0))</f>
        <v>belluca</v>
      </c>
      <c r="AG37" s="72"/>
      <c r="AH37" s="72"/>
      <c r="AI37" s="72"/>
      <c r="AJ37" s="72"/>
      <c r="AK37" s="73"/>
      <c r="AL37" s="71" t="str">
        <f>INDEX(DOCPROPERTIES!B:B,MATCH("SAP_V2_RELEASE_DATE",DOCPROPERTIES!A:A,0))</f>
        <v>2025-04-29</v>
      </c>
      <c r="AM37" s="72"/>
      <c r="AN37" s="72"/>
      <c r="AO37" s="72"/>
      <c r="AP37" s="72"/>
      <c r="AQ37" s="73"/>
    </row>
    <row r="38" spans="2:43" ht="16.5" customHeight="1">
      <c r="B38" s="71" t="str">
        <f>INDEX(DOCPROPERTIES!B:B,MATCH("SAP_V3_VERSION",DOCPROPERTIES!A:A,0))</f>
        <v>C</v>
      </c>
      <c r="C38" s="73"/>
      <c r="D38" s="90"/>
      <c r="E38" s="72"/>
      <c r="F38" s="73"/>
      <c r="G38" s="68" t="s">
        <v>948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70"/>
      <c r="Z38" s="71" t="str">
        <f>INDEX(DOCPROPERTIES!B:B,MATCH("SAP_V3_USER",DOCPROPERTIES!A:A,0))</f>
        <v>laquama</v>
      </c>
      <c r="AA38" s="72"/>
      <c r="AB38" s="72"/>
      <c r="AC38" s="72"/>
      <c r="AD38" s="72"/>
      <c r="AE38" s="73"/>
      <c r="AF38" s="71" t="str">
        <f>INDEX(DOCPROPERTIES!B:B,MATCH("SAP_V3_RELEASE_USER",DOCPROPERTIES!A:A,0))</f>
        <v>belluca</v>
      </c>
      <c r="AG38" s="72"/>
      <c r="AH38" s="72"/>
      <c r="AI38" s="72"/>
      <c r="AJ38" s="72"/>
      <c r="AK38" s="73"/>
      <c r="AL38" s="71" t="str">
        <f>INDEX(DOCPROPERTIES!B:B,MATCH("SAP_V3_RELEASE_DATE",DOCPROPERTIES!A:A,0))</f>
        <v>2025-10-03</v>
      </c>
      <c r="AM38" s="72"/>
      <c r="AN38" s="72"/>
      <c r="AO38" s="72"/>
      <c r="AP38" s="72"/>
      <c r="AQ38" s="73"/>
    </row>
    <row r="39" spans="2:43" ht="30" customHeight="1">
      <c r="B39" s="71" t="str">
        <f>INDEX(DOCPROPERTIES!B:B,MATCH("SAP_V4_VERSION",DOCPROPERTIES!A:A,0))</f>
        <v>D</v>
      </c>
      <c r="C39" s="73"/>
      <c r="D39" s="90"/>
      <c r="E39" s="72"/>
      <c r="F39" s="73"/>
      <c r="G39" s="65" t="s">
        <v>1070</v>
      </c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7"/>
      <c r="Z39" s="71" t="str">
        <f>INDEX(DOCPROPERTIES!B:B,MATCH("SAP_V4_USER",DOCPROPERTIES!A:A,0))</f>
        <v>borrona</v>
      </c>
      <c r="AA39" s="72"/>
      <c r="AB39" s="72"/>
      <c r="AC39" s="72"/>
      <c r="AD39" s="72"/>
      <c r="AE39" s="73"/>
      <c r="AF39" s="71" t="str">
        <f>INDEX(DOCPROPERTIES!B:B,MATCH("SAP_V4_RELEASE_USER",DOCPROPERTIES!A:A,0))</f>
        <v>belluca</v>
      </c>
      <c r="AG39" s="72"/>
      <c r="AH39" s="72"/>
      <c r="AI39" s="72"/>
      <c r="AJ39" s="72"/>
      <c r="AK39" s="73"/>
      <c r="AL39" s="71" t="str">
        <f>INDEX(DOCPROPERTIES!B:B,MATCH("SAP_V4_RELEASE_DATE",DOCPROPERTIES!A:A,0))</f>
        <v>2025-11-17</v>
      </c>
      <c r="AM39" s="72"/>
      <c r="AN39" s="72"/>
      <c r="AO39" s="72"/>
      <c r="AP39" s="72"/>
      <c r="AQ39" s="73"/>
    </row>
    <row r="40" spans="2:43" ht="16.5" customHeight="1">
      <c r="B40" s="71" t="str">
        <f>INDEX(DOCPROPERTIES!B:B,MATCH("SAP_V5_VERSION",DOCPROPERTIES!A:A,0))</f>
        <v>E</v>
      </c>
      <c r="C40" s="73"/>
      <c r="D40" s="90"/>
      <c r="E40" s="72"/>
      <c r="F40" s="73"/>
      <c r="G40" s="90" t="s">
        <v>1090</v>
      </c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3"/>
      <c r="Z40" s="71" t="str">
        <f>INDEX(DOCPROPERTIES!B:B,MATCH("SAP_V5_USER",DOCPROPERTIES!A:A,0))</f>
        <v>laquama</v>
      </c>
      <c r="AA40" s="72"/>
      <c r="AB40" s="72"/>
      <c r="AC40" s="72"/>
      <c r="AD40" s="72"/>
      <c r="AE40" s="73"/>
      <c r="AF40" s="71" t="str">
        <f>INDEX(DOCPROPERTIES!B:B,MATCH("SAP_V5_RELEASE_USER",DOCPROPERTIES!A:A,0))</f>
        <v/>
      </c>
      <c r="AG40" s="72"/>
      <c r="AH40" s="72"/>
      <c r="AI40" s="72"/>
      <c r="AJ40" s="72"/>
      <c r="AK40" s="73"/>
      <c r="AL40" s="71" t="str">
        <f>INDEX(DOCPROPERTIES!B:B,MATCH("SAP_V5_RELEASE_DATE",DOCPROPERTIES!A:A,0))</f>
        <v/>
      </c>
      <c r="AM40" s="72"/>
      <c r="AN40" s="72"/>
      <c r="AO40" s="72"/>
      <c r="AP40" s="72"/>
      <c r="AQ40" s="73"/>
    </row>
    <row r="41" spans="2:43" ht="16.5" customHeight="1">
      <c r="B41" s="71" t="str">
        <f>INDEX(DOCPROPERTIES!B:B,MATCH("SAP_V6_VERSION",DOCPROPERTIES!A:A,0))</f>
        <v/>
      </c>
      <c r="C41" s="73"/>
      <c r="D41" s="90"/>
      <c r="E41" s="72"/>
      <c r="F41" s="73"/>
      <c r="G41" s="90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3"/>
      <c r="Z41" s="71" t="str">
        <f>INDEX(DOCPROPERTIES!B:B,MATCH("SAP_V6_USER",DOCPROPERTIES!A:A,0))</f>
        <v/>
      </c>
      <c r="AA41" s="72"/>
      <c r="AB41" s="72"/>
      <c r="AC41" s="72"/>
      <c r="AD41" s="72"/>
      <c r="AE41" s="73"/>
      <c r="AF41" s="71" t="str">
        <f>INDEX(DOCPROPERTIES!B:B,MATCH("SAP_V6_RELEASE_USER",DOCPROPERTIES!A:A,0))</f>
        <v/>
      </c>
      <c r="AG41" s="72"/>
      <c r="AH41" s="72"/>
      <c r="AI41" s="72"/>
      <c r="AJ41" s="72"/>
      <c r="AK41" s="73"/>
      <c r="AL41" s="71" t="str">
        <f>INDEX(DOCPROPERTIES!B:B,MATCH("SAP_V6_RELEASE_DATE",DOCPROPERTIES!A:A,0))</f>
        <v/>
      </c>
      <c r="AM41" s="72"/>
      <c r="AN41" s="72"/>
      <c r="AO41" s="72"/>
      <c r="AP41" s="72"/>
      <c r="AQ41" s="73"/>
    </row>
    <row r="42" spans="2:43" ht="16.5" customHeight="1"/>
    <row r="43" spans="2:43" ht="16.5" customHeight="1"/>
    <row r="44" spans="2:43" ht="16.5" customHeight="1">
      <c r="B44" s="87" t="s">
        <v>3</v>
      </c>
      <c r="C44" s="88"/>
      <c r="D44" s="88"/>
      <c r="E44" s="88"/>
      <c r="F44" s="88"/>
      <c r="G44" s="88"/>
      <c r="H44" s="89"/>
      <c r="I44" s="87" t="s">
        <v>109</v>
      </c>
      <c r="J44" s="88"/>
      <c r="K44" s="88"/>
      <c r="L44" s="88"/>
      <c r="M44" s="88"/>
      <c r="N44" s="88"/>
      <c r="O44" s="89"/>
      <c r="P44" s="87" t="s">
        <v>7</v>
      </c>
      <c r="Q44" s="88"/>
      <c r="R44" s="88"/>
      <c r="S44" s="88"/>
      <c r="T44" s="88"/>
      <c r="U44" s="88"/>
      <c r="V44" s="89"/>
      <c r="W44" s="87" t="s">
        <v>109</v>
      </c>
      <c r="X44" s="88"/>
      <c r="Y44" s="88"/>
      <c r="Z44" s="88"/>
      <c r="AA44" s="88"/>
      <c r="AB44" s="88"/>
      <c r="AC44" s="89"/>
      <c r="AD44" s="87" t="s">
        <v>6</v>
      </c>
      <c r="AE44" s="88"/>
      <c r="AF44" s="88"/>
      <c r="AG44" s="88"/>
      <c r="AH44" s="88"/>
      <c r="AI44" s="88"/>
      <c r="AJ44" s="89"/>
      <c r="AK44" s="87" t="s">
        <v>109</v>
      </c>
      <c r="AL44" s="88"/>
      <c r="AM44" s="88"/>
      <c r="AN44" s="88"/>
      <c r="AO44" s="88"/>
      <c r="AP44" s="88"/>
      <c r="AQ44" s="89"/>
    </row>
    <row r="45" spans="2:43" ht="16.5" customHeight="1">
      <c r="B45" s="71" t="str">
        <f>INDEX(DOCPROPERTIES!B:B,MATCH("SAP_CREATION_USER",DOCPROPERTIES!A:A,0))</f>
        <v>laquama</v>
      </c>
      <c r="C45" s="72"/>
      <c r="D45" s="72"/>
      <c r="E45" s="72"/>
      <c r="F45" s="72"/>
      <c r="G45" s="72"/>
      <c r="H45" s="73"/>
      <c r="I45" s="71" t="str">
        <f>INDEX(DOCPROPERTIES!B:B,MATCH("SAP_CREATION_DATE",DOCPROPERTIES!A:A,0))</f>
        <v>2024-10-30</v>
      </c>
      <c r="J45" s="72"/>
      <c r="K45" s="72"/>
      <c r="L45" s="72"/>
      <c r="M45" s="72"/>
      <c r="N45" s="72"/>
      <c r="O45" s="73"/>
      <c r="P45" s="71" t="str">
        <f>INDEX(DOCPROPERTIES!B:B,MATCH("SAP_REVIEW_USER",DOCPROPERTIES!A:A,0))</f>
        <v>belluca</v>
      </c>
      <c r="Q45" s="72"/>
      <c r="R45" s="72"/>
      <c r="S45" s="72"/>
      <c r="T45" s="72"/>
      <c r="U45" s="72"/>
      <c r="V45" s="73"/>
      <c r="W45" s="71" t="str">
        <f>INDEX(DOCPROPERTIES!B:B,MATCH("SAP_REVIEW_DATE",DOCPROPERTIES!A:A,0))</f>
        <v>2024-10-30</v>
      </c>
      <c r="X45" s="72"/>
      <c r="Y45" s="72"/>
      <c r="Z45" s="72"/>
      <c r="AA45" s="72"/>
      <c r="AB45" s="72"/>
      <c r="AC45" s="73"/>
      <c r="AD45" s="71" t="str">
        <f>INDEX(DOCPROPERTIES!B:B,MATCH("SAP_RELEASE_USER",DOCPROPERTIES!A:A,0))</f>
        <v>belluca</v>
      </c>
      <c r="AE45" s="72"/>
      <c r="AF45" s="72"/>
      <c r="AG45" s="72"/>
      <c r="AH45" s="72"/>
      <c r="AI45" s="72"/>
      <c r="AJ45" s="73"/>
      <c r="AK45" s="71" t="str">
        <f>INDEX(DOCPROPERTIES!B:B,MATCH("SAP_RELEASE_DATE",DOCPROPERTIES!A:A,0))</f>
        <v>2024-10-30</v>
      </c>
      <c r="AL45" s="72"/>
      <c r="AM45" s="72"/>
      <c r="AN45" s="72"/>
      <c r="AO45" s="72"/>
      <c r="AP45" s="72"/>
      <c r="AQ45" s="73"/>
    </row>
    <row r="46" spans="2:43" ht="8.1" customHeight="1"/>
    <row r="48" spans="2:4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</sheetData>
  <mergeCells count="67">
    <mergeCell ref="P45:V45"/>
    <mergeCell ref="AF37:AK37"/>
    <mergeCell ref="AF38:AK38"/>
    <mergeCell ref="AF39:AK39"/>
    <mergeCell ref="AF40:AK40"/>
    <mergeCell ref="AF41:AK41"/>
    <mergeCell ref="Z37:AE37"/>
    <mergeCell ref="Z38:AE38"/>
    <mergeCell ref="G38:Y38"/>
    <mergeCell ref="B44:H44"/>
    <mergeCell ref="B37:C37"/>
    <mergeCell ref="D37:F37"/>
    <mergeCell ref="D38:F38"/>
    <mergeCell ref="B38:C38"/>
    <mergeCell ref="Z41:AE41"/>
    <mergeCell ref="G41:Y41"/>
    <mergeCell ref="B36:C36"/>
    <mergeCell ref="D36:F36"/>
    <mergeCell ref="D41:F41"/>
    <mergeCell ref="B39:C39"/>
    <mergeCell ref="B40:C40"/>
    <mergeCell ref="B41:C41"/>
    <mergeCell ref="D39:F39"/>
    <mergeCell ref="D40:F40"/>
    <mergeCell ref="G35:Y35"/>
    <mergeCell ref="B35:C35"/>
    <mergeCell ref="D35:F35"/>
    <mergeCell ref="AA6:AF6"/>
    <mergeCell ref="AA7:AF7"/>
    <mergeCell ref="F17:AM17"/>
    <mergeCell ref="F18:AM18"/>
    <mergeCell ref="F20:AM20"/>
    <mergeCell ref="F21:AM21"/>
    <mergeCell ref="F23:AM23"/>
    <mergeCell ref="AL35:AQ35"/>
    <mergeCell ref="AF35:AK35"/>
    <mergeCell ref="Z35:AE35"/>
    <mergeCell ref="AG6:AQ6"/>
    <mergeCell ref="AG7:AQ7"/>
    <mergeCell ref="AA4:AQ5"/>
    <mergeCell ref="B6:Z7"/>
    <mergeCell ref="B5:Z5"/>
    <mergeCell ref="B4:Z4"/>
    <mergeCell ref="B45:H45"/>
    <mergeCell ref="I45:O45"/>
    <mergeCell ref="AK44:AQ44"/>
    <mergeCell ref="AD44:AJ44"/>
    <mergeCell ref="W44:AC44"/>
    <mergeCell ref="W45:AC45"/>
    <mergeCell ref="AD45:AJ45"/>
    <mergeCell ref="AK45:AQ45"/>
    <mergeCell ref="P44:V44"/>
    <mergeCell ref="I44:O44"/>
    <mergeCell ref="G40:Y40"/>
    <mergeCell ref="Z40:AE40"/>
    <mergeCell ref="G39:Y39"/>
    <mergeCell ref="G36:Y36"/>
    <mergeCell ref="G37:Y37"/>
    <mergeCell ref="AL40:AQ40"/>
    <mergeCell ref="AL41:AQ41"/>
    <mergeCell ref="AL37:AQ37"/>
    <mergeCell ref="AL38:AQ38"/>
    <mergeCell ref="Z39:AE39"/>
    <mergeCell ref="AL39:AQ39"/>
    <mergeCell ref="Z36:AE36"/>
    <mergeCell ref="AF36:AK36"/>
    <mergeCell ref="AL36:AQ36"/>
  </mergeCells>
  <phoneticPr fontId="1" type="noConversion"/>
  <printOptions horizontalCentered="1"/>
  <pageMargins left="0.4724409448818897" right="0.4724409448818897" top="0.39370078740157477" bottom="0.55118110236220463" header="0.23622047244094485" footer="0.23622047244094485"/>
  <pageSetup paperSize="9" orientation="portrait" r:id="rId1"/>
  <headerFooter alignWithMargins="0">
    <oddHeader>&amp;L&amp;"Arial Narrow"&amp;9&amp;C&amp;"Arial Narrow"&amp;9&amp;R&amp;"Arial Narrow"&amp;9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3960-50D1-45C2-A804-62B4A673AF8F}">
  <sheetPr codeName="Foglio3" filterMode="1">
    <pageSetUpPr fitToPage="1"/>
  </sheetPr>
  <dimension ref="A1:X240"/>
  <sheetViews>
    <sheetView tabSelected="1" zoomScale="80" zoomScaleNormal="80" zoomScaleSheetLayoutView="85" workbookViewId="0">
      <pane xSplit="1" ySplit="1" topLeftCell="D19" activePane="bottomRight" state="frozen"/>
      <selection pane="topRight" activeCell="B1" sqref="B1"/>
      <selection pane="bottomLeft" activeCell="A2" sqref="A2"/>
      <selection pane="bottomRight" activeCell="H151" sqref="H151"/>
    </sheetView>
  </sheetViews>
  <sheetFormatPr defaultColWidth="9.140625" defaultRowHeight="16.5" customHeight="1"/>
  <cols>
    <col min="1" max="1" width="18.28515625" bestFit="1" customWidth="1"/>
    <col min="2" max="2" width="118.85546875" bestFit="1" customWidth="1"/>
    <col min="3" max="3" width="75.7109375" bestFit="1" customWidth="1"/>
    <col min="4" max="4" width="53.28515625" bestFit="1" customWidth="1"/>
    <col min="5" max="5" width="19" bestFit="1" customWidth="1"/>
    <col min="6" max="6" width="33.140625" bestFit="1" customWidth="1"/>
    <col min="7" max="8" width="39.7109375" customWidth="1"/>
    <col min="9" max="9" width="44.7109375" bestFit="1" customWidth="1"/>
    <col min="10" max="10" width="9" bestFit="1" customWidth="1"/>
    <col min="11" max="11" width="15.140625" bestFit="1" customWidth="1"/>
    <col min="12" max="12" width="23.140625" bestFit="1" customWidth="1"/>
    <col min="13" max="13" width="19.28515625" bestFit="1" customWidth="1"/>
    <col min="14" max="14" width="10" bestFit="1" customWidth="1"/>
    <col min="15" max="15" width="10.85546875" bestFit="1" customWidth="1"/>
    <col min="16" max="16" width="20.28515625" bestFit="1" customWidth="1"/>
    <col min="17" max="17" width="24.28515625" bestFit="1" customWidth="1"/>
    <col min="18" max="18" width="47.5703125" customWidth="1"/>
    <col min="19" max="19" width="20" customWidth="1"/>
  </cols>
  <sheetData>
    <row r="1" spans="1:24" s="29" customFormat="1" ht="20.100000000000001" customHeight="1" thickBot="1">
      <c r="A1" s="24" t="s">
        <v>193</v>
      </c>
      <c r="B1" s="25" t="s">
        <v>194</v>
      </c>
      <c r="C1" s="25" t="s">
        <v>637</v>
      </c>
      <c r="D1" s="25" t="s">
        <v>636</v>
      </c>
      <c r="E1" s="25" t="s">
        <v>195</v>
      </c>
      <c r="F1" s="25" t="s">
        <v>196</v>
      </c>
      <c r="G1" s="25" t="s">
        <v>1094</v>
      </c>
      <c r="H1" s="25" t="s">
        <v>1099</v>
      </c>
      <c r="I1" s="25" t="s">
        <v>197</v>
      </c>
      <c r="J1" s="26" t="s">
        <v>198</v>
      </c>
      <c r="K1" s="26" t="s">
        <v>199</v>
      </c>
      <c r="L1" s="26" t="s">
        <v>200</v>
      </c>
      <c r="M1" s="26" t="s">
        <v>201</v>
      </c>
      <c r="N1" s="26" t="s">
        <v>202</v>
      </c>
      <c r="O1" s="27" t="s">
        <v>203</v>
      </c>
      <c r="P1" s="11" t="s">
        <v>494</v>
      </c>
      <c r="Q1" s="11" t="s">
        <v>1071</v>
      </c>
      <c r="R1" s="11" t="s">
        <v>497</v>
      </c>
      <c r="S1" s="28" t="s">
        <v>499</v>
      </c>
    </row>
    <row r="2" spans="1:24" ht="18.95" hidden="1" customHeight="1" thickBot="1">
      <c r="A2" s="30" t="s">
        <v>344</v>
      </c>
      <c r="B2" s="14" t="s">
        <v>345</v>
      </c>
      <c r="C2" s="14" t="s">
        <v>761</v>
      </c>
      <c r="D2" s="14"/>
      <c r="E2" s="31" t="s">
        <v>962</v>
      </c>
      <c r="F2" s="31" t="s">
        <v>969</v>
      </c>
      <c r="G2" s="31"/>
      <c r="H2" s="31"/>
      <c r="I2" s="13" t="s">
        <v>766</v>
      </c>
      <c r="J2" s="17" t="s">
        <v>244</v>
      </c>
      <c r="K2" s="17"/>
      <c r="L2" s="17"/>
      <c r="M2" s="17" t="s">
        <v>975</v>
      </c>
      <c r="N2" s="17"/>
      <c r="O2" s="18"/>
      <c r="P2" s="32" t="s">
        <v>496</v>
      </c>
      <c r="Q2" s="19"/>
      <c r="R2" s="33" t="s">
        <v>498</v>
      </c>
      <c r="S2" s="63" t="s">
        <v>1089</v>
      </c>
      <c r="T2" s="64"/>
      <c r="U2" s="64"/>
      <c r="V2" s="64"/>
      <c r="W2" s="64"/>
      <c r="X2" s="64"/>
    </row>
    <row r="3" spans="1:24" ht="18.95" hidden="1" customHeight="1">
      <c r="A3" s="12" t="s">
        <v>245</v>
      </c>
      <c r="B3" s="13" t="s">
        <v>246</v>
      </c>
      <c r="C3" s="13" t="s">
        <v>638</v>
      </c>
      <c r="D3" s="13"/>
      <c r="E3" s="15" t="s">
        <v>955</v>
      </c>
      <c r="F3" s="17" t="s">
        <v>956</v>
      </c>
      <c r="G3" s="17"/>
      <c r="H3" s="17"/>
      <c r="I3" s="21" t="s">
        <v>613</v>
      </c>
      <c r="J3" s="17" t="s">
        <v>244</v>
      </c>
      <c r="K3" s="17"/>
      <c r="L3" s="17"/>
      <c r="M3" s="21" t="s">
        <v>247</v>
      </c>
      <c r="N3" s="17" t="s">
        <v>218</v>
      </c>
      <c r="O3" s="18" t="s">
        <v>219</v>
      </c>
      <c r="P3" s="19" t="s">
        <v>496</v>
      </c>
      <c r="Q3" s="19"/>
      <c r="R3" s="20"/>
      <c r="S3" s="63"/>
      <c r="T3" s="64"/>
      <c r="U3" s="64"/>
      <c r="V3" s="64"/>
      <c r="W3" s="64"/>
      <c r="X3" s="64"/>
    </row>
    <row r="4" spans="1:24" ht="18.95" hidden="1" customHeight="1">
      <c r="A4" s="12" t="s">
        <v>248</v>
      </c>
      <c r="B4" s="13" t="s">
        <v>249</v>
      </c>
      <c r="C4" s="13" t="s">
        <v>639</v>
      </c>
      <c r="D4" s="13"/>
      <c r="E4" s="15" t="s">
        <v>955</v>
      </c>
      <c r="F4" s="17" t="s">
        <v>956</v>
      </c>
      <c r="G4" s="17"/>
      <c r="H4" s="17"/>
      <c r="I4" s="21" t="s">
        <v>613</v>
      </c>
      <c r="J4" s="17" t="s">
        <v>244</v>
      </c>
      <c r="K4" s="17"/>
      <c r="L4" s="17"/>
      <c r="M4" s="21" t="s">
        <v>247</v>
      </c>
      <c r="N4" s="17" t="s">
        <v>218</v>
      </c>
      <c r="O4" s="18" t="s">
        <v>219</v>
      </c>
      <c r="P4" s="19" t="s">
        <v>496</v>
      </c>
      <c r="Q4" s="19"/>
      <c r="R4" s="20"/>
      <c r="S4" s="63"/>
      <c r="T4" s="64"/>
      <c r="U4" s="64"/>
      <c r="V4" s="64"/>
      <c r="W4" s="64"/>
      <c r="X4" s="64"/>
    </row>
    <row r="5" spans="1:24" ht="18.95" hidden="1" customHeight="1">
      <c r="A5" s="12" t="s">
        <v>250</v>
      </c>
      <c r="B5" s="13" t="s">
        <v>251</v>
      </c>
      <c r="C5" s="13" t="s">
        <v>640</v>
      </c>
      <c r="D5" s="13"/>
      <c r="E5" s="15" t="s">
        <v>955</v>
      </c>
      <c r="F5" s="17" t="s">
        <v>956</v>
      </c>
      <c r="G5" s="17"/>
      <c r="H5" s="17"/>
      <c r="I5" s="21" t="s">
        <v>613</v>
      </c>
      <c r="J5" s="17" t="s">
        <v>244</v>
      </c>
      <c r="K5" s="17"/>
      <c r="L5" s="17"/>
      <c r="M5" s="21" t="s">
        <v>247</v>
      </c>
      <c r="N5" s="17" t="s">
        <v>218</v>
      </c>
      <c r="O5" s="18" t="s">
        <v>219</v>
      </c>
      <c r="P5" s="19" t="s">
        <v>496</v>
      </c>
      <c r="Q5" s="19"/>
      <c r="R5" s="20"/>
      <c r="S5" s="63"/>
      <c r="T5" s="64"/>
      <c r="U5" s="64"/>
      <c r="V5" s="64"/>
      <c r="W5" s="64"/>
      <c r="X5" s="64"/>
    </row>
    <row r="6" spans="1:24" ht="18.95" hidden="1" customHeight="1">
      <c r="A6" s="12" t="s">
        <v>252</v>
      </c>
      <c r="B6" s="13" t="s">
        <v>253</v>
      </c>
      <c r="C6" s="13" t="s">
        <v>641</v>
      </c>
      <c r="D6" s="13"/>
      <c r="E6" s="15" t="s">
        <v>955</v>
      </c>
      <c r="F6" s="17" t="s">
        <v>956</v>
      </c>
      <c r="G6" s="17"/>
      <c r="H6" s="17"/>
      <c r="I6" s="21" t="s">
        <v>613</v>
      </c>
      <c r="J6" s="17" t="s">
        <v>244</v>
      </c>
      <c r="K6" s="17"/>
      <c r="L6" s="17"/>
      <c r="M6" s="21" t="s">
        <v>247</v>
      </c>
      <c r="N6" s="17" t="s">
        <v>218</v>
      </c>
      <c r="O6" s="18" t="s">
        <v>219</v>
      </c>
      <c r="P6" s="19" t="s">
        <v>496</v>
      </c>
      <c r="Q6" s="19"/>
      <c r="R6" s="20"/>
      <c r="S6" s="63"/>
      <c r="T6" s="64"/>
      <c r="U6" s="64"/>
      <c r="V6" s="64"/>
      <c r="W6" s="64"/>
      <c r="X6" s="64"/>
    </row>
    <row r="7" spans="1:24" ht="18.95" hidden="1" customHeight="1">
      <c r="A7" s="12" t="s">
        <v>312</v>
      </c>
      <c r="B7" s="13" t="s">
        <v>454</v>
      </c>
      <c r="C7" s="13" t="s">
        <v>708</v>
      </c>
      <c r="D7" s="13"/>
      <c r="E7" s="15" t="s">
        <v>955</v>
      </c>
      <c r="F7" s="16" t="s">
        <v>956</v>
      </c>
      <c r="G7" s="16"/>
      <c r="H7" s="16"/>
      <c r="I7" s="13" t="s">
        <v>452</v>
      </c>
      <c r="J7" s="17" t="s">
        <v>244</v>
      </c>
      <c r="K7" s="17"/>
      <c r="L7" s="17"/>
      <c r="M7" s="21" t="s">
        <v>247</v>
      </c>
      <c r="N7" s="17" t="s">
        <v>310</v>
      </c>
      <c r="O7" s="18" t="s">
        <v>219</v>
      </c>
      <c r="P7" s="19" t="s">
        <v>496</v>
      </c>
      <c r="Q7" s="19"/>
      <c r="R7" s="20"/>
      <c r="S7" s="63"/>
      <c r="T7" s="64"/>
      <c r="U7" s="64"/>
      <c r="V7" s="64"/>
      <c r="W7" s="64"/>
      <c r="X7" s="64"/>
    </row>
    <row r="8" spans="1:24" ht="18.95" hidden="1" customHeight="1">
      <c r="A8" s="12" t="s">
        <v>327</v>
      </c>
      <c r="B8" s="13" t="s">
        <v>455</v>
      </c>
      <c r="C8" s="13" t="s">
        <v>740</v>
      </c>
      <c r="D8" s="13"/>
      <c r="E8" s="15" t="s">
        <v>955</v>
      </c>
      <c r="F8" s="17" t="s">
        <v>956</v>
      </c>
      <c r="G8" s="17"/>
      <c r="H8" s="17"/>
      <c r="I8" s="13" t="s">
        <v>453</v>
      </c>
      <c r="J8" s="17" t="s">
        <v>244</v>
      </c>
      <c r="K8" s="17"/>
      <c r="L8" s="17"/>
      <c r="M8" s="21" t="s">
        <v>247</v>
      </c>
      <c r="N8" s="17" t="s">
        <v>310</v>
      </c>
      <c r="O8" s="18" t="s">
        <v>323</v>
      </c>
      <c r="P8" s="19" t="s">
        <v>496</v>
      </c>
      <c r="Q8" s="19"/>
      <c r="R8" s="20"/>
      <c r="S8" s="63"/>
      <c r="T8" s="64"/>
      <c r="U8" s="64"/>
      <c r="V8" s="64"/>
      <c r="W8" s="64"/>
      <c r="X8" s="64"/>
    </row>
    <row r="9" spans="1:24" ht="18.95" hidden="1" customHeight="1">
      <c r="A9" s="12" t="s">
        <v>628</v>
      </c>
      <c r="B9" s="13" t="s">
        <v>629</v>
      </c>
      <c r="C9" s="13" t="s">
        <v>914</v>
      </c>
      <c r="D9" s="13"/>
      <c r="E9" s="15" t="s">
        <v>955</v>
      </c>
      <c r="F9" s="15" t="s">
        <v>957</v>
      </c>
      <c r="G9" s="15"/>
      <c r="H9" s="15"/>
      <c r="I9" s="21" t="s">
        <v>613</v>
      </c>
      <c r="J9" s="17" t="s">
        <v>244</v>
      </c>
      <c r="K9" s="17"/>
      <c r="L9" s="17"/>
      <c r="M9" s="21" t="s">
        <v>479</v>
      </c>
      <c r="N9" s="17" t="s">
        <v>218</v>
      </c>
      <c r="O9" s="18" t="s">
        <v>219</v>
      </c>
      <c r="P9" s="19" t="s">
        <v>496</v>
      </c>
      <c r="Q9" s="19"/>
      <c r="R9" s="20"/>
      <c r="S9" s="63"/>
      <c r="T9" s="64"/>
      <c r="U9" s="64"/>
      <c r="V9" s="64"/>
      <c r="W9" s="64"/>
      <c r="X9" s="64"/>
    </row>
    <row r="10" spans="1:24" ht="18.95" hidden="1" customHeight="1">
      <c r="A10" s="12" t="s">
        <v>912</v>
      </c>
      <c r="B10" s="13" t="s">
        <v>911</v>
      </c>
      <c r="C10" s="13" t="s">
        <v>913</v>
      </c>
      <c r="D10" s="13"/>
      <c r="E10" s="15" t="s">
        <v>955</v>
      </c>
      <c r="F10" s="16" t="s">
        <v>957</v>
      </c>
      <c r="G10" s="16"/>
      <c r="H10" s="16"/>
      <c r="I10" s="13" t="s">
        <v>766</v>
      </c>
      <c r="J10" s="17" t="s">
        <v>244</v>
      </c>
      <c r="K10" s="17"/>
      <c r="L10" s="17"/>
      <c r="M10" s="21" t="s">
        <v>479</v>
      </c>
      <c r="N10" s="17" t="s">
        <v>337</v>
      </c>
      <c r="O10" s="18" t="s">
        <v>219</v>
      </c>
      <c r="P10" s="19" t="s">
        <v>496</v>
      </c>
      <c r="Q10" s="19"/>
      <c r="R10" s="20"/>
      <c r="S10" s="63"/>
      <c r="T10" s="64"/>
      <c r="U10" s="64"/>
      <c r="V10" s="64"/>
      <c r="W10" s="64"/>
      <c r="X10" s="64"/>
    </row>
    <row r="11" spans="1:24" ht="18.95" hidden="1" customHeight="1">
      <c r="A11" s="12" t="s">
        <v>313</v>
      </c>
      <c r="B11" s="13" t="s">
        <v>542</v>
      </c>
      <c r="C11" s="13" t="s">
        <v>709</v>
      </c>
      <c r="D11" s="13"/>
      <c r="E11" s="15" t="s">
        <v>955</v>
      </c>
      <c r="F11" s="16" t="s">
        <v>986</v>
      </c>
      <c r="G11" s="16"/>
      <c r="H11" s="16"/>
      <c r="I11" s="13" t="s">
        <v>452</v>
      </c>
      <c r="J11" s="17" t="s">
        <v>244</v>
      </c>
      <c r="K11" s="17"/>
      <c r="L11" s="17"/>
      <c r="M11" s="21" t="s">
        <v>247</v>
      </c>
      <c r="N11" s="17" t="s">
        <v>310</v>
      </c>
      <c r="O11" s="18" t="s">
        <v>219</v>
      </c>
      <c r="P11" s="19" t="s">
        <v>496</v>
      </c>
      <c r="Q11" s="19"/>
      <c r="R11" s="20"/>
    </row>
    <row r="12" spans="1:24" ht="18.95" hidden="1" customHeight="1">
      <c r="A12" s="12" t="s">
        <v>328</v>
      </c>
      <c r="B12" s="13" t="s">
        <v>543</v>
      </c>
      <c r="C12" s="13" t="s">
        <v>741</v>
      </c>
      <c r="D12" s="13"/>
      <c r="E12" s="15" t="s">
        <v>955</v>
      </c>
      <c r="F12" s="17" t="s">
        <v>986</v>
      </c>
      <c r="G12" s="17"/>
      <c r="H12" s="17"/>
      <c r="I12" s="13" t="s">
        <v>453</v>
      </c>
      <c r="J12" s="17" t="s">
        <v>244</v>
      </c>
      <c r="K12" s="17"/>
      <c r="L12" s="17"/>
      <c r="M12" s="21" t="s">
        <v>247</v>
      </c>
      <c r="N12" s="17" t="s">
        <v>310</v>
      </c>
      <c r="O12" s="18" t="s">
        <v>323</v>
      </c>
      <c r="P12" s="19" t="s">
        <v>496</v>
      </c>
      <c r="Q12" s="19"/>
      <c r="R12" s="20"/>
    </row>
    <row r="13" spans="1:24" ht="18.95" hidden="1" customHeight="1">
      <c r="A13" s="12" t="s">
        <v>356</v>
      </c>
      <c r="B13" s="13" t="s">
        <v>339</v>
      </c>
      <c r="C13" s="13" t="s">
        <v>785</v>
      </c>
      <c r="D13" s="13"/>
      <c r="E13" s="15" t="s">
        <v>971</v>
      </c>
      <c r="F13" s="16" t="s">
        <v>970</v>
      </c>
      <c r="G13" s="16"/>
      <c r="H13" s="16"/>
      <c r="I13" s="13" t="s">
        <v>766</v>
      </c>
      <c r="J13" s="17" t="s">
        <v>244</v>
      </c>
      <c r="K13" s="17"/>
      <c r="L13" s="17"/>
      <c r="M13" s="21" t="s">
        <v>479</v>
      </c>
      <c r="N13" s="17" t="s">
        <v>337</v>
      </c>
      <c r="O13" s="18" t="s">
        <v>219</v>
      </c>
      <c r="P13" s="19" t="s">
        <v>496</v>
      </c>
      <c r="Q13" s="19"/>
      <c r="R13" s="20"/>
    </row>
    <row r="14" spans="1:24" ht="18.95" hidden="1" customHeight="1">
      <c r="A14" s="12" t="s">
        <v>357</v>
      </c>
      <c r="B14" s="13" t="s">
        <v>340</v>
      </c>
      <c r="C14" s="13" t="s">
        <v>786</v>
      </c>
      <c r="D14" s="13"/>
      <c r="E14" s="15" t="s">
        <v>955</v>
      </c>
      <c r="F14" s="16" t="s">
        <v>956</v>
      </c>
      <c r="G14" s="16"/>
      <c r="H14" s="16"/>
      <c r="I14" s="13" t="s">
        <v>766</v>
      </c>
      <c r="J14" s="17" t="s">
        <v>244</v>
      </c>
      <c r="K14" s="17"/>
      <c r="L14" s="17"/>
      <c r="M14" s="21" t="s">
        <v>247</v>
      </c>
      <c r="N14" s="17" t="s">
        <v>337</v>
      </c>
      <c r="O14" s="18" t="s">
        <v>219</v>
      </c>
      <c r="P14" s="19" t="s">
        <v>496</v>
      </c>
      <c r="Q14" s="19"/>
      <c r="R14" s="20"/>
    </row>
    <row r="15" spans="1:24" ht="18.95" hidden="1" customHeight="1">
      <c r="A15" s="12" t="s">
        <v>618</v>
      </c>
      <c r="B15" s="13" t="s">
        <v>550</v>
      </c>
      <c r="C15" s="13" t="s">
        <v>642</v>
      </c>
      <c r="D15" s="13"/>
      <c r="E15" s="15" t="s">
        <v>955</v>
      </c>
      <c r="F15" s="15" t="s">
        <v>958</v>
      </c>
      <c r="G15" s="15"/>
      <c r="H15" s="15"/>
      <c r="I15" s="21" t="s">
        <v>613</v>
      </c>
      <c r="J15" s="17" t="s">
        <v>244</v>
      </c>
      <c r="K15" s="17"/>
      <c r="L15" s="17"/>
      <c r="M15" s="21" t="s">
        <v>973</v>
      </c>
      <c r="N15" s="17" t="s">
        <v>218</v>
      </c>
      <c r="O15" s="18" t="s">
        <v>219</v>
      </c>
      <c r="P15" s="19" t="s">
        <v>496</v>
      </c>
      <c r="Q15" s="19" t="s">
        <v>1072</v>
      </c>
      <c r="R15" s="20"/>
    </row>
    <row r="16" spans="1:24" ht="18.95" hidden="1" customHeight="1">
      <c r="A16" s="12" t="s">
        <v>788</v>
      </c>
      <c r="B16" s="13" t="s">
        <v>1038</v>
      </c>
      <c r="C16" s="13" t="s">
        <v>787</v>
      </c>
      <c r="D16" s="13"/>
      <c r="E16" s="15" t="s">
        <v>955</v>
      </c>
      <c r="F16" s="16" t="s">
        <v>958</v>
      </c>
      <c r="G16" s="16"/>
      <c r="H16" s="16"/>
      <c r="I16" s="13" t="s">
        <v>766</v>
      </c>
      <c r="J16" s="17" t="s">
        <v>244</v>
      </c>
      <c r="K16" s="17"/>
      <c r="L16" s="17"/>
      <c r="M16" s="21" t="s">
        <v>973</v>
      </c>
      <c r="N16" s="17" t="s">
        <v>337</v>
      </c>
      <c r="O16" s="18" t="s">
        <v>219</v>
      </c>
      <c r="P16" s="19" t="s">
        <v>496</v>
      </c>
      <c r="Q16" s="19" t="s">
        <v>1072</v>
      </c>
      <c r="R16" s="20"/>
    </row>
    <row r="17" spans="1:18" ht="18.95" hidden="1" customHeight="1">
      <c r="A17" s="12" t="s">
        <v>630</v>
      </c>
      <c r="B17" s="13" t="s">
        <v>564</v>
      </c>
      <c r="C17" s="13" t="s">
        <v>643</v>
      </c>
      <c r="D17" s="13"/>
      <c r="E17" s="15" t="s">
        <v>972</v>
      </c>
      <c r="F17" s="15" t="s">
        <v>959</v>
      </c>
      <c r="G17" s="15"/>
      <c r="H17" s="15"/>
      <c r="I17" s="21" t="s">
        <v>613</v>
      </c>
      <c r="J17" s="17" t="s">
        <v>244</v>
      </c>
      <c r="K17" s="17"/>
      <c r="L17" s="17"/>
      <c r="M17" s="17" t="s">
        <v>974</v>
      </c>
      <c r="N17" s="17"/>
      <c r="O17" s="18"/>
      <c r="P17" s="19" t="s">
        <v>496</v>
      </c>
      <c r="Q17" s="19"/>
      <c r="R17" s="20" t="s">
        <v>498</v>
      </c>
    </row>
    <row r="18" spans="1:18" ht="18.95" hidden="1" customHeight="1">
      <c r="A18" s="12" t="s">
        <v>790</v>
      </c>
      <c r="B18" s="13" t="s">
        <v>565</v>
      </c>
      <c r="C18" s="13" t="s">
        <v>789</v>
      </c>
      <c r="D18" s="13"/>
      <c r="E18" s="15" t="s">
        <v>972</v>
      </c>
      <c r="F18" s="17" t="s">
        <v>959</v>
      </c>
      <c r="G18" s="17"/>
      <c r="H18" s="17"/>
      <c r="I18" s="13" t="s">
        <v>766</v>
      </c>
      <c r="J18" s="17" t="s">
        <v>244</v>
      </c>
      <c r="K18" s="17"/>
      <c r="L18" s="17"/>
      <c r="M18" s="17" t="s">
        <v>974</v>
      </c>
      <c r="N18" s="17"/>
      <c r="O18" s="18"/>
      <c r="P18" s="19" t="s">
        <v>496</v>
      </c>
      <c r="Q18" s="19"/>
      <c r="R18" s="20" t="s">
        <v>498</v>
      </c>
    </row>
    <row r="19" spans="1:18" ht="18.95" customHeight="1">
      <c r="A19" s="12" t="s">
        <v>204</v>
      </c>
      <c r="B19" s="13" t="s">
        <v>205</v>
      </c>
      <c r="C19" s="13" t="s">
        <v>1028</v>
      </c>
      <c r="D19" s="13"/>
      <c r="E19" s="61" t="s">
        <v>206</v>
      </c>
      <c r="F19" s="62" t="s">
        <v>1027</v>
      </c>
      <c r="G19" s="16" t="s">
        <v>1098</v>
      </c>
      <c r="H19" s="16" t="s">
        <v>1098</v>
      </c>
      <c r="I19" s="13" t="s">
        <v>207</v>
      </c>
      <c r="J19" s="17" t="s">
        <v>208</v>
      </c>
      <c r="K19" s="13" t="s">
        <v>209</v>
      </c>
      <c r="L19" s="17"/>
      <c r="M19" s="17" t="s">
        <v>210</v>
      </c>
      <c r="N19" s="17" t="s">
        <v>211</v>
      </c>
      <c r="O19" s="18"/>
      <c r="P19" s="19" t="s">
        <v>496</v>
      </c>
      <c r="Q19" s="19"/>
      <c r="R19" s="20" t="s">
        <v>498</v>
      </c>
    </row>
    <row r="20" spans="1:18" ht="18.95" customHeight="1">
      <c r="A20" s="12" t="s">
        <v>212</v>
      </c>
      <c r="B20" s="13" t="s">
        <v>205</v>
      </c>
      <c r="C20" s="13" t="s">
        <v>1029</v>
      </c>
      <c r="D20" s="13"/>
      <c r="E20" s="61" t="s">
        <v>206</v>
      </c>
      <c r="F20" s="62" t="s">
        <v>1027</v>
      </c>
      <c r="G20" s="16" t="s">
        <v>1098</v>
      </c>
      <c r="H20" s="16" t="s">
        <v>1098</v>
      </c>
      <c r="I20" s="13" t="s">
        <v>207</v>
      </c>
      <c r="J20" s="17" t="s">
        <v>208</v>
      </c>
      <c r="K20" s="13" t="s">
        <v>209</v>
      </c>
      <c r="L20" s="17"/>
      <c r="M20" s="17" t="s">
        <v>210</v>
      </c>
      <c r="N20" s="17" t="s">
        <v>211</v>
      </c>
      <c r="O20" s="18"/>
      <c r="P20" s="19" t="s">
        <v>496</v>
      </c>
      <c r="Q20" s="19"/>
      <c r="R20" s="20" t="s">
        <v>498</v>
      </c>
    </row>
    <row r="21" spans="1:18" ht="18.95" hidden="1" customHeight="1">
      <c r="A21" s="12" t="s">
        <v>675</v>
      </c>
      <c r="B21" s="13" t="s">
        <v>551</v>
      </c>
      <c r="C21" s="13" t="s">
        <v>644</v>
      </c>
      <c r="D21" s="13"/>
      <c r="E21" s="15" t="s">
        <v>215</v>
      </c>
      <c r="F21" s="15" t="s">
        <v>424</v>
      </c>
      <c r="G21" s="15"/>
      <c r="H21" s="15"/>
      <c r="I21" s="21" t="s">
        <v>613</v>
      </c>
      <c r="J21" s="17" t="s">
        <v>208</v>
      </c>
      <c r="K21" s="17" t="s">
        <v>254</v>
      </c>
      <c r="L21" s="17"/>
      <c r="M21" s="17" t="s">
        <v>210</v>
      </c>
      <c r="N21" s="17" t="s">
        <v>218</v>
      </c>
      <c r="O21" s="18" t="s">
        <v>219</v>
      </c>
      <c r="P21" s="19" t="s">
        <v>496</v>
      </c>
      <c r="Q21" s="19"/>
      <c r="R21" s="20"/>
    </row>
    <row r="22" spans="1:18" ht="18.95" hidden="1" customHeight="1">
      <c r="A22" s="12" t="s">
        <v>791</v>
      </c>
      <c r="B22" s="13" t="s">
        <v>566</v>
      </c>
      <c r="C22" s="14" t="s">
        <v>792</v>
      </c>
      <c r="D22" s="13"/>
      <c r="E22" s="15" t="s">
        <v>215</v>
      </c>
      <c r="F22" s="15" t="s">
        <v>424</v>
      </c>
      <c r="G22" s="15"/>
      <c r="H22" s="15"/>
      <c r="I22" s="13" t="s">
        <v>766</v>
      </c>
      <c r="J22" s="17" t="s">
        <v>208</v>
      </c>
      <c r="K22" s="17" t="s">
        <v>254</v>
      </c>
      <c r="L22" s="17"/>
      <c r="M22" s="17" t="s">
        <v>210</v>
      </c>
      <c r="N22" s="17" t="s">
        <v>337</v>
      </c>
      <c r="O22" s="18" t="s">
        <v>219</v>
      </c>
      <c r="P22" s="19" t="s">
        <v>496</v>
      </c>
      <c r="Q22" s="19"/>
      <c r="R22" s="20"/>
    </row>
    <row r="23" spans="1:18" ht="18.95" customHeight="1">
      <c r="A23" s="12" t="s">
        <v>213</v>
      </c>
      <c r="B23" s="13" t="s">
        <v>205</v>
      </c>
      <c r="C23" s="14" t="s">
        <v>1030</v>
      </c>
      <c r="D23" s="13"/>
      <c r="E23" s="61" t="s">
        <v>206</v>
      </c>
      <c r="F23" s="62" t="s">
        <v>1027</v>
      </c>
      <c r="G23" s="16" t="s">
        <v>1098</v>
      </c>
      <c r="H23" s="16" t="s">
        <v>1098</v>
      </c>
      <c r="I23" s="13" t="s">
        <v>207</v>
      </c>
      <c r="J23" s="17" t="s">
        <v>208</v>
      </c>
      <c r="K23" s="13" t="s">
        <v>209</v>
      </c>
      <c r="L23" s="17"/>
      <c r="M23" s="17" t="s">
        <v>210</v>
      </c>
      <c r="N23" s="17" t="s">
        <v>211</v>
      </c>
      <c r="O23" s="18"/>
      <c r="P23" s="19" t="s">
        <v>496</v>
      </c>
      <c r="Q23" s="19"/>
      <c r="R23" s="20" t="s">
        <v>498</v>
      </c>
    </row>
    <row r="24" spans="1:18" ht="18.95" customHeight="1">
      <c r="A24" s="12" t="s">
        <v>214</v>
      </c>
      <c r="B24" s="13" t="s">
        <v>205</v>
      </c>
      <c r="C24" s="14" t="s">
        <v>1031</v>
      </c>
      <c r="D24" s="13"/>
      <c r="E24" s="61" t="s">
        <v>206</v>
      </c>
      <c r="F24" s="62" t="s">
        <v>1027</v>
      </c>
      <c r="G24" s="16" t="s">
        <v>1098</v>
      </c>
      <c r="H24" s="16" t="s">
        <v>1098</v>
      </c>
      <c r="I24" s="13" t="s">
        <v>207</v>
      </c>
      <c r="J24" s="17" t="s">
        <v>208</v>
      </c>
      <c r="K24" s="13" t="s">
        <v>209</v>
      </c>
      <c r="L24" s="17"/>
      <c r="M24" s="17" t="s">
        <v>210</v>
      </c>
      <c r="N24" s="17" t="s">
        <v>211</v>
      </c>
      <c r="O24" s="18"/>
      <c r="P24" s="19" t="s">
        <v>496</v>
      </c>
      <c r="Q24" s="19"/>
      <c r="R24" s="20" t="s">
        <v>498</v>
      </c>
    </row>
    <row r="25" spans="1:18" ht="18.95" hidden="1" customHeight="1">
      <c r="A25" s="12" t="s">
        <v>623</v>
      </c>
      <c r="B25" s="13" t="s">
        <v>552</v>
      </c>
      <c r="C25" s="14" t="s">
        <v>645</v>
      </c>
      <c r="D25" s="13"/>
      <c r="E25" s="21" t="s">
        <v>234</v>
      </c>
      <c r="F25" s="21" t="s">
        <v>978</v>
      </c>
      <c r="G25" s="21"/>
      <c r="H25" s="21"/>
      <c r="I25" s="21" t="s">
        <v>613</v>
      </c>
      <c r="J25" s="17" t="s">
        <v>208</v>
      </c>
      <c r="K25" s="17" t="s">
        <v>225</v>
      </c>
      <c r="L25" s="17" t="s">
        <v>226</v>
      </c>
      <c r="M25" s="17" t="s">
        <v>227</v>
      </c>
      <c r="N25" s="17" t="s">
        <v>218</v>
      </c>
      <c r="O25" s="18" t="s">
        <v>219</v>
      </c>
      <c r="P25" s="19" t="s">
        <v>496</v>
      </c>
      <c r="Q25" s="19"/>
      <c r="R25" s="20"/>
    </row>
    <row r="26" spans="1:18" ht="18.95" hidden="1" customHeight="1">
      <c r="A26" s="12" t="s">
        <v>624</v>
      </c>
      <c r="B26" s="13" t="s">
        <v>553</v>
      </c>
      <c r="C26" s="14" t="s">
        <v>646</v>
      </c>
      <c r="D26" s="13"/>
      <c r="E26" s="21" t="s">
        <v>234</v>
      </c>
      <c r="F26" s="21" t="s">
        <v>1039</v>
      </c>
      <c r="G26" s="21"/>
      <c r="H26" s="21"/>
      <c r="I26" s="21" t="s">
        <v>613</v>
      </c>
      <c r="J26" s="17" t="s">
        <v>208</v>
      </c>
      <c r="K26" s="17" t="s">
        <v>225</v>
      </c>
      <c r="L26" s="17" t="s">
        <v>226</v>
      </c>
      <c r="M26" s="17" t="s">
        <v>227</v>
      </c>
      <c r="N26" s="17" t="s">
        <v>218</v>
      </c>
      <c r="O26" s="18" t="s">
        <v>219</v>
      </c>
      <c r="P26" s="19" t="s">
        <v>496</v>
      </c>
      <c r="Q26" s="19"/>
      <c r="R26" s="20"/>
    </row>
    <row r="27" spans="1:18" ht="18.95" hidden="1" customHeight="1">
      <c r="A27" s="12" t="s">
        <v>783</v>
      </c>
      <c r="B27" s="13" t="s">
        <v>567</v>
      </c>
      <c r="C27" s="14" t="s">
        <v>793</v>
      </c>
      <c r="D27" s="13"/>
      <c r="E27" s="21" t="s">
        <v>234</v>
      </c>
      <c r="F27" s="17" t="s">
        <v>976</v>
      </c>
      <c r="G27" s="17"/>
      <c r="H27" s="17"/>
      <c r="I27" s="13" t="s">
        <v>766</v>
      </c>
      <c r="J27" s="17" t="s">
        <v>208</v>
      </c>
      <c r="K27" s="17" t="s">
        <v>225</v>
      </c>
      <c r="L27" s="17" t="s">
        <v>226</v>
      </c>
      <c r="M27" s="17" t="s">
        <v>227</v>
      </c>
      <c r="N27" s="17" t="s">
        <v>337</v>
      </c>
      <c r="O27" s="18" t="s">
        <v>219</v>
      </c>
      <c r="P27" s="19" t="s">
        <v>496</v>
      </c>
      <c r="Q27" s="19"/>
      <c r="R27" s="20"/>
    </row>
    <row r="28" spans="1:18" ht="18.95" hidden="1" customHeight="1">
      <c r="A28" s="12" t="s">
        <v>784</v>
      </c>
      <c r="B28" s="13" t="s">
        <v>568</v>
      </c>
      <c r="C28" s="14" t="s">
        <v>794</v>
      </c>
      <c r="D28" s="13"/>
      <c r="E28" s="21" t="s">
        <v>234</v>
      </c>
      <c r="F28" s="15" t="s">
        <v>977</v>
      </c>
      <c r="G28" s="15"/>
      <c r="H28" s="15"/>
      <c r="I28" s="13" t="s">
        <v>766</v>
      </c>
      <c r="J28" s="17" t="s">
        <v>208</v>
      </c>
      <c r="K28" s="17" t="s">
        <v>225</v>
      </c>
      <c r="L28" s="17" t="s">
        <v>226</v>
      </c>
      <c r="M28" s="17" t="s">
        <v>227</v>
      </c>
      <c r="N28" s="17" t="s">
        <v>218</v>
      </c>
      <c r="O28" s="18" t="s">
        <v>219</v>
      </c>
      <c r="P28" s="19" t="s">
        <v>496</v>
      </c>
      <c r="Q28" s="19"/>
      <c r="R28" s="20"/>
    </row>
    <row r="29" spans="1:18" ht="18.95" customHeight="1">
      <c r="A29" s="12" t="s">
        <v>511</v>
      </c>
      <c r="B29" s="13" t="s">
        <v>481</v>
      </c>
      <c r="C29" s="14" t="s">
        <v>853</v>
      </c>
      <c r="D29" s="13"/>
      <c r="E29" s="61" t="s">
        <v>901</v>
      </c>
      <c r="F29" s="62" t="s">
        <v>902</v>
      </c>
      <c r="G29" s="16" t="s">
        <v>1097</v>
      </c>
      <c r="H29" s="16" t="s">
        <v>1097</v>
      </c>
      <c r="I29" s="17" t="s">
        <v>512</v>
      </c>
      <c r="J29" s="17" t="s">
        <v>216</v>
      </c>
      <c r="K29" s="13"/>
      <c r="L29" s="17" t="s">
        <v>256</v>
      </c>
      <c r="M29" s="17" t="s">
        <v>210</v>
      </c>
      <c r="N29" s="17"/>
      <c r="O29" s="18"/>
      <c r="P29" s="19" t="s">
        <v>496</v>
      </c>
      <c r="Q29" s="19"/>
      <c r="R29" s="20" t="s">
        <v>498</v>
      </c>
    </row>
    <row r="30" spans="1:18" ht="18.95" customHeight="1">
      <c r="A30" s="12" t="s">
        <v>510</v>
      </c>
      <c r="B30" s="13" t="s">
        <v>480</v>
      </c>
      <c r="C30" s="14" t="s">
        <v>841</v>
      </c>
      <c r="D30" s="13"/>
      <c r="E30" s="61" t="s">
        <v>901</v>
      </c>
      <c r="F30" s="62" t="s">
        <v>902</v>
      </c>
      <c r="G30" s="16" t="s">
        <v>1097</v>
      </c>
      <c r="H30" s="16" t="s">
        <v>1097</v>
      </c>
      <c r="I30" s="17" t="s">
        <v>502</v>
      </c>
      <c r="J30" s="17" t="s">
        <v>216</v>
      </c>
      <c r="K30" s="13"/>
      <c r="L30" s="17" t="s">
        <v>256</v>
      </c>
      <c r="M30" s="17" t="s">
        <v>210</v>
      </c>
      <c r="N30" s="17"/>
      <c r="O30" s="18"/>
      <c r="P30" s="19" t="s">
        <v>496</v>
      </c>
      <c r="Q30" s="19"/>
      <c r="R30" s="20" t="s">
        <v>498</v>
      </c>
    </row>
    <row r="31" spans="1:18" ht="18.95" customHeight="1">
      <c r="A31" s="12" t="s">
        <v>844</v>
      </c>
      <c r="B31" s="13" t="s">
        <v>855</v>
      </c>
      <c r="C31" s="14" t="s">
        <v>845</v>
      </c>
      <c r="D31" s="13"/>
      <c r="E31" s="49" t="s">
        <v>234</v>
      </c>
      <c r="F31" s="49" t="s">
        <v>994</v>
      </c>
      <c r="G31" s="15"/>
      <c r="H31" s="15"/>
      <c r="I31" s="13" t="s">
        <v>482</v>
      </c>
      <c r="J31" s="17" t="s">
        <v>208</v>
      </c>
      <c r="K31" s="17" t="s">
        <v>225</v>
      </c>
      <c r="L31" s="17" t="s">
        <v>226</v>
      </c>
      <c r="M31" s="17" t="s">
        <v>227</v>
      </c>
      <c r="N31" s="17"/>
      <c r="O31" s="18"/>
      <c r="P31" s="19" t="s">
        <v>496</v>
      </c>
      <c r="Q31" s="19"/>
      <c r="R31" s="20" t="s">
        <v>498</v>
      </c>
    </row>
    <row r="32" spans="1:18" ht="18.95" customHeight="1">
      <c r="A32" s="12" t="s">
        <v>843</v>
      </c>
      <c r="B32" s="13" t="s">
        <v>856</v>
      </c>
      <c r="C32" s="14" t="s">
        <v>830</v>
      </c>
      <c r="D32" s="13"/>
      <c r="E32" s="49" t="s">
        <v>234</v>
      </c>
      <c r="F32" s="49" t="s">
        <v>995</v>
      </c>
      <c r="G32" s="15"/>
      <c r="H32" s="15"/>
      <c r="I32" s="13" t="s">
        <v>482</v>
      </c>
      <c r="J32" s="17" t="s">
        <v>208</v>
      </c>
      <c r="K32" s="17" t="s">
        <v>225</v>
      </c>
      <c r="L32" s="17" t="s">
        <v>226</v>
      </c>
      <c r="M32" s="17" t="s">
        <v>227</v>
      </c>
      <c r="N32" s="17"/>
      <c r="O32" s="18"/>
      <c r="P32" s="19" t="s">
        <v>496</v>
      </c>
      <c r="Q32" s="19"/>
      <c r="R32" s="20" t="s">
        <v>498</v>
      </c>
    </row>
    <row r="33" spans="1:18" ht="18.95" hidden="1" customHeight="1">
      <c r="A33" s="12" t="s">
        <v>622</v>
      </c>
      <c r="B33" s="13" t="s">
        <v>554</v>
      </c>
      <c r="C33" s="14" t="s">
        <v>647</v>
      </c>
      <c r="D33" s="13"/>
      <c r="E33" s="21" t="s">
        <v>234</v>
      </c>
      <c r="F33" s="21" t="s">
        <v>978</v>
      </c>
      <c r="G33" s="21"/>
      <c r="H33" s="21"/>
      <c r="I33" s="21" t="s">
        <v>613</v>
      </c>
      <c r="J33" s="17" t="s">
        <v>208</v>
      </c>
      <c r="K33" s="17" t="s">
        <v>225</v>
      </c>
      <c r="L33" s="17" t="s">
        <v>226</v>
      </c>
      <c r="M33" s="17" t="s">
        <v>227</v>
      </c>
      <c r="N33" s="17"/>
      <c r="O33" s="18"/>
      <c r="P33" s="19" t="s">
        <v>496</v>
      </c>
      <c r="Q33" s="19"/>
      <c r="R33" s="20"/>
    </row>
    <row r="34" spans="1:18" ht="18.95" hidden="1" customHeight="1">
      <c r="A34" s="12" t="s">
        <v>797</v>
      </c>
      <c r="B34" s="13" t="s">
        <v>569</v>
      </c>
      <c r="C34" s="14" t="s">
        <v>796</v>
      </c>
      <c r="D34" s="13"/>
      <c r="E34" s="21" t="s">
        <v>234</v>
      </c>
      <c r="F34" s="16" t="s">
        <v>978</v>
      </c>
      <c r="G34" s="16"/>
      <c r="H34" s="16"/>
      <c r="I34" s="13" t="s">
        <v>766</v>
      </c>
      <c r="J34" s="17" t="s">
        <v>208</v>
      </c>
      <c r="K34" s="17" t="s">
        <v>225</v>
      </c>
      <c r="L34" s="17" t="s">
        <v>226</v>
      </c>
      <c r="M34" s="17" t="s">
        <v>227</v>
      </c>
      <c r="N34" s="17"/>
      <c r="O34" s="18"/>
      <c r="P34" s="19" t="s">
        <v>496</v>
      </c>
      <c r="Q34" s="19"/>
      <c r="R34" s="20"/>
    </row>
    <row r="35" spans="1:18" ht="18.95" customHeight="1">
      <c r="A35" s="12" t="s">
        <v>1020</v>
      </c>
      <c r="B35" s="13" t="s">
        <v>1021</v>
      </c>
      <c r="C35" s="14" t="s">
        <v>1022</v>
      </c>
      <c r="D35" s="13"/>
      <c r="E35" s="51" t="s">
        <v>234</v>
      </c>
      <c r="F35" s="50" t="s">
        <v>1024</v>
      </c>
      <c r="G35" s="16" t="s">
        <v>1100</v>
      </c>
      <c r="H35" s="16" t="s">
        <v>1100</v>
      </c>
      <c r="I35" s="22" t="s">
        <v>1025</v>
      </c>
      <c r="J35" s="17" t="s">
        <v>208</v>
      </c>
      <c r="K35" s="17" t="s">
        <v>225</v>
      </c>
      <c r="L35" s="17" t="s">
        <v>226</v>
      </c>
      <c r="M35" s="17" t="s">
        <v>227</v>
      </c>
      <c r="N35" s="17"/>
      <c r="O35" s="18"/>
      <c r="P35" s="19" t="s">
        <v>1023</v>
      </c>
      <c r="Q35" s="19" t="s">
        <v>952</v>
      </c>
      <c r="R35" s="20" t="s">
        <v>498</v>
      </c>
    </row>
    <row r="36" spans="1:18" ht="18.95" customHeight="1">
      <c r="A36" s="12" t="s">
        <v>582</v>
      </c>
      <c r="B36" s="13" t="s">
        <v>583</v>
      </c>
      <c r="C36" s="14" t="s">
        <v>831</v>
      </c>
      <c r="D36" s="13"/>
      <c r="E36" s="49" t="s">
        <v>1012</v>
      </c>
      <c r="F36" s="50" t="s">
        <v>1013</v>
      </c>
      <c r="G36" s="16"/>
      <c r="H36" s="16"/>
      <c r="I36" s="17" t="s">
        <v>502</v>
      </c>
      <c r="J36" s="17" t="s">
        <v>208</v>
      </c>
      <c r="K36" s="17" t="s">
        <v>225</v>
      </c>
      <c r="L36" s="17" t="s">
        <v>226</v>
      </c>
      <c r="M36" s="17" t="s">
        <v>227</v>
      </c>
      <c r="N36" s="17"/>
      <c r="O36" s="18"/>
      <c r="P36" s="19" t="s">
        <v>496</v>
      </c>
      <c r="Q36" s="19"/>
      <c r="R36" s="20" t="s">
        <v>498</v>
      </c>
    </row>
    <row r="37" spans="1:18" ht="18.95" hidden="1" customHeight="1">
      <c r="A37" s="12" t="s">
        <v>300</v>
      </c>
      <c r="B37" s="13" t="s">
        <v>301</v>
      </c>
      <c r="C37" s="14" t="s">
        <v>697</v>
      </c>
      <c r="D37" s="13"/>
      <c r="E37" s="21" t="s">
        <v>234</v>
      </c>
      <c r="F37" s="16" t="s">
        <v>993</v>
      </c>
      <c r="G37" s="16"/>
      <c r="H37" s="16"/>
      <c r="I37" s="17" t="s">
        <v>448</v>
      </c>
      <c r="J37" s="17" t="s">
        <v>208</v>
      </c>
      <c r="K37" s="17" t="s">
        <v>225</v>
      </c>
      <c r="L37" s="17" t="s">
        <v>226</v>
      </c>
      <c r="M37" s="17" t="s">
        <v>227</v>
      </c>
      <c r="N37" s="17" t="s">
        <v>302</v>
      </c>
      <c r="O37" s="18" t="s">
        <v>219</v>
      </c>
      <c r="P37" s="19" t="s">
        <v>496</v>
      </c>
      <c r="Q37" s="19"/>
      <c r="R37" s="20"/>
    </row>
    <row r="38" spans="1:18" ht="18.95" hidden="1" customHeight="1">
      <c r="A38" s="12" t="s">
        <v>303</v>
      </c>
      <c r="B38" s="13" t="s">
        <v>304</v>
      </c>
      <c r="C38" s="14" t="s">
        <v>698</v>
      </c>
      <c r="D38" s="13"/>
      <c r="E38" s="21" t="s">
        <v>234</v>
      </c>
      <c r="F38" s="16" t="s">
        <v>993</v>
      </c>
      <c r="G38" s="16"/>
      <c r="H38" s="16"/>
      <c r="I38" s="17" t="s">
        <v>448</v>
      </c>
      <c r="J38" s="17" t="s">
        <v>208</v>
      </c>
      <c r="K38" s="17" t="s">
        <v>225</v>
      </c>
      <c r="L38" s="17" t="s">
        <v>226</v>
      </c>
      <c r="M38" s="17" t="s">
        <v>227</v>
      </c>
      <c r="N38" s="17" t="s">
        <v>302</v>
      </c>
      <c r="O38" s="18" t="s">
        <v>219</v>
      </c>
      <c r="P38" s="19" t="s">
        <v>496</v>
      </c>
      <c r="Q38" s="19"/>
      <c r="R38" s="20"/>
    </row>
    <row r="39" spans="1:18" ht="18.95" hidden="1" customHeight="1">
      <c r="A39" s="12" t="s">
        <v>305</v>
      </c>
      <c r="B39" s="13" t="s">
        <v>306</v>
      </c>
      <c r="C39" s="14" t="s">
        <v>888</v>
      </c>
      <c r="D39" s="13"/>
      <c r="E39" s="21" t="s">
        <v>234</v>
      </c>
      <c r="F39" s="16" t="s">
        <v>993</v>
      </c>
      <c r="G39" s="16"/>
      <c r="H39" s="16"/>
      <c r="I39" s="17" t="s">
        <v>449</v>
      </c>
      <c r="J39" s="17" t="s">
        <v>208</v>
      </c>
      <c r="K39" s="17" t="s">
        <v>225</v>
      </c>
      <c r="L39" s="17" t="s">
        <v>226</v>
      </c>
      <c r="M39" s="17" t="s">
        <v>227</v>
      </c>
      <c r="N39" s="17" t="s">
        <v>302</v>
      </c>
      <c r="O39" s="18" t="s">
        <v>219</v>
      </c>
      <c r="P39" s="19" t="s">
        <v>496</v>
      </c>
      <c r="Q39" s="19"/>
      <c r="R39" s="20"/>
    </row>
    <row r="40" spans="1:18" ht="18.95" hidden="1" customHeight="1">
      <c r="A40" s="12" t="s">
        <v>307</v>
      </c>
      <c r="B40" s="13" t="s">
        <v>308</v>
      </c>
      <c r="C40" s="14" t="s">
        <v>889</v>
      </c>
      <c r="D40" s="13"/>
      <c r="E40" s="21" t="s">
        <v>234</v>
      </c>
      <c r="F40" s="16" t="s">
        <v>993</v>
      </c>
      <c r="G40" s="16"/>
      <c r="H40" s="16"/>
      <c r="I40" s="17" t="s">
        <v>449</v>
      </c>
      <c r="J40" s="17" t="s">
        <v>208</v>
      </c>
      <c r="K40" s="17" t="s">
        <v>225</v>
      </c>
      <c r="L40" s="17" t="s">
        <v>226</v>
      </c>
      <c r="M40" s="17" t="s">
        <v>227</v>
      </c>
      <c r="N40" s="17" t="s">
        <v>302</v>
      </c>
      <c r="O40" s="18" t="s">
        <v>219</v>
      </c>
      <c r="P40" s="19" t="s">
        <v>496</v>
      </c>
      <c r="Q40" s="19"/>
      <c r="R40" s="20"/>
    </row>
    <row r="41" spans="1:18" ht="30" customHeight="1">
      <c r="A41" s="12" t="s">
        <v>399</v>
      </c>
      <c r="B41" s="13" t="s">
        <v>1050</v>
      </c>
      <c r="C41" s="14" t="s">
        <v>882</v>
      </c>
      <c r="D41" s="13"/>
      <c r="E41" s="15" t="s">
        <v>215</v>
      </c>
      <c r="F41" s="16" t="s">
        <v>1069</v>
      </c>
      <c r="G41" s="16" t="s">
        <v>1091</v>
      </c>
      <c r="H41" s="16" t="s">
        <v>1092</v>
      </c>
      <c r="I41" s="13" t="s">
        <v>489</v>
      </c>
      <c r="J41" s="17" t="s">
        <v>208</v>
      </c>
      <c r="K41" s="17" t="s">
        <v>254</v>
      </c>
      <c r="L41" s="17" t="s">
        <v>226</v>
      </c>
      <c r="M41" s="17" t="s">
        <v>210</v>
      </c>
      <c r="N41" s="17"/>
      <c r="O41" s="18"/>
      <c r="P41" s="19" t="s">
        <v>496</v>
      </c>
      <c r="Q41" s="19" t="s">
        <v>1073</v>
      </c>
      <c r="R41" s="20" t="s">
        <v>498</v>
      </c>
    </row>
    <row r="42" spans="1:18" ht="18.95" hidden="1" customHeight="1">
      <c r="A42" s="12" t="s">
        <v>625</v>
      </c>
      <c r="B42" s="13" t="s">
        <v>626</v>
      </c>
      <c r="C42" s="14" t="s">
        <v>857</v>
      </c>
      <c r="D42" s="13"/>
      <c r="E42" s="15" t="s">
        <v>215</v>
      </c>
      <c r="F42" s="16" t="s">
        <v>960</v>
      </c>
      <c r="G42" s="16"/>
      <c r="H42" s="16"/>
      <c r="I42" s="21" t="s">
        <v>613</v>
      </c>
      <c r="J42" s="17" t="s">
        <v>216</v>
      </c>
      <c r="K42" s="13"/>
      <c r="L42" s="17" t="s">
        <v>256</v>
      </c>
      <c r="M42" s="17" t="s">
        <v>210</v>
      </c>
      <c r="N42" s="17" t="s">
        <v>218</v>
      </c>
      <c r="O42" s="18" t="s">
        <v>219</v>
      </c>
      <c r="P42" s="19" t="s">
        <v>496</v>
      </c>
      <c r="Q42" s="19"/>
      <c r="R42" s="20"/>
    </row>
    <row r="43" spans="1:18" ht="18.95" hidden="1" customHeight="1">
      <c r="A43" s="12" t="s">
        <v>764</v>
      </c>
      <c r="B43" s="13" t="s">
        <v>765</v>
      </c>
      <c r="C43" s="14" t="s">
        <v>795</v>
      </c>
      <c r="D43" s="13"/>
      <c r="E43" s="15" t="s">
        <v>215</v>
      </c>
      <c r="F43" s="16" t="s">
        <v>979</v>
      </c>
      <c r="G43" s="16"/>
      <c r="H43" s="16"/>
      <c r="I43" s="13" t="s">
        <v>766</v>
      </c>
      <c r="J43" s="17" t="s">
        <v>216</v>
      </c>
      <c r="K43" s="13"/>
      <c r="L43" s="17" t="s">
        <v>256</v>
      </c>
      <c r="M43" s="17" t="s">
        <v>210</v>
      </c>
      <c r="N43" s="17" t="s">
        <v>218</v>
      </c>
      <c r="O43" s="18" t="s">
        <v>219</v>
      </c>
      <c r="P43" s="19" t="s">
        <v>496</v>
      </c>
      <c r="Q43" s="19"/>
      <c r="R43" s="20"/>
    </row>
    <row r="44" spans="1:18" ht="18.95" customHeight="1">
      <c r="A44" s="12" t="s">
        <v>400</v>
      </c>
      <c r="B44" s="13" t="s">
        <v>1051</v>
      </c>
      <c r="C44" s="14" t="s">
        <v>883</v>
      </c>
      <c r="D44" s="13"/>
      <c r="E44" s="15" t="s">
        <v>215</v>
      </c>
      <c r="F44" s="16" t="s">
        <v>1069</v>
      </c>
      <c r="G44" s="16" t="s">
        <v>1091</v>
      </c>
      <c r="H44" s="16" t="s">
        <v>1092</v>
      </c>
      <c r="I44" s="13" t="s">
        <v>489</v>
      </c>
      <c r="J44" s="17" t="s">
        <v>208</v>
      </c>
      <c r="K44" s="17" t="s">
        <v>254</v>
      </c>
      <c r="L44" s="17" t="s">
        <v>226</v>
      </c>
      <c r="M44" s="17" t="s">
        <v>210</v>
      </c>
      <c r="N44" s="17"/>
      <c r="O44" s="18"/>
      <c r="P44" s="19" t="s">
        <v>496</v>
      </c>
      <c r="Q44" s="19" t="s">
        <v>1073</v>
      </c>
      <c r="R44" s="20" t="s">
        <v>498</v>
      </c>
    </row>
    <row r="45" spans="1:18" ht="18.95" customHeight="1">
      <c r="A45" s="12" t="s">
        <v>534</v>
      </c>
      <c r="B45" s="13" t="s">
        <v>535</v>
      </c>
      <c r="C45" s="14" t="s">
        <v>832</v>
      </c>
      <c r="D45" s="13"/>
      <c r="E45" s="15" t="s">
        <v>215</v>
      </c>
      <c r="F45" s="15" t="s">
        <v>541</v>
      </c>
      <c r="G45" s="15" t="s">
        <v>1091</v>
      </c>
      <c r="H45" s="15" t="s">
        <v>1093</v>
      </c>
      <c r="I45" s="17" t="s">
        <v>533</v>
      </c>
      <c r="J45" s="17" t="s">
        <v>208</v>
      </c>
      <c r="K45" s="17" t="s">
        <v>254</v>
      </c>
      <c r="L45" s="17" t="s">
        <v>226</v>
      </c>
      <c r="M45" s="17" t="s">
        <v>210</v>
      </c>
      <c r="N45" s="17"/>
      <c r="O45" s="18"/>
      <c r="P45" s="19" t="s">
        <v>496</v>
      </c>
      <c r="Q45" s="19"/>
      <c r="R45" s="20" t="s">
        <v>498</v>
      </c>
    </row>
    <row r="46" spans="1:18" ht="18.95" customHeight="1">
      <c r="A46" s="12" t="s">
        <v>531</v>
      </c>
      <c r="B46" s="13" t="s">
        <v>532</v>
      </c>
      <c r="C46" s="14" t="s">
        <v>833</v>
      </c>
      <c r="D46" s="13"/>
      <c r="E46" s="15" t="s">
        <v>215</v>
      </c>
      <c r="F46" s="15" t="s">
        <v>541</v>
      </c>
      <c r="G46" s="15" t="s">
        <v>1091</v>
      </c>
      <c r="H46" s="15" t="s">
        <v>1093</v>
      </c>
      <c r="I46" s="17" t="s">
        <v>533</v>
      </c>
      <c r="J46" s="17" t="s">
        <v>208</v>
      </c>
      <c r="K46" s="17" t="s">
        <v>254</v>
      </c>
      <c r="L46" s="17" t="s">
        <v>226</v>
      </c>
      <c r="M46" s="17" t="s">
        <v>210</v>
      </c>
      <c r="N46" s="17"/>
      <c r="O46" s="18"/>
      <c r="P46" s="19" t="s">
        <v>496</v>
      </c>
      <c r="Q46" s="19"/>
      <c r="R46" s="20" t="s">
        <v>498</v>
      </c>
    </row>
    <row r="47" spans="1:18" ht="18.95" customHeight="1">
      <c r="A47" s="12" t="s">
        <v>536</v>
      </c>
      <c r="B47" s="13" t="s">
        <v>537</v>
      </c>
      <c r="C47" s="14" t="s">
        <v>834</v>
      </c>
      <c r="D47" s="13"/>
      <c r="E47" s="15" t="s">
        <v>215</v>
      </c>
      <c r="F47" s="15" t="s">
        <v>541</v>
      </c>
      <c r="G47" s="15" t="s">
        <v>1091</v>
      </c>
      <c r="H47" s="15" t="s">
        <v>1093</v>
      </c>
      <c r="I47" s="17" t="s">
        <v>533</v>
      </c>
      <c r="J47" s="17" t="s">
        <v>208</v>
      </c>
      <c r="K47" s="17" t="s">
        <v>254</v>
      </c>
      <c r="L47" s="17" t="s">
        <v>226</v>
      </c>
      <c r="M47" s="17" t="s">
        <v>210</v>
      </c>
      <c r="N47" s="17"/>
      <c r="O47" s="18"/>
      <c r="P47" s="19" t="s">
        <v>496</v>
      </c>
      <c r="Q47" s="19"/>
      <c r="R47" s="20" t="s">
        <v>498</v>
      </c>
    </row>
    <row r="48" spans="1:18" ht="18.95" hidden="1" customHeight="1">
      <c r="A48" s="12" t="s">
        <v>609</v>
      </c>
      <c r="B48" s="13" t="s">
        <v>611</v>
      </c>
      <c r="C48" s="14" t="s">
        <v>650</v>
      </c>
      <c r="D48" s="13"/>
      <c r="E48" s="23" t="s">
        <v>224</v>
      </c>
      <c r="F48" s="16" t="s">
        <v>963</v>
      </c>
      <c r="G48" s="16"/>
      <c r="H48" s="16"/>
      <c r="I48" s="21" t="s">
        <v>613</v>
      </c>
      <c r="J48" s="17" t="s">
        <v>208</v>
      </c>
      <c r="K48" s="17" t="s">
        <v>225</v>
      </c>
      <c r="L48" s="17" t="s">
        <v>226</v>
      </c>
      <c r="M48" s="17" t="s">
        <v>227</v>
      </c>
      <c r="N48" s="17" t="s">
        <v>218</v>
      </c>
      <c r="O48" s="18" t="s">
        <v>219</v>
      </c>
      <c r="P48" s="19" t="s">
        <v>496</v>
      </c>
      <c r="Q48" s="19"/>
      <c r="R48" s="20"/>
    </row>
    <row r="49" spans="1:18" ht="18.95" hidden="1" customHeight="1">
      <c r="A49" s="12" t="s">
        <v>802</v>
      </c>
      <c r="B49" s="13" t="s">
        <v>1041</v>
      </c>
      <c r="C49" s="14" t="s">
        <v>804</v>
      </c>
      <c r="D49" s="13"/>
      <c r="E49" s="23" t="s">
        <v>224</v>
      </c>
      <c r="F49" s="15" t="s">
        <v>963</v>
      </c>
      <c r="G49" s="15"/>
      <c r="H49" s="15"/>
      <c r="I49" s="13" t="s">
        <v>766</v>
      </c>
      <c r="J49" s="17" t="s">
        <v>208</v>
      </c>
      <c r="K49" s="17" t="s">
        <v>225</v>
      </c>
      <c r="L49" s="17" t="s">
        <v>226</v>
      </c>
      <c r="M49" s="17" t="s">
        <v>227</v>
      </c>
      <c r="N49" s="17" t="s">
        <v>337</v>
      </c>
      <c r="O49" s="18" t="s">
        <v>219</v>
      </c>
      <c r="P49" s="19" t="s">
        <v>496</v>
      </c>
      <c r="Q49" s="19" t="s">
        <v>1074</v>
      </c>
      <c r="R49" s="20"/>
    </row>
    <row r="50" spans="1:18" ht="18.95" hidden="1" customHeight="1">
      <c r="A50" s="12" t="s">
        <v>610</v>
      </c>
      <c r="B50" s="13" t="s">
        <v>612</v>
      </c>
      <c r="C50" s="14" t="s">
        <v>805</v>
      </c>
      <c r="D50" s="13"/>
      <c r="E50" s="23" t="s">
        <v>224</v>
      </c>
      <c r="F50" s="16" t="s">
        <v>963</v>
      </c>
      <c r="G50" s="16"/>
      <c r="H50" s="16"/>
      <c r="I50" s="21" t="s">
        <v>613</v>
      </c>
      <c r="J50" s="17" t="s">
        <v>208</v>
      </c>
      <c r="K50" s="17" t="s">
        <v>225</v>
      </c>
      <c r="L50" s="17" t="s">
        <v>226</v>
      </c>
      <c r="M50" s="17" t="s">
        <v>227</v>
      </c>
      <c r="N50" s="17" t="s">
        <v>218</v>
      </c>
      <c r="O50" s="18" t="s">
        <v>219</v>
      </c>
      <c r="P50" s="19" t="s">
        <v>496</v>
      </c>
      <c r="Q50" s="19"/>
      <c r="R50" s="20"/>
    </row>
    <row r="51" spans="1:18" ht="18.95" hidden="1" customHeight="1">
      <c r="A51" s="12" t="s">
        <v>803</v>
      </c>
      <c r="B51" s="13" t="s">
        <v>1040</v>
      </c>
      <c r="C51" s="14" t="s">
        <v>805</v>
      </c>
      <c r="D51" s="13"/>
      <c r="E51" s="23" t="s">
        <v>224</v>
      </c>
      <c r="F51" s="15" t="s">
        <v>963</v>
      </c>
      <c r="G51" s="15"/>
      <c r="H51" s="15"/>
      <c r="I51" s="13" t="s">
        <v>766</v>
      </c>
      <c r="J51" s="17" t="s">
        <v>208</v>
      </c>
      <c r="K51" s="17" t="s">
        <v>225</v>
      </c>
      <c r="L51" s="17" t="s">
        <v>226</v>
      </c>
      <c r="M51" s="17" t="s">
        <v>227</v>
      </c>
      <c r="N51" s="17" t="s">
        <v>337</v>
      </c>
      <c r="O51" s="18" t="s">
        <v>219</v>
      </c>
      <c r="P51" s="19" t="s">
        <v>496</v>
      </c>
      <c r="Q51" s="19" t="s">
        <v>1074</v>
      </c>
      <c r="R51" s="20"/>
    </row>
    <row r="52" spans="1:18" ht="18.95" hidden="1" customHeight="1">
      <c r="A52" s="12" t="s">
        <v>322</v>
      </c>
      <c r="B52" s="13" t="s">
        <v>584</v>
      </c>
      <c r="C52" s="14" t="s">
        <v>710</v>
      </c>
      <c r="D52" s="13"/>
      <c r="E52" s="15" t="s">
        <v>988</v>
      </c>
      <c r="F52" s="15" t="s">
        <v>989</v>
      </c>
      <c r="G52" s="15"/>
      <c r="H52" s="15"/>
      <c r="I52" s="13" t="s">
        <v>452</v>
      </c>
      <c r="J52" s="17" t="s">
        <v>208</v>
      </c>
      <c r="K52" s="17" t="s">
        <v>225</v>
      </c>
      <c r="L52" s="17" t="s">
        <v>226</v>
      </c>
      <c r="M52" s="17" t="s">
        <v>227</v>
      </c>
      <c r="N52" s="17" t="s">
        <v>310</v>
      </c>
      <c r="O52" s="18" t="s">
        <v>321</v>
      </c>
      <c r="P52" s="19" t="s">
        <v>496</v>
      </c>
      <c r="Q52" s="19"/>
      <c r="R52" s="20"/>
    </row>
    <row r="53" spans="1:18" ht="18.95" hidden="1" customHeight="1">
      <c r="A53" s="12" t="s">
        <v>335</v>
      </c>
      <c r="B53" s="13" t="s">
        <v>585</v>
      </c>
      <c r="C53" s="14" t="s">
        <v>742</v>
      </c>
      <c r="D53" s="13"/>
      <c r="E53" s="15" t="s">
        <v>988</v>
      </c>
      <c r="F53" s="15" t="s">
        <v>989</v>
      </c>
      <c r="G53" s="15"/>
      <c r="H53" s="15"/>
      <c r="I53" s="13" t="s">
        <v>453</v>
      </c>
      <c r="J53" s="17" t="s">
        <v>208</v>
      </c>
      <c r="K53" s="17" t="s">
        <v>225</v>
      </c>
      <c r="L53" s="17" t="s">
        <v>226</v>
      </c>
      <c r="M53" s="17" t="s">
        <v>227</v>
      </c>
      <c r="N53" s="17" t="s">
        <v>310</v>
      </c>
      <c r="O53" s="18" t="s">
        <v>325</v>
      </c>
      <c r="P53" s="19" t="s">
        <v>496</v>
      </c>
      <c r="Q53" s="19"/>
      <c r="R53" s="20"/>
    </row>
    <row r="54" spans="1:18" ht="18.95" customHeight="1">
      <c r="A54" s="12" t="s">
        <v>364</v>
      </c>
      <c r="B54" s="13" t="s">
        <v>464</v>
      </c>
      <c r="C54" s="14" t="s">
        <v>714</v>
      </c>
      <c r="D54" s="13"/>
      <c r="E54" s="15" t="s">
        <v>215</v>
      </c>
      <c r="F54" s="15" t="s">
        <v>541</v>
      </c>
      <c r="G54" s="15" t="s">
        <v>1091</v>
      </c>
      <c r="H54" s="15" t="s">
        <v>1093</v>
      </c>
      <c r="I54" s="13" t="s">
        <v>320</v>
      </c>
      <c r="J54" s="17" t="s">
        <v>208</v>
      </c>
      <c r="K54" s="17" t="s">
        <v>254</v>
      </c>
      <c r="L54" s="17" t="s">
        <v>226</v>
      </c>
      <c r="M54" s="17" t="s">
        <v>210</v>
      </c>
      <c r="N54" s="17" t="s">
        <v>310</v>
      </c>
      <c r="O54" s="18" t="s">
        <v>321</v>
      </c>
      <c r="P54" s="19" t="s">
        <v>496</v>
      </c>
      <c r="Q54" s="19"/>
      <c r="R54" s="20" t="s">
        <v>498</v>
      </c>
    </row>
    <row r="55" spans="1:18" ht="18.95" customHeight="1">
      <c r="A55" s="12" t="s">
        <v>363</v>
      </c>
      <c r="B55" s="13" t="s">
        <v>465</v>
      </c>
      <c r="C55" s="14" t="s">
        <v>715</v>
      </c>
      <c r="D55" s="13"/>
      <c r="E55" s="15" t="s">
        <v>215</v>
      </c>
      <c r="F55" s="15" t="s">
        <v>541</v>
      </c>
      <c r="G55" s="15" t="s">
        <v>1091</v>
      </c>
      <c r="H55" s="15" t="s">
        <v>1093</v>
      </c>
      <c r="I55" s="13" t="s">
        <v>320</v>
      </c>
      <c r="J55" s="17" t="s">
        <v>208</v>
      </c>
      <c r="K55" s="17" t="s">
        <v>254</v>
      </c>
      <c r="L55" s="17" t="s">
        <v>226</v>
      </c>
      <c r="M55" s="17" t="s">
        <v>210</v>
      </c>
      <c r="N55" s="17" t="s">
        <v>310</v>
      </c>
      <c r="O55" s="18" t="s">
        <v>321</v>
      </c>
      <c r="P55" s="19" t="s">
        <v>496</v>
      </c>
      <c r="Q55" s="19"/>
      <c r="R55" s="20" t="s">
        <v>498</v>
      </c>
    </row>
    <row r="56" spans="1:18" ht="18.95" hidden="1" customHeight="1">
      <c r="A56" s="12" t="s">
        <v>631</v>
      </c>
      <c r="B56" s="13" t="s">
        <v>632</v>
      </c>
      <c r="C56" s="14" t="s">
        <v>651</v>
      </c>
      <c r="D56" s="13"/>
      <c r="E56" s="23" t="s">
        <v>224</v>
      </c>
      <c r="F56" s="16" t="s">
        <v>1014</v>
      </c>
      <c r="G56" s="16"/>
      <c r="H56" s="16"/>
      <c r="I56" s="21" t="s">
        <v>613</v>
      </c>
      <c r="J56" s="17" t="s">
        <v>208</v>
      </c>
      <c r="K56" s="17" t="s">
        <v>225</v>
      </c>
      <c r="L56" s="17" t="s">
        <v>226</v>
      </c>
      <c r="M56" s="17" t="s">
        <v>227</v>
      </c>
      <c r="N56" s="17" t="s">
        <v>218</v>
      </c>
      <c r="O56" s="18" t="s">
        <v>219</v>
      </c>
      <c r="P56" s="19" t="s">
        <v>496</v>
      </c>
      <c r="Q56" s="19"/>
      <c r="R56" s="20"/>
    </row>
    <row r="57" spans="1:18" ht="18.95" hidden="1" customHeight="1">
      <c r="A57" s="12" t="s">
        <v>807</v>
      </c>
      <c r="B57" s="13" t="s">
        <v>1042</v>
      </c>
      <c r="C57" s="14" t="s">
        <v>806</v>
      </c>
      <c r="D57" s="13"/>
      <c r="E57" s="23" t="s">
        <v>224</v>
      </c>
      <c r="F57" s="15" t="s">
        <v>1014</v>
      </c>
      <c r="G57" s="15"/>
      <c r="H57" s="15"/>
      <c r="I57" s="13" t="s">
        <v>766</v>
      </c>
      <c r="J57" s="17" t="s">
        <v>208</v>
      </c>
      <c r="K57" s="17" t="s">
        <v>225</v>
      </c>
      <c r="L57" s="17" t="s">
        <v>226</v>
      </c>
      <c r="M57" s="17" t="s">
        <v>227</v>
      </c>
      <c r="N57" s="17" t="s">
        <v>337</v>
      </c>
      <c r="O57" s="18" t="s">
        <v>219</v>
      </c>
      <c r="P57" s="19" t="s">
        <v>496</v>
      </c>
      <c r="Q57" s="19" t="s">
        <v>1074</v>
      </c>
      <c r="R57" s="20"/>
    </row>
    <row r="58" spans="1:18" ht="18.95" hidden="1" customHeight="1">
      <c r="A58" s="12" t="s">
        <v>530</v>
      </c>
      <c r="B58" s="13" t="s">
        <v>341</v>
      </c>
      <c r="C58" s="14" t="s">
        <v>808</v>
      </c>
      <c r="D58" s="13"/>
      <c r="E58" s="15" t="s">
        <v>955</v>
      </c>
      <c r="F58" s="16" t="s">
        <v>956</v>
      </c>
      <c r="G58" s="16"/>
      <c r="H58" s="16"/>
      <c r="I58" s="13" t="s">
        <v>766</v>
      </c>
      <c r="J58" s="17" t="s">
        <v>244</v>
      </c>
      <c r="K58" s="17"/>
      <c r="L58" s="17"/>
      <c r="M58" s="21" t="s">
        <v>247</v>
      </c>
      <c r="N58" s="17" t="s">
        <v>337</v>
      </c>
      <c r="O58" s="18" t="s">
        <v>219</v>
      </c>
      <c r="P58" s="19" t="s">
        <v>496</v>
      </c>
      <c r="Q58" s="19"/>
      <c r="R58" s="20"/>
    </row>
    <row r="59" spans="1:18" ht="18.95" customHeight="1">
      <c r="A59" s="12" t="s">
        <v>468</v>
      </c>
      <c r="B59" s="13" t="s">
        <v>472</v>
      </c>
      <c r="C59" s="14" t="s">
        <v>735</v>
      </c>
      <c r="D59" s="13"/>
      <c r="E59" s="15" t="s">
        <v>215</v>
      </c>
      <c r="F59" s="15" t="s">
        <v>541</v>
      </c>
      <c r="G59" s="15" t="s">
        <v>1091</v>
      </c>
      <c r="H59" s="15" t="s">
        <v>1093</v>
      </c>
      <c r="I59" s="13" t="s">
        <v>334</v>
      </c>
      <c r="J59" s="17" t="s">
        <v>208</v>
      </c>
      <c r="K59" s="17" t="s">
        <v>254</v>
      </c>
      <c r="L59" s="17" t="s">
        <v>226</v>
      </c>
      <c r="M59" s="17" t="s">
        <v>210</v>
      </c>
      <c r="N59" s="17" t="s">
        <v>310</v>
      </c>
      <c r="O59" s="18" t="s">
        <v>325</v>
      </c>
      <c r="P59" s="19" t="s">
        <v>496</v>
      </c>
      <c r="Q59" s="19"/>
      <c r="R59" s="20" t="s">
        <v>498</v>
      </c>
    </row>
    <row r="60" spans="1:18" ht="18.95" customHeight="1">
      <c r="A60" s="12" t="s">
        <v>469</v>
      </c>
      <c r="B60" s="13" t="s">
        <v>473</v>
      </c>
      <c r="C60" s="14" t="s">
        <v>734</v>
      </c>
      <c r="D60" s="13"/>
      <c r="E60" s="15" t="s">
        <v>215</v>
      </c>
      <c r="F60" s="15" t="s">
        <v>541</v>
      </c>
      <c r="G60" s="15" t="s">
        <v>1091</v>
      </c>
      <c r="H60" s="15" t="s">
        <v>1093</v>
      </c>
      <c r="I60" s="13" t="s">
        <v>334</v>
      </c>
      <c r="J60" s="17" t="s">
        <v>208</v>
      </c>
      <c r="K60" s="17" t="s">
        <v>254</v>
      </c>
      <c r="L60" s="17" t="s">
        <v>226</v>
      </c>
      <c r="M60" s="17" t="s">
        <v>210</v>
      </c>
      <c r="N60" s="17" t="s">
        <v>310</v>
      </c>
      <c r="O60" s="18" t="s">
        <v>325</v>
      </c>
      <c r="P60" s="19" t="s">
        <v>496</v>
      </c>
      <c r="Q60" s="19"/>
      <c r="R60" s="20" t="s">
        <v>498</v>
      </c>
    </row>
    <row r="61" spans="1:18" ht="18.95" customHeight="1">
      <c r="A61" s="12" t="s">
        <v>513</v>
      </c>
      <c r="B61" s="13" t="s">
        <v>514</v>
      </c>
      <c r="C61" s="14" t="s">
        <v>849</v>
      </c>
      <c r="D61" s="13"/>
      <c r="E61" s="15" t="s">
        <v>215</v>
      </c>
      <c r="F61" s="15" t="s">
        <v>541</v>
      </c>
      <c r="G61" s="15" t="s">
        <v>1091</v>
      </c>
      <c r="H61" s="15" t="s">
        <v>1093</v>
      </c>
      <c r="I61" s="17" t="s">
        <v>512</v>
      </c>
      <c r="J61" s="17" t="s">
        <v>208</v>
      </c>
      <c r="K61" s="17" t="s">
        <v>254</v>
      </c>
      <c r="L61" s="17" t="s">
        <v>226</v>
      </c>
      <c r="M61" s="17" t="s">
        <v>210</v>
      </c>
      <c r="N61" s="17"/>
      <c r="O61" s="18"/>
      <c r="P61" s="19" t="s">
        <v>496</v>
      </c>
      <c r="Q61" s="19"/>
      <c r="R61" s="20" t="s">
        <v>498</v>
      </c>
    </row>
    <row r="62" spans="1:18" ht="18.95" customHeight="1">
      <c r="A62" s="12" t="s">
        <v>517</v>
      </c>
      <c r="B62" s="13" t="s">
        <v>518</v>
      </c>
      <c r="C62" s="14" t="s">
        <v>850</v>
      </c>
      <c r="D62" s="13"/>
      <c r="E62" s="15" t="s">
        <v>215</v>
      </c>
      <c r="F62" s="15" t="s">
        <v>541</v>
      </c>
      <c r="G62" s="15" t="s">
        <v>1091</v>
      </c>
      <c r="H62" s="15" t="s">
        <v>1093</v>
      </c>
      <c r="I62" s="17" t="s">
        <v>512</v>
      </c>
      <c r="J62" s="17" t="s">
        <v>208</v>
      </c>
      <c r="K62" s="17" t="s">
        <v>254</v>
      </c>
      <c r="L62" s="17" t="s">
        <v>226</v>
      </c>
      <c r="M62" s="17" t="s">
        <v>210</v>
      </c>
      <c r="N62" s="17"/>
      <c r="O62" s="18"/>
      <c r="P62" s="19" t="s">
        <v>496</v>
      </c>
      <c r="Q62" s="19"/>
      <c r="R62" s="20" t="s">
        <v>498</v>
      </c>
    </row>
    <row r="63" spans="1:18" ht="18.95" hidden="1" customHeight="1">
      <c r="A63" s="12" t="s">
        <v>529</v>
      </c>
      <c r="B63" s="13" t="s">
        <v>526</v>
      </c>
      <c r="C63" s="14" t="s">
        <v>809</v>
      </c>
      <c r="D63" s="13"/>
      <c r="E63" s="15" t="s">
        <v>955</v>
      </c>
      <c r="F63" s="16" t="s">
        <v>956</v>
      </c>
      <c r="G63" s="16"/>
      <c r="H63" s="16"/>
      <c r="I63" s="13" t="s">
        <v>766</v>
      </c>
      <c r="J63" s="17" t="s">
        <v>244</v>
      </c>
      <c r="K63" s="17"/>
      <c r="L63" s="17"/>
      <c r="M63" s="21" t="s">
        <v>247</v>
      </c>
      <c r="N63" s="17" t="s">
        <v>337</v>
      </c>
      <c r="O63" s="18" t="s">
        <v>219</v>
      </c>
      <c r="P63" s="19" t="s">
        <v>496</v>
      </c>
      <c r="Q63" s="19"/>
      <c r="R63" s="20"/>
    </row>
    <row r="64" spans="1:18" ht="18.95" hidden="1" customHeight="1">
      <c r="A64" s="12" t="s">
        <v>525</v>
      </c>
      <c r="B64" s="13" t="s">
        <v>522</v>
      </c>
      <c r="C64" s="14" t="s">
        <v>810</v>
      </c>
      <c r="D64" s="13"/>
      <c r="E64" s="15" t="s">
        <v>955</v>
      </c>
      <c r="F64" s="16" t="s">
        <v>956</v>
      </c>
      <c r="G64" s="16"/>
      <c r="H64" s="16"/>
      <c r="I64" s="13" t="s">
        <v>766</v>
      </c>
      <c r="J64" s="17" t="s">
        <v>244</v>
      </c>
      <c r="K64" s="17"/>
      <c r="L64" s="17"/>
      <c r="M64" s="21" t="s">
        <v>247</v>
      </c>
      <c r="N64" s="17" t="s">
        <v>337</v>
      </c>
      <c r="O64" s="18" t="s">
        <v>219</v>
      </c>
      <c r="P64" s="19" t="s">
        <v>496</v>
      </c>
      <c r="Q64" s="19"/>
      <c r="R64" s="20"/>
    </row>
    <row r="65" spans="1:18" ht="18.95" hidden="1" customHeight="1">
      <c r="A65" s="12" t="s">
        <v>627</v>
      </c>
      <c r="B65" s="13" t="s">
        <v>557</v>
      </c>
      <c r="C65" s="14" t="s">
        <v>652</v>
      </c>
      <c r="D65" s="13"/>
      <c r="E65" s="15" t="s">
        <v>965</v>
      </c>
      <c r="F65" s="15" t="s">
        <v>964</v>
      </c>
      <c r="G65" s="15"/>
      <c r="H65" s="15"/>
      <c r="I65" s="21" t="s">
        <v>613</v>
      </c>
      <c r="J65" s="17" t="s">
        <v>216</v>
      </c>
      <c r="K65" s="17"/>
      <c r="L65" s="17" t="s">
        <v>368</v>
      </c>
      <c r="M65" s="17"/>
      <c r="N65" s="17" t="s">
        <v>218</v>
      </c>
      <c r="O65" s="18" t="s">
        <v>219</v>
      </c>
      <c r="P65" s="19" t="s">
        <v>496</v>
      </c>
      <c r="Q65" s="19"/>
      <c r="R65" s="20"/>
    </row>
    <row r="66" spans="1:18" ht="18.95" hidden="1" customHeight="1">
      <c r="A66" s="12" t="s">
        <v>812</v>
      </c>
      <c r="B66" s="13" t="s">
        <v>572</v>
      </c>
      <c r="C66" s="14" t="s">
        <v>811</v>
      </c>
      <c r="D66" s="13"/>
      <c r="E66" s="15" t="s">
        <v>965</v>
      </c>
      <c r="F66" s="15" t="s">
        <v>964</v>
      </c>
      <c r="G66" s="15"/>
      <c r="H66" s="15"/>
      <c r="I66" s="13" t="s">
        <v>766</v>
      </c>
      <c r="J66" s="17" t="s">
        <v>216</v>
      </c>
      <c r="K66" s="17"/>
      <c r="L66" s="17" t="s">
        <v>368</v>
      </c>
      <c r="M66" s="17"/>
      <c r="N66" s="17" t="s">
        <v>337</v>
      </c>
      <c r="O66" s="18" t="s">
        <v>219</v>
      </c>
      <c r="P66" s="19" t="s">
        <v>496</v>
      </c>
      <c r="Q66" s="19"/>
      <c r="R66" s="20"/>
    </row>
    <row r="67" spans="1:18" ht="18.95" customHeight="1">
      <c r="A67" s="12" t="s">
        <v>519</v>
      </c>
      <c r="B67" s="13" t="s">
        <v>520</v>
      </c>
      <c r="C67" s="14" t="s">
        <v>851</v>
      </c>
      <c r="D67" s="13"/>
      <c r="E67" s="15" t="s">
        <v>215</v>
      </c>
      <c r="F67" s="15" t="s">
        <v>541</v>
      </c>
      <c r="G67" s="15" t="s">
        <v>1091</v>
      </c>
      <c r="H67" s="15" t="s">
        <v>1093</v>
      </c>
      <c r="I67" s="17" t="s">
        <v>512</v>
      </c>
      <c r="J67" s="17" t="s">
        <v>208</v>
      </c>
      <c r="K67" s="17" t="s">
        <v>254</v>
      </c>
      <c r="L67" s="17" t="s">
        <v>226</v>
      </c>
      <c r="M67" s="17" t="s">
        <v>210</v>
      </c>
      <c r="N67" s="17"/>
      <c r="O67" s="18"/>
      <c r="P67" s="19" t="s">
        <v>496</v>
      </c>
      <c r="Q67" s="19"/>
      <c r="R67" s="20" t="s">
        <v>498</v>
      </c>
    </row>
    <row r="68" spans="1:18" ht="18.95" customHeight="1">
      <c r="A68" s="12" t="s">
        <v>515</v>
      </c>
      <c r="B68" s="13" t="s">
        <v>516</v>
      </c>
      <c r="C68" s="14" t="s">
        <v>996</v>
      </c>
      <c r="D68" s="13"/>
      <c r="E68" s="15" t="s">
        <v>215</v>
      </c>
      <c r="F68" s="15" t="s">
        <v>541</v>
      </c>
      <c r="G68" s="15" t="s">
        <v>1091</v>
      </c>
      <c r="H68" s="15" t="s">
        <v>1093</v>
      </c>
      <c r="I68" s="17" t="s">
        <v>512</v>
      </c>
      <c r="J68" s="17" t="s">
        <v>208</v>
      </c>
      <c r="K68" s="17" t="s">
        <v>254</v>
      </c>
      <c r="L68" s="17" t="s">
        <v>226</v>
      </c>
      <c r="M68" s="17" t="s">
        <v>210</v>
      </c>
      <c r="N68" s="17"/>
      <c r="O68" s="18"/>
      <c r="P68" s="19" t="s">
        <v>496</v>
      </c>
      <c r="Q68" s="19"/>
      <c r="R68" s="20" t="s">
        <v>498</v>
      </c>
    </row>
    <row r="69" spans="1:18" ht="18.95" customHeight="1">
      <c r="A69" s="12" t="s">
        <v>500</v>
      </c>
      <c r="B69" s="13" t="s">
        <v>501</v>
      </c>
      <c r="C69" s="14" t="s">
        <v>835</v>
      </c>
      <c r="D69" s="13"/>
      <c r="E69" s="15" t="s">
        <v>215</v>
      </c>
      <c r="F69" s="15" t="s">
        <v>541</v>
      </c>
      <c r="G69" s="15" t="s">
        <v>1091</v>
      </c>
      <c r="H69" s="15" t="s">
        <v>1093</v>
      </c>
      <c r="I69" s="17" t="s">
        <v>502</v>
      </c>
      <c r="J69" s="17" t="s">
        <v>208</v>
      </c>
      <c r="K69" s="17" t="s">
        <v>254</v>
      </c>
      <c r="L69" s="17" t="s">
        <v>226</v>
      </c>
      <c r="M69" s="17" t="s">
        <v>210</v>
      </c>
      <c r="N69" s="17"/>
      <c r="O69" s="18"/>
      <c r="P69" s="19" t="s">
        <v>496</v>
      </c>
      <c r="Q69" s="19"/>
      <c r="R69" s="20" t="s">
        <v>498</v>
      </c>
    </row>
    <row r="70" spans="1:18" ht="18.95" hidden="1" customHeight="1">
      <c r="A70" s="12" t="s">
        <v>604</v>
      </c>
      <c r="B70" s="13" t="s">
        <v>428</v>
      </c>
      <c r="C70" s="14" t="s">
        <v>676</v>
      </c>
      <c r="D70" s="13"/>
      <c r="E70" s="15"/>
      <c r="F70" s="16"/>
      <c r="G70" s="16"/>
      <c r="H70" s="16"/>
      <c r="I70" s="17" t="s">
        <v>603</v>
      </c>
      <c r="J70" s="17" t="s">
        <v>216</v>
      </c>
      <c r="K70" s="13"/>
      <c r="L70" s="17" t="s">
        <v>368</v>
      </c>
      <c r="M70" s="17"/>
      <c r="N70" s="17" t="s">
        <v>255</v>
      </c>
      <c r="O70" s="18" t="s">
        <v>219</v>
      </c>
      <c r="P70" s="19" t="s">
        <v>496</v>
      </c>
      <c r="Q70" s="19"/>
      <c r="R70" s="20"/>
    </row>
    <row r="71" spans="1:18" ht="18.95" hidden="1" customHeight="1">
      <c r="A71" s="12" t="s">
        <v>768</v>
      </c>
      <c r="B71" s="13" t="s">
        <v>429</v>
      </c>
      <c r="C71" s="14" t="s">
        <v>769</v>
      </c>
      <c r="D71" s="13"/>
      <c r="E71" s="15"/>
      <c r="F71" s="16"/>
      <c r="G71" s="16"/>
      <c r="H71" s="16"/>
      <c r="I71" s="17" t="s">
        <v>767</v>
      </c>
      <c r="J71" s="17" t="s">
        <v>216</v>
      </c>
      <c r="K71" s="13"/>
      <c r="L71" s="17" t="s">
        <v>368</v>
      </c>
      <c r="M71" s="17"/>
      <c r="N71" s="17" t="s">
        <v>336</v>
      </c>
      <c r="O71" s="18" t="s">
        <v>219</v>
      </c>
      <c r="P71" s="19" t="s">
        <v>496</v>
      </c>
      <c r="Q71" s="19"/>
      <c r="R71" s="20"/>
    </row>
    <row r="72" spans="1:18" ht="18.95" customHeight="1">
      <c r="A72" s="12" t="s">
        <v>505</v>
      </c>
      <c r="B72" s="13" t="s">
        <v>506</v>
      </c>
      <c r="C72" s="14" t="s">
        <v>836</v>
      </c>
      <c r="D72" s="13"/>
      <c r="E72" s="15" t="s">
        <v>215</v>
      </c>
      <c r="F72" s="15" t="s">
        <v>541</v>
      </c>
      <c r="G72" s="15" t="s">
        <v>1091</v>
      </c>
      <c r="H72" s="15" t="s">
        <v>1093</v>
      </c>
      <c r="I72" s="17" t="s">
        <v>502</v>
      </c>
      <c r="J72" s="17" t="s">
        <v>208</v>
      </c>
      <c r="K72" s="17" t="s">
        <v>254</v>
      </c>
      <c r="L72" s="17" t="s">
        <v>226</v>
      </c>
      <c r="M72" s="17" t="s">
        <v>210</v>
      </c>
      <c r="N72" s="17"/>
      <c r="O72" s="18"/>
      <c r="P72" s="19" t="s">
        <v>496</v>
      </c>
      <c r="Q72" s="19"/>
      <c r="R72" s="20" t="s">
        <v>498</v>
      </c>
    </row>
    <row r="73" spans="1:18" ht="18.95" customHeight="1">
      <c r="A73" s="12" t="s">
        <v>507</v>
      </c>
      <c r="B73" s="13" t="s">
        <v>508</v>
      </c>
      <c r="C73" s="14" t="s">
        <v>837</v>
      </c>
      <c r="D73" s="13"/>
      <c r="E73" s="15" t="s">
        <v>215</v>
      </c>
      <c r="F73" s="15" t="s">
        <v>541</v>
      </c>
      <c r="G73" s="15" t="s">
        <v>1091</v>
      </c>
      <c r="H73" s="15" t="s">
        <v>1093</v>
      </c>
      <c r="I73" s="17" t="s">
        <v>502</v>
      </c>
      <c r="J73" s="17" t="s">
        <v>208</v>
      </c>
      <c r="K73" s="17" t="s">
        <v>254</v>
      </c>
      <c r="L73" s="17" t="s">
        <v>226</v>
      </c>
      <c r="M73" s="17" t="s">
        <v>210</v>
      </c>
      <c r="N73" s="17"/>
      <c r="O73" s="18"/>
      <c r="P73" s="19" t="s">
        <v>496</v>
      </c>
      <c r="Q73" s="19"/>
      <c r="R73" s="20" t="s">
        <v>498</v>
      </c>
    </row>
    <row r="74" spans="1:18" ht="18.95" customHeight="1">
      <c r="A74" s="12" t="s">
        <v>503</v>
      </c>
      <c r="B74" s="13" t="s">
        <v>504</v>
      </c>
      <c r="C74" s="14" t="s">
        <v>838</v>
      </c>
      <c r="D74" s="13"/>
      <c r="E74" s="15" t="s">
        <v>215</v>
      </c>
      <c r="F74" s="15" t="s">
        <v>541</v>
      </c>
      <c r="G74" s="15" t="s">
        <v>1091</v>
      </c>
      <c r="H74" s="15" t="s">
        <v>1093</v>
      </c>
      <c r="I74" s="17" t="s">
        <v>502</v>
      </c>
      <c r="J74" s="17" t="s">
        <v>208</v>
      </c>
      <c r="K74" s="17" t="s">
        <v>254</v>
      </c>
      <c r="L74" s="17" t="s">
        <v>226</v>
      </c>
      <c r="M74" s="17" t="s">
        <v>210</v>
      </c>
      <c r="N74" s="17"/>
      <c r="O74" s="18"/>
      <c r="P74" s="19" t="s">
        <v>496</v>
      </c>
      <c r="Q74" s="19"/>
      <c r="R74" s="20" t="s">
        <v>498</v>
      </c>
    </row>
    <row r="75" spans="1:18" ht="18.95" customHeight="1">
      <c r="A75" s="12" t="s">
        <v>365</v>
      </c>
      <c r="B75" s="13" t="s">
        <v>467</v>
      </c>
      <c r="C75" s="14" t="s">
        <v>716</v>
      </c>
      <c r="D75" s="13"/>
      <c r="E75" s="15" t="s">
        <v>215</v>
      </c>
      <c r="F75" s="15" t="s">
        <v>541</v>
      </c>
      <c r="G75" s="15" t="s">
        <v>1091</v>
      </c>
      <c r="H75" s="15" t="s">
        <v>1093</v>
      </c>
      <c r="I75" s="13" t="s">
        <v>320</v>
      </c>
      <c r="J75" s="17" t="s">
        <v>208</v>
      </c>
      <c r="K75" s="17" t="s">
        <v>254</v>
      </c>
      <c r="L75" s="17" t="s">
        <v>226</v>
      </c>
      <c r="M75" s="17" t="s">
        <v>210</v>
      </c>
      <c r="N75" s="17" t="s">
        <v>310</v>
      </c>
      <c r="O75" s="18" t="s">
        <v>321</v>
      </c>
      <c r="P75" s="19" t="s">
        <v>496</v>
      </c>
      <c r="Q75" s="19"/>
      <c r="R75" s="20" t="s">
        <v>498</v>
      </c>
    </row>
    <row r="76" spans="1:18" ht="18.95" customHeight="1">
      <c r="A76" s="12" t="s">
        <v>366</v>
      </c>
      <c r="B76" s="13" t="s">
        <v>466</v>
      </c>
      <c r="C76" s="14" t="s">
        <v>717</v>
      </c>
      <c r="D76" s="13"/>
      <c r="E76" s="15" t="s">
        <v>215</v>
      </c>
      <c r="F76" s="15" t="s">
        <v>541</v>
      </c>
      <c r="G76" s="15" t="s">
        <v>1091</v>
      </c>
      <c r="H76" s="15" t="s">
        <v>1093</v>
      </c>
      <c r="I76" s="13" t="s">
        <v>320</v>
      </c>
      <c r="J76" s="17" t="s">
        <v>208</v>
      </c>
      <c r="K76" s="17" t="s">
        <v>254</v>
      </c>
      <c r="L76" s="17" t="s">
        <v>226</v>
      </c>
      <c r="M76" s="17" t="s">
        <v>210</v>
      </c>
      <c r="N76" s="17" t="s">
        <v>310</v>
      </c>
      <c r="O76" s="18" t="s">
        <v>321</v>
      </c>
      <c r="P76" s="19" t="s">
        <v>496</v>
      </c>
      <c r="Q76" s="19"/>
      <c r="R76" s="20" t="s">
        <v>498</v>
      </c>
    </row>
    <row r="77" spans="1:18" ht="18.95" customHeight="1">
      <c r="A77" s="12" t="s">
        <v>470</v>
      </c>
      <c r="B77" s="13" t="s">
        <v>474</v>
      </c>
      <c r="C77" s="14" t="s">
        <v>747</v>
      </c>
      <c r="D77" s="13"/>
      <c r="E77" s="15" t="s">
        <v>215</v>
      </c>
      <c r="F77" s="15" t="s">
        <v>541</v>
      </c>
      <c r="G77" s="15" t="s">
        <v>1091</v>
      </c>
      <c r="H77" s="15" t="s">
        <v>1093</v>
      </c>
      <c r="I77" s="13" t="s">
        <v>334</v>
      </c>
      <c r="J77" s="17" t="s">
        <v>208</v>
      </c>
      <c r="K77" s="17" t="s">
        <v>254</v>
      </c>
      <c r="L77" s="17" t="s">
        <v>226</v>
      </c>
      <c r="M77" s="17" t="s">
        <v>210</v>
      </c>
      <c r="N77" s="17" t="s">
        <v>310</v>
      </c>
      <c r="O77" s="18" t="s">
        <v>325</v>
      </c>
      <c r="P77" s="19" t="s">
        <v>496</v>
      </c>
      <c r="Q77" s="19"/>
      <c r="R77" s="20" t="s">
        <v>498</v>
      </c>
    </row>
    <row r="78" spans="1:18" ht="18.95" customHeight="1">
      <c r="A78" s="12" t="s">
        <v>471</v>
      </c>
      <c r="B78" s="13" t="s">
        <v>475</v>
      </c>
      <c r="C78" s="14" t="s">
        <v>750</v>
      </c>
      <c r="D78" s="13"/>
      <c r="E78" s="15" t="s">
        <v>215</v>
      </c>
      <c r="F78" s="15" t="s">
        <v>541</v>
      </c>
      <c r="G78" s="15" t="s">
        <v>1091</v>
      </c>
      <c r="H78" s="15" t="s">
        <v>1093</v>
      </c>
      <c r="I78" s="13" t="s">
        <v>334</v>
      </c>
      <c r="J78" s="17" t="s">
        <v>208</v>
      </c>
      <c r="K78" s="17" t="s">
        <v>254</v>
      </c>
      <c r="L78" s="17" t="s">
        <v>226</v>
      </c>
      <c r="M78" s="17" t="s">
        <v>210</v>
      </c>
      <c r="N78" s="17" t="s">
        <v>310</v>
      </c>
      <c r="O78" s="18" t="s">
        <v>325</v>
      </c>
      <c r="P78" s="19" t="s">
        <v>496</v>
      </c>
      <c r="Q78" s="19"/>
      <c r="R78" s="20" t="s">
        <v>498</v>
      </c>
    </row>
    <row r="79" spans="1:18" ht="18.95" customHeight="1">
      <c r="A79" s="12" t="s">
        <v>521</v>
      </c>
      <c r="B79" s="13" t="s">
        <v>1043</v>
      </c>
      <c r="C79" s="14" t="s">
        <v>852</v>
      </c>
      <c r="D79" s="13"/>
      <c r="E79" s="15" t="s">
        <v>215</v>
      </c>
      <c r="F79" s="15" t="s">
        <v>541</v>
      </c>
      <c r="G79" s="15" t="s">
        <v>1091</v>
      </c>
      <c r="H79" s="15" t="s">
        <v>1093</v>
      </c>
      <c r="I79" s="17" t="s">
        <v>512</v>
      </c>
      <c r="J79" s="17" t="s">
        <v>208</v>
      </c>
      <c r="K79" s="17" t="s">
        <v>254</v>
      </c>
      <c r="L79" s="17" t="s">
        <v>226</v>
      </c>
      <c r="M79" s="17" t="s">
        <v>210</v>
      </c>
      <c r="N79" s="17"/>
      <c r="O79" s="18"/>
      <c r="P79" s="19" t="s">
        <v>496</v>
      </c>
      <c r="Q79" s="19"/>
      <c r="R79" s="20" t="s">
        <v>498</v>
      </c>
    </row>
    <row r="80" spans="1:18" ht="18.95" customHeight="1">
      <c r="A80" s="12" t="s">
        <v>509</v>
      </c>
      <c r="B80" s="13" t="s">
        <v>1044</v>
      </c>
      <c r="C80" s="14" t="s">
        <v>839</v>
      </c>
      <c r="D80" s="13"/>
      <c r="E80" s="15" t="s">
        <v>215</v>
      </c>
      <c r="F80" s="15" t="s">
        <v>541</v>
      </c>
      <c r="G80" s="15" t="s">
        <v>1091</v>
      </c>
      <c r="H80" s="15" t="s">
        <v>1093</v>
      </c>
      <c r="I80" s="17" t="s">
        <v>502</v>
      </c>
      <c r="J80" s="17" t="s">
        <v>208</v>
      </c>
      <c r="K80" s="17" t="s">
        <v>254</v>
      </c>
      <c r="L80" s="17" t="s">
        <v>226</v>
      </c>
      <c r="M80" s="17" t="s">
        <v>210</v>
      </c>
      <c r="N80" s="17"/>
      <c r="O80" s="18"/>
      <c r="P80" s="19" t="s">
        <v>496</v>
      </c>
      <c r="Q80" s="19"/>
      <c r="R80" s="20" t="s">
        <v>498</v>
      </c>
    </row>
    <row r="81" spans="1:18" ht="18.95" customHeight="1">
      <c r="A81" s="12" t="s">
        <v>917</v>
      </c>
      <c r="B81" s="13" t="s">
        <v>921</v>
      </c>
      <c r="C81" s="14" t="s">
        <v>925</v>
      </c>
      <c r="D81" s="13"/>
      <c r="E81" s="15" t="s">
        <v>215</v>
      </c>
      <c r="F81" s="15" t="s">
        <v>541</v>
      </c>
      <c r="G81" s="15" t="s">
        <v>1091</v>
      </c>
      <c r="H81" s="15" t="s">
        <v>1093</v>
      </c>
      <c r="I81" s="13" t="s">
        <v>598</v>
      </c>
      <c r="J81" s="17" t="s">
        <v>208</v>
      </c>
      <c r="K81" s="17" t="s">
        <v>254</v>
      </c>
      <c r="L81" s="17" t="s">
        <v>226</v>
      </c>
      <c r="M81" s="17" t="s">
        <v>210</v>
      </c>
      <c r="N81" s="17"/>
      <c r="O81" s="18"/>
      <c r="P81" s="19" t="s">
        <v>496</v>
      </c>
      <c r="Q81" s="19"/>
      <c r="R81" s="20" t="s">
        <v>498</v>
      </c>
    </row>
    <row r="82" spans="1:18" ht="18.95" customHeight="1">
      <c r="A82" s="12" t="s">
        <v>918</v>
      </c>
      <c r="B82" s="13" t="s">
        <v>922</v>
      </c>
      <c r="C82" s="14" t="s">
        <v>926</v>
      </c>
      <c r="D82" s="13"/>
      <c r="E82" s="15" t="s">
        <v>215</v>
      </c>
      <c r="F82" s="15" t="s">
        <v>541</v>
      </c>
      <c r="G82" s="15" t="s">
        <v>1091</v>
      </c>
      <c r="H82" s="15" t="s">
        <v>1093</v>
      </c>
      <c r="I82" s="13" t="s">
        <v>598</v>
      </c>
      <c r="J82" s="17" t="s">
        <v>208</v>
      </c>
      <c r="K82" s="17" t="s">
        <v>254</v>
      </c>
      <c r="L82" s="17" t="s">
        <v>226</v>
      </c>
      <c r="M82" s="17" t="s">
        <v>210</v>
      </c>
      <c r="N82" s="17"/>
      <c r="O82" s="18"/>
      <c r="P82" s="19" t="s">
        <v>496</v>
      </c>
      <c r="Q82" s="19"/>
      <c r="R82" s="20" t="s">
        <v>498</v>
      </c>
    </row>
    <row r="83" spans="1:18" ht="18.95" customHeight="1">
      <c r="A83" s="12" t="s">
        <v>919</v>
      </c>
      <c r="B83" s="13" t="s">
        <v>923</v>
      </c>
      <c r="C83" s="14" t="s">
        <v>927</v>
      </c>
      <c r="D83" s="13"/>
      <c r="E83" s="15" t="s">
        <v>215</v>
      </c>
      <c r="F83" s="15" t="s">
        <v>541</v>
      </c>
      <c r="G83" s="15" t="s">
        <v>1091</v>
      </c>
      <c r="H83" s="15" t="s">
        <v>1093</v>
      </c>
      <c r="I83" s="13" t="s">
        <v>598</v>
      </c>
      <c r="J83" s="17" t="s">
        <v>208</v>
      </c>
      <c r="K83" s="17" t="s">
        <v>254</v>
      </c>
      <c r="L83" s="17" t="s">
        <v>226</v>
      </c>
      <c r="M83" s="17" t="s">
        <v>210</v>
      </c>
      <c r="N83" s="17"/>
      <c r="O83" s="18"/>
      <c r="P83" s="19" t="s">
        <v>496</v>
      </c>
      <c r="Q83" s="19"/>
      <c r="R83" s="20" t="s">
        <v>498</v>
      </c>
    </row>
    <row r="84" spans="1:18" ht="18.95" customHeight="1">
      <c r="A84" s="12" t="s">
        <v>920</v>
      </c>
      <c r="B84" s="13" t="s">
        <v>924</v>
      </c>
      <c r="C84" s="14" t="s">
        <v>928</v>
      </c>
      <c r="D84" s="13"/>
      <c r="E84" s="15" t="s">
        <v>215</v>
      </c>
      <c r="F84" s="15" t="s">
        <v>541</v>
      </c>
      <c r="G84" s="15" t="s">
        <v>1091</v>
      </c>
      <c r="H84" s="15" t="s">
        <v>1093</v>
      </c>
      <c r="I84" s="13" t="s">
        <v>598</v>
      </c>
      <c r="J84" s="17" t="s">
        <v>208</v>
      </c>
      <c r="K84" s="17" t="s">
        <v>254</v>
      </c>
      <c r="L84" s="17" t="s">
        <v>226</v>
      </c>
      <c r="M84" s="17" t="s">
        <v>210</v>
      </c>
      <c r="N84" s="17"/>
      <c r="O84" s="18"/>
      <c r="P84" s="19" t="s">
        <v>496</v>
      </c>
      <c r="Q84" s="19"/>
      <c r="R84" s="20" t="s">
        <v>498</v>
      </c>
    </row>
    <row r="85" spans="1:18" ht="18.95" customHeight="1">
      <c r="A85" s="12" t="s">
        <v>594</v>
      </c>
      <c r="B85" s="13" t="s">
        <v>596</v>
      </c>
      <c r="C85" s="14" t="s">
        <v>858</v>
      </c>
      <c r="D85" s="13"/>
      <c r="E85" s="15" t="s">
        <v>215</v>
      </c>
      <c r="F85" s="15" t="s">
        <v>541</v>
      </c>
      <c r="G85" s="15" t="s">
        <v>1091</v>
      </c>
      <c r="H85" s="15" t="s">
        <v>1093</v>
      </c>
      <c r="I85" s="13" t="s">
        <v>598</v>
      </c>
      <c r="J85" s="17" t="s">
        <v>208</v>
      </c>
      <c r="K85" s="17" t="s">
        <v>254</v>
      </c>
      <c r="L85" s="17" t="s">
        <v>226</v>
      </c>
      <c r="M85" s="17" t="s">
        <v>210</v>
      </c>
      <c r="N85" s="17"/>
      <c r="O85" s="18"/>
      <c r="P85" s="19" t="s">
        <v>496</v>
      </c>
      <c r="Q85" s="19"/>
      <c r="R85" s="20" t="s">
        <v>498</v>
      </c>
    </row>
    <row r="86" spans="1:18" ht="18.95" customHeight="1">
      <c r="A86" s="12" t="s">
        <v>595</v>
      </c>
      <c r="B86" s="13" t="s">
        <v>597</v>
      </c>
      <c r="C86" s="14" t="s">
        <v>859</v>
      </c>
      <c r="D86" s="13"/>
      <c r="E86" s="15" t="s">
        <v>215</v>
      </c>
      <c r="F86" s="15" t="s">
        <v>541</v>
      </c>
      <c r="G86" s="15" t="s">
        <v>1091</v>
      </c>
      <c r="H86" s="15" t="s">
        <v>1093</v>
      </c>
      <c r="I86" s="13" t="s">
        <v>598</v>
      </c>
      <c r="J86" s="17" t="s">
        <v>208</v>
      </c>
      <c r="K86" s="17" t="s">
        <v>254</v>
      </c>
      <c r="L86" s="17" t="s">
        <v>226</v>
      </c>
      <c r="M86" s="17" t="s">
        <v>210</v>
      </c>
      <c r="N86" s="17"/>
      <c r="O86" s="18"/>
      <c r="P86" s="19" t="s">
        <v>496</v>
      </c>
      <c r="Q86" s="19"/>
      <c r="R86" s="20" t="s">
        <v>498</v>
      </c>
    </row>
    <row r="87" spans="1:18" ht="18.95" customHeight="1">
      <c r="A87" s="12" t="s">
        <v>263</v>
      </c>
      <c r="B87" s="13" t="s">
        <v>440</v>
      </c>
      <c r="C87" s="14" t="s">
        <v>689</v>
      </c>
      <c r="D87" s="13"/>
      <c r="E87" s="15" t="s">
        <v>215</v>
      </c>
      <c r="F87" s="16" t="s">
        <v>541</v>
      </c>
      <c r="G87" s="15" t="s">
        <v>1091</v>
      </c>
      <c r="H87" s="15" t="s">
        <v>1093</v>
      </c>
      <c r="I87" s="13" t="s">
        <v>438</v>
      </c>
      <c r="J87" s="17" t="s">
        <v>208</v>
      </c>
      <c r="K87" s="17" t="s">
        <v>225</v>
      </c>
      <c r="L87" s="17" t="s">
        <v>226</v>
      </c>
      <c r="M87" s="17" t="s">
        <v>227</v>
      </c>
      <c r="N87" s="17" t="s">
        <v>259</v>
      </c>
      <c r="O87" s="18" t="s">
        <v>219</v>
      </c>
      <c r="P87" s="19" t="s">
        <v>496</v>
      </c>
      <c r="Q87" s="19"/>
      <c r="R87" s="20" t="s">
        <v>498</v>
      </c>
    </row>
    <row r="88" spans="1:18" ht="18.95" customHeight="1">
      <c r="A88" s="12" t="s">
        <v>262</v>
      </c>
      <c r="B88" s="13" t="s">
        <v>441</v>
      </c>
      <c r="C88" s="14" t="s">
        <v>690</v>
      </c>
      <c r="D88" s="13"/>
      <c r="E88" s="15" t="s">
        <v>215</v>
      </c>
      <c r="F88" s="16" t="s">
        <v>541</v>
      </c>
      <c r="G88" s="15" t="s">
        <v>1091</v>
      </c>
      <c r="H88" s="15" t="s">
        <v>1093</v>
      </c>
      <c r="I88" s="13" t="s">
        <v>438</v>
      </c>
      <c r="J88" s="17" t="s">
        <v>208</v>
      </c>
      <c r="K88" s="17" t="s">
        <v>225</v>
      </c>
      <c r="L88" s="17" t="s">
        <v>226</v>
      </c>
      <c r="M88" s="17" t="s">
        <v>227</v>
      </c>
      <c r="N88" s="17" t="s">
        <v>259</v>
      </c>
      <c r="O88" s="18" t="s">
        <v>219</v>
      </c>
      <c r="P88" s="19" t="s">
        <v>496</v>
      </c>
      <c r="Q88" s="19"/>
      <c r="R88" s="20" t="s">
        <v>498</v>
      </c>
    </row>
    <row r="89" spans="1:18" ht="18.95" hidden="1" customHeight="1">
      <c r="A89" s="12" t="s">
        <v>621</v>
      </c>
      <c r="B89" s="13" t="s">
        <v>558</v>
      </c>
      <c r="C89" s="14" t="s">
        <v>653</v>
      </c>
      <c r="D89" s="13"/>
      <c r="E89" s="23" t="s">
        <v>233</v>
      </c>
      <c r="F89" s="15" t="s">
        <v>981</v>
      </c>
      <c r="G89" s="15"/>
      <c r="H89" s="15"/>
      <c r="I89" s="21" t="s">
        <v>613</v>
      </c>
      <c r="J89" s="17" t="s">
        <v>208</v>
      </c>
      <c r="K89" s="17" t="s">
        <v>225</v>
      </c>
      <c r="L89" s="17" t="s">
        <v>226</v>
      </c>
      <c r="M89" s="17" t="s">
        <v>227</v>
      </c>
      <c r="N89" s="17" t="s">
        <v>218</v>
      </c>
      <c r="O89" s="18" t="s">
        <v>219</v>
      </c>
      <c r="P89" s="19" t="s">
        <v>496</v>
      </c>
      <c r="Q89" s="19"/>
      <c r="R89" s="20"/>
    </row>
    <row r="90" spans="1:18" ht="18.95" hidden="1" customHeight="1">
      <c r="A90" s="12" t="s">
        <v>762</v>
      </c>
      <c r="B90" s="13" t="s">
        <v>573</v>
      </c>
      <c r="C90" s="14" t="s">
        <v>763</v>
      </c>
      <c r="D90" s="13"/>
      <c r="E90" s="23" t="s">
        <v>233</v>
      </c>
      <c r="F90" s="15" t="s">
        <v>981</v>
      </c>
      <c r="G90" s="15"/>
      <c r="H90" s="15"/>
      <c r="I90" s="13" t="s">
        <v>766</v>
      </c>
      <c r="J90" s="17" t="s">
        <v>208</v>
      </c>
      <c r="K90" s="17" t="s">
        <v>225</v>
      </c>
      <c r="L90" s="17" t="s">
        <v>226</v>
      </c>
      <c r="M90" s="17" t="s">
        <v>227</v>
      </c>
      <c r="N90" s="17" t="s">
        <v>337</v>
      </c>
      <c r="O90" s="18" t="s">
        <v>219</v>
      </c>
      <c r="P90" s="19" t="s">
        <v>496</v>
      </c>
      <c r="Q90" s="19"/>
      <c r="R90" s="20"/>
    </row>
    <row r="91" spans="1:18" ht="18.95" hidden="1" customHeight="1">
      <c r="A91" s="12" t="s">
        <v>945</v>
      </c>
      <c r="B91" s="13" t="s">
        <v>946</v>
      </c>
      <c r="C91" s="14"/>
      <c r="D91" s="13"/>
      <c r="E91" s="15" t="s">
        <v>953</v>
      </c>
      <c r="F91" s="15" t="s">
        <v>1001</v>
      </c>
      <c r="G91" s="15"/>
      <c r="H91" s="15"/>
      <c r="I91" s="21" t="s">
        <v>944</v>
      </c>
      <c r="J91" s="17" t="s">
        <v>244</v>
      </c>
      <c r="K91" s="17"/>
      <c r="L91" s="17"/>
      <c r="M91" s="21" t="s">
        <v>949</v>
      </c>
      <c r="N91" s="17" t="s">
        <v>218</v>
      </c>
      <c r="O91" s="18" t="s">
        <v>219</v>
      </c>
      <c r="P91" s="19" t="s">
        <v>496</v>
      </c>
      <c r="Q91" s="19" t="s">
        <v>1072</v>
      </c>
      <c r="R91" s="20" t="s">
        <v>498</v>
      </c>
    </row>
    <row r="92" spans="1:18" ht="18.95" hidden="1" customHeight="1">
      <c r="A92" s="12" t="s">
        <v>633</v>
      </c>
      <c r="B92" s="13" t="s">
        <v>549</v>
      </c>
      <c r="C92" s="14" t="s">
        <v>654</v>
      </c>
      <c r="D92" s="13"/>
      <c r="E92" s="15" t="s">
        <v>947</v>
      </c>
      <c r="F92" s="15" t="s">
        <v>1036</v>
      </c>
      <c r="G92" s="15"/>
      <c r="H92" s="15"/>
      <c r="I92" s="21" t="s">
        <v>613</v>
      </c>
      <c r="J92" s="17" t="s">
        <v>244</v>
      </c>
      <c r="K92" s="17"/>
      <c r="L92" s="17"/>
      <c r="M92" s="21" t="s">
        <v>954</v>
      </c>
      <c r="N92" s="17" t="s">
        <v>218</v>
      </c>
      <c r="O92" s="18" t="s">
        <v>219</v>
      </c>
      <c r="P92" s="19" t="s">
        <v>496</v>
      </c>
      <c r="Q92" s="19" t="s">
        <v>1072</v>
      </c>
      <c r="R92" s="20"/>
    </row>
    <row r="93" spans="1:18" ht="18.95" hidden="1" customHeight="1">
      <c r="A93" s="12" t="s">
        <v>814</v>
      </c>
      <c r="B93" s="13" t="s">
        <v>563</v>
      </c>
      <c r="C93" s="13" t="s">
        <v>813</v>
      </c>
      <c r="D93" s="13"/>
      <c r="E93" s="15" t="s">
        <v>947</v>
      </c>
      <c r="F93" s="16" t="s">
        <v>982</v>
      </c>
      <c r="G93" s="16"/>
      <c r="H93" s="16"/>
      <c r="I93" s="13" t="s">
        <v>766</v>
      </c>
      <c r="J93" s="17" t="s">
        <v>244</v>
      </c>
      <c r="K93" s="17"/>
      <c r="L93" s="17"/>
      <c r="M93" s="21" t="s">
        <v>954</v>
      </c>
      <c r="N93" s="17" t="s">
        <v>337</v>
      </c>
      <c r="O93" s="18" t="s">
        <v>219</v>
      </c>
      <c r="P93" s="19" t="s">
        <v>496</v>
      </c>
      <c r="Q93" s="19" t="s">
        <v>1072</v>
      </c>
      <c r="R93" s="20"/>
    </row>
    <row r="94" spans="1:18" ht="18.95" hidden="1" customHeight="1">
      <c r="A94" s="12" t="s">
        <v>277</v>
      </c>
      <c r="B94" s="13" t="s">
        <v>278</v>
      </c>
      <c r="C94" s="13"/>
      <c r="D94" s="13" t="s">
        <v>686</v>
      </c>
      <c r="E94" s="15" t="s">
        <v>955</v>
      </c>
      <c r="F94" s="16" t="s">
        <v>990</v>
      </c>
      <c r="G94" s="16"/>
      <c r="H94" s="16"/>
      <c r="I94" s="13" t="s">
        <v>438</v>
      </c>
      <c r="J94" s="17" t="s">
        <v>273</v>
      </c>
      <c r="K94" s="17"/>
      <c r="L94" s="17" t="s">
        <v>274</v>
      </c>
      <c r="M94" s="17" t="s">
        <v>210</v>
      </c>
      <c r="N94" s="17" t="s">
        <v>259</v>
      </c>
      <c r="O94" s="18" t="s">
        <v>219</v>
      </c>
      <c r="P94" s="19" t="s">
        <v>496</v>
      </c>
      <c r="Q94" s="19"/>
      <c r="R94" s="20"/>
    </row>
    <row r="95" spans="1:18" ht="18.95" hidden="1" customHeight="1">
      <c r="A95" s="12" t="s">
        <v>296</v>
      </c>
      <c r="B95" s="13" t="s">
        <v>297</v>
      </c>
      <c r="C95" s="13"/>
      <c r="D95" s="13" t="s">
        <v>686</v>
      </c>
      <c r="E95" s="15" t="s">
        <v>955</v>
      </c>
      <c r="F95" s="15" t="s">
        <v>990</v>
      </c>
      <c r="G95" s="15"/>
      <c r="H95" s="15"/>
      <c r="I95" s="13" t="s">
        <v>439</v>
      </c>
      <c r="J95" s="17" t="s">
        <v>273</v>
      </c>
      <c r="K95" s="17"/>
      <c r="L95" s="17" t="s">
        <v>274</v>
      </c>
      <c r="M95" s="17" t="s">
        <v>210</v>
      </c>
      <c r="N95" s="17" t="s">
        <v>283</v>
      </c>
      <c r="O95" s="18" t="s">
        <v>219</v>
      </c>
      <c r="P95" s="19" t="s">
        <v>496</v>
      </c>
      <c r="Q95" s="19"/>
      <c r="R95" s="20"/>
    </row>
    <row r="96" spans="1:18" ht="18.95" hidden="1" customHeight="1">
      <c r="A96" s="12" t="s">
        <v>271</v>
      </c>
      <c r="B96" s="13" t="s">
        <v>272</v>
      </c>
      <c r="C96" s="13"/>
      <c r="D96" s="13" t="s">
        <v>686</v>
      </c>
      <c r="E96" s="15" t="s">
        <v>955</v>
      </c>
      <c r="F96" s="16" t="s">
        <v>990</v>
      </c>
      <c r="G96" s="16"/>
      <c r="H96" s="16"/>
      <c r="I96" s="13" t="s">
        <v>438</v>
      </c>
      <c r="J96" s="17" t="s">
        <v>273</v>
      </c>
      <c r="K96" s="17"/>
      <c r="L96" s="17" t="s">
        <v>274</v>
      </c>
      <c r="M96" s="17" t="s">
        <v>210</v>
      </c>
      <c r="N96" s="17" t="s">
        <v>259</v>
      </c>
      <c r="O96" s="18" t="s">
        <v>219</v>
      </c>
      <c r="P96" s="19" t="s">
        <v>496</v>
      </c>
      <c r="Q96" s="19"/>
      <c r="R96" s="20"/>
    </row>
    <row r="97" spans="1:18" ht="18.95" hidden="1" customHeight="1">
      <c r="A97" s="12" t="s">
        <v>292</v>
      </c>
      <c r="B97" s="13" t="s">
        <v>293</v>
      </c>
      <c r="C97" s="13"/>
      <c r="D97" s="13" t="s">
        <v>686</v>
      </c>
      <c r="E97" s="15" t="s">
        <v>955</v>
      </c>
      <c r="F97" s="15" t="s">
        <v>990</v>
      </c>
      <c r="G97" s="15"/>
      <c r="H97" s="15"/>
      <c r="I97" s="13" t="s">
        <v>439</v>
      </c>
      <c r="J97" s="17" t="s">
        <v>273</v>
      </c>
      <c r="K97" s="17"/>
      <c r="L97" s="17" t="s">
        <v>274</v>
      </c>
      <c r="M97" s="17" t="s">
        <v>210</v>
      </c>
      <c r="N97" s="17" t="s">
        <v>283</v>
      </c>
      <c r="O97" s="18" t="s">
        <v>219</v>
      </c>
      <c r="P97" s="19" t="s">
        <v>496</v>
      </c>
      <c r="Q97" s="19"/>
      <c r="R97" s="20"/>
    </row>
    <row r="98" spans="1:18" ht="18.95" hidden="1" customHeight="1">
      <c r="A98" s="12" t="s">
        <v>279</v>
      </c>
      <c r="B98" s="13" t="s">
        <v>280</v>
      </c>
      <c r="C98" s="13"/>
      <c r="D98" s="13" t="s">
        <v>686</v>
      </c>
      <c r="E98" s="15" t="s">
        <v>955</v>
      </c>
      <c r="F98" s="16" t="s">
        <v>991</v>
      </c>
      <c r="G98" s="16"/>
      <c r="H98" s="16"/>
      <c r="I98" s="13" t="s">
        <v>438</v>
      </c>
      <c r="J98" s="17" t="s">
        <v>273</v>
      </c>
      <c r="K98" s="17"/>
      <c r="L98" s="17" t="s">
        <v>274</v>
      </c>
      <c r="M98" s="17" t="s">
        <v>210</v>
      </c>
      <c r="N98" s="17" t="s">
        <v>259</v>
      </c>
      <c r="O98" s="18" t="s">
        <v>219</v>
      </c>
      <c r="P98" s="19" t="s">
        <v>496</v>
      </c>
      <c r="Q98" s="19"/>
      <c r="R98" s="20"/>
    </row>
    <row r="99" spans="1:18" ht="18.95" hidden="1" customHeight="1">
      <c r="A99" s="12" t="s">
        <v>298</v>
      </c>
      <c r="B99" s="13" t="s">
        <v>299</v>
      </c>
      <c r="C99" s="13"/>
      <c r="D99" s="13" t="s">
        <v>686</v>
      </c>
      <c r="E99" s="15" t="s">
        <v>955</v>
      </c>
      <c r="F99" s="16" t="s">
        <v>991</v>
      </c>
      <c r="G99" s="16"/>
      <c r="H99" s="16"/>
      <c r="I99" s="13" t="s">
        <v>439</v>
      </c>
      <c r="J99" s="17" t="s">
        <v>273</v>
      </c>
      <c r="K99" s="17"/>
      <c r="L99" s="17" t="s">
        <v>274</v>
      </c>
      <c r="M99" s="17" t="s">
        <v>210</v>
      </c>
      <c r="N99" s="17" t="s">
        <v>283</v>
      </c>
      <c r="O99" s="18" t="s">
        <v>219</v>
      </c>
      <c r="P99" s="19" t="s">
        <v>496</v>
      </c>
      <c r="Q99" s="19"/>
      <c r="R99" s="20"/>
    </row>
    <row r="100" spans="1:18" ht="18.95" hidden="1" customHeight="1">
      <c r="A100" s="12" t="s">
        <v>275</v>
      </c>
      <c r="B100" s="13" t="s">
        <v>276</v>
      </c>
      <c r="C100" s="13"/>
      <c r="D100" s="13" t="s">
        <v>686</v>
      </c>
      <c r="E100" s="15" t="s">
        <v>955</v>
      </c>
      <c r="F100" s="16" t="s">
        <v>991</v>
      </c>
      <c r="G100" s="16"/>
      <c r="H100" s="16"/>
      <c r="I100" s="13" t="s">
        <v>438</v>
      </c>
      <c r="J100" s="17" t="s">
        <v>273</v>
      </c>
      <c r="K100" s="17"/>
      <c r="L100" s="17" t="s">
        <v>274</v>
      </c>
      <c r="M100" s="17" t="s">
        <v>210</v>
      </c>
      <c r="N100" s="17" t="s">
        <v>259</v>
      </c>
      <c r="O100" s="18" t="s">
        <v>219</v>
      </c>
      <c r="P100" s="19" t="s">
        <v>496</v>
      </c>
      <c r="Q100" s="19"/>
      <c r="R100" s="20"/>
    </row>
    <row r="101" spans="1:18" ht="18.95" hidden="1" customHeight="1">
      <c r="A101" s="12" t="s">
        <v>294</v>
      </c>
      <c r="B101" s="13" t="s">
        <v>295</v>
      </c>
      <c r="C101" s="14"/>
      <c r="D101" s="13" t="s">
        <v>686</v>
      </c>
      <c r="E101" s="15" t="s">
        <v>955</v>
      </c>
      <c r="F101" s="15" t="s">
        <v>991</v>
      </c>
      <c r="G101" s="15"/>
      <c r="H101" s="15"/>
      <c r="I101" s="13" t="s">
        <v>439</v>
      </c>
      <c r="J101" s="17" t="s">
        <v>273</v>
      </c>
      <c r="K101" s="17"/>
      <c r="L101" s="17" t="s">
        <v>274</v>
      </c>
      <c r="M101" s="17" t="s">
        <v>210</v>
      </c>
      <c r="N101" s="17" t="s">
        <v>283</v>
      </c>
      <c r="O101" s="18" t="s">
        <v>219</v>
      </c>
      <c r="P101" s="19" t="s">
        <v>496</v>
      </c>
      <c r="Q101" s="19"/>
      <c r="R101" s="20"/>
    </row>
    <row r="102" spans="1:18" ht="18.95" customHeight="1">
      <c r="A102" s="12" t="s">
        <v>287</v>
      </c>
      <c r="B102" s="13" t="s">
        <v>442</v>
      </c>
      <c r="C102" s="14" t="s">
        <v>701</v>
      </c>
      <c r="D102" s="13"/>
      <c r="E102" s="15" t="s">
        <v>215</v>
      </c>
      <c r="F102" s="16" t="s">
        <v>541</v>
      </c>
      <c r="G102" s="15" t="s">
        <v>1091</v>
      </c>
      <c r="H102" s="15" t="s">
        <v>1093</v>
      </c>
      <c r="I102" s="13" t="s">
        <v>439</v>
      </c>
      <c r="J102" s="17" t="s">
        <v>208</v>
      </c>
      <c r="K102" s="17" t="s">
        <v>225</v>
      </c>
      <c r="L102" s="17" t="s">
        <v>226</v>
      </c>
      <c r="M102" s="17" t="s">
        <v>227</v>
      </c>
      <c r="N102" s="17" t="s">
        <v>283</v>
      </c>
      <c r="O102" s="18" t="s">
        <v>219</v>
      </c>
      <c r="P102" s="19" t="s">
        <v>496</v>
      </c>
      <c r="Q102" s="19"/>
      <c r="R102" s="20" t="s">
        <v>498</v>
      </c>
    </row>
    <row r="103" spans="1:18" ht="18.95" customHeight="1">
      <c r="A103" s="12" t="s">
        <v>286</v>
      </c>
      <c r="B103" s="13" t="s">
        <v>443</v>
      </c>
      <c r="C103" s="14" t="s">
        <v>702</v>
      </c>
      <c r="D103" s="13"/>
      <c r="E103" s="15" t="s">
        <v>215</v>
      </c>
      <c r="F103" s="16" t="s">
        <v>541</v>
      </c>
      <c r="G103" s="15" t="s">
        <v>1091</v>
      </c>
      <c r="H103" s="15" t="s">
        <v>1093</v>
      </c>
      <c r="I103" s="13" t="s">
        <v>439</v>
      </c>
      <c r="J103" s="17" t="s">
        <v>208</v>
      </c>
      <c r="K103" s="17" t="s">
        <v>225</v>
      </c>
      <c r="L103" s="17" t="s">
        <v>226</v>
      </c>
      <c r="M103" s="17" t="s">
        <v>227</v>
      </c>
      <c r="N103" s="17" t="s">
        <v>283</v>
      </c>
      <c r="O103" s="18" t="s">
        <v>219</v>
      </c>
      <c r="P103" s="19" t="s">
        <v>496</v>
      </c>
      <c r="Q103" s="19"/>
      <c r="R103" s="20" t="s">
        <v>498</v>
      </c>
    </row>
    <row r="104" spans="1:18" ht="18.95" customHeight="1">
      <c r="A104" s="12" t="s">
        <v>860</v>
      </c>
      <c r="B104" s="13" t="s">
        <v>861</v>
      </c>
      <c r="C104" s="14"/>
      <c r="D104" s="13"/>
      <c r="E104" s="15" t="s">
        <v>215</v>
      </c>
      <c r="F104" s="15" t="s">
        <v>1018</v>
      </c>
      <c r="G104" s="15" t="s">
        <v>1091</v>
      </c>
      <c r="H104" s="15" t="s">
        <v>1092</v>
      </c>
      <c r="I104" s="13" t="s">
        <v>512</v>
      </c>
      <c r="J104" s="17" t="s">
        <v>423</v>
      </c>
      <c r="K104" s="13" t="s">
        <v>254</v>
      </c>
      <c r="L104" s="17" t="s">
        <v>462</v>
      </c>
      <c r="M104" s="17" t="s">
        <v>210</v>
      </c>
      <c r="N104" s="17"/>
      <c r="O104" s="18"/>
      <c r="P104" s="19" t="s">
        <v>496</v>
      </c>
      <c r="Q104" s="19" t="s">
        <v>952</v>
      </c>
      <c r="R104" s="20" t="s">
        <v>498</v>
      </c>
    </row>
    <row r="105" spans="1:18" ht="18.95" hidden="1" customHeight="1">
      <c r="A105" s="12" t="s">
        <v>910</v>
      </c>
      <c r="B105" s="13" t="s">
        <v>434</v>
      </c>
      <c r="C105" s="14" t="s">
        <v>771</v>
      </c>
      <c r="D105" s="13" t="s">
        <v>683</v>
      </c>
      <c r="E105" s="15" t="s">
        <v>1000</v>
      </c>
      <c r="F105" s="15" t="s">
        <v>1002</v>
      </c>
      <c r="G105" s="15"/>
      <c r="H105" s="15"/>
      <c r="I105" s="17" t="s">
        <v>603</v>
      </c>
      <c r="J105" s="17" t="s">
        <v>208</v>
      </c>
      <c r="K105" s="17" t="s">
        <v>225</v>
      </c>
      <c r="L105" s="17" t="s">
        <v>226</v>
      </c>
      <c r="M105" s="17" t="s">
        <v>227</v>
      </c>
      <c r="N105" s="17" t="s">
        <v>218</v>
      </c>
      <c r="O105" s="18" t="s">
        <v>219</v>
      </c>
      <c r="P105" s="19" t="s">
        <v>496</v>
      </c>
      <c r="Q105" s="19"/>
      <c r="R105" s="20"/>
    </row>
    <row r="106" spans="1:18" ht="18.95" hidden="1" customHeight="1">
      <c r="A106" s="12" t="s">
        <v>909</v>
      </c>
      <c r="B106" s="13" t="s">
        <v>435</v>
      </c>
      <c r="C106" s="13" t="s">
        <v>677</v>
      </c>
      <c r="D106" s="13" t="s">
        <v>684</v>
      </c>
      <c r="E106" s="15" t="s">
        <v>1000</v>
      </c>
      <c r="F106" s="15" t="s">
        <v>1002</v>
      </c>
      <c r="G106" s="15"/>
      <c r="H106" s="15"/>
      <c r="I106" s="17" t="s">
        <v>603</v>
      </c>
      <c r="J106" s="17" t="s">
        <v>208</v>
      </c>
      <c r="K106" s="17" t="s">
        <v>225</v>
      </c>
      <c r="L106" s="17" t="s">
        <v>226</v>
      </c>
      <c r="M106" s="17" t="s">
        <v>227</v>
      </c>
      <c r="N106" s="17" t="s">
        <v>218</v>
      </c>
      <c r="O106" s="18" t="s">
        <v>219</v>
      </c>
      <c r="P106" s="19" t="s">
        <v>496</v>
      </c>
      <c r="Q106" s="19"/>
      <c r="R106" s="20"/>
    </row>
    <row r="107" spans="1:18" ht="18.95" hidden="1" customHeight="1">
      <c r="A107" s="12" t="s">
        <v>777</v>
      </c>
      <c r="B107" s="13" t="s">
        <v>436</v>
      </c>
      <c r="C107" s="14" t="s">
        <v>771</v>
      </c>
      <c r="D107" s="13" t="s">
        <v>683</v>
      </c>
      <c r="E107" s="15" t="s">
        <v>1000</v>
      </c>
      <c r="F107" s="15" t="s">
        <v>1002</v>
      </c>
      <c r="G107" s="15"/>
      <c r="H107" s="15"/>
      <c r="I107" s="17" t="s">
        <v>767</v>
      </c>
      <c r="J107" s="17" t="s">
        <v>208</v>
      </c>
      <c r="K107" s="17" t="s">
        <v>225</v>
      </c>
      <c r="L107" s="17" t="s">
        <v>226</v>
      </c>
      <c r="M107" s="17" t="s">
        <v>227</v>
      </c>
      <c r="N107" s="17" t="s">
        <v>336</v>
      </c>
      <c r="O107" s="18" t="s">
        <v>219</v>
      </c>
      <c r="P107" s="19" t="s">
        <v>496</v>
      </c>
      <c r="Q107" s="19"/>
      <c r="R107" s="20"/>
    </row>
    <row r="108" spans="1:18" ht="18.95" hidden="1" customHeight="1">
      <c r="A108" s="12" t="s">
        <v>778</v>
      </c>
      <c r="B108" s="13" t="s">
        <v>437</v>
      </c>
      <c r="C108" s="14" t="s">
        <v>770</v>
      </c>
      <c r="D108" s="13" t="s">
        <v>684</v>
      </c>
      <c r="E108" s="15" t="s">
        <v>1000</v>
      </c>
      <c r="F108" s="15" t="s">
        <v>1002</v>
      </c>
      <c r="G108" s="15"/>
      <c r="H108" s="15"/>
      <c r="I108" s="17" t="s">
        <v>767</v>
      </c>
      <c r="J108" s="17" t="s">
        <v>208</v>
      </c>
      <c r="K108" s="17" t="s">
        <v>225</v>
      </c>
      <c r="L108" s="17" t="s">
        <v>226</v>
      </c>
      <c r="M108" s="17" t="s">
        <v>227</v>
      </c>
      <c r="N108" s="17" t="s">
        <v>336</v>
      </c>
      <c r="O108" s="18" t="s">
        <v>219</v>
      </c>
      <c r="P108" s="19" t="s">
        <v>496</v>
      </c>
      <c r="Q108" s="19"/>
      <c r="R108" s="20"/>
    </row>
    <row r="109" spans="1:18" ht="18.95" hidden="1" customHeight="1">
      <c r="A109" s="12" t="s">
        <v>235</v>
      </c>
      <c r="B109" s="13" t="s">
        <v>236</v>
      </c>
      <c r="C109" s="14" t="s">
        <v>656</v>
      </c>
      <c r="D109" s="13"/>
      <c r="E109" s="23" t="s">
        <v>237</v>
      </c>
      <c r="F109" s="15" t="s">
        <v>966</v>
      </c>
      <c r="G109" s="15"/>
      <c r="H109" s="15"/>
      <c r="I109" s="21" t="s">
        <v>613</v>
      </c>
      <c r="J109" s="17" t="s">
        <v>208</v>
      </c>
      <c r="K109" s="17" t="s">
        <v>225</v>
      </c>
      <c r="L109" s="17" t="s">
        <v>226</v>
      </c>
      <c r="M109" s="17" t="s">
        <v>227</v>
      </c>
      <c r="N109" s="17" t="s">
        <v>218</v>
      </c>
      <c r="O109" s="18" t="s">
        <v>219</v>
      </c>
      <c r="P109" s="19" t="s">
        <v>496</v>
      </c>
      <c r="Q109" s="19"/>
      <c r="R109" s="20"/>
    </row>
    <row r="110" spans="1:18" ht="18.95" hidden="1" customHeight="1">
      <c r="A110" s="12" t="s">
        <v>238</v>
      </c>
      <c r="B110" s="13" t="s">
        <v>239</v>
      </c>
      <c r="C110" s="14" t="s">
        <v>657</v>
      </c>
      <c r="D110" s="13"/>
      <c r="E110" s="23" t="s">
        <v>237</v>
      </c>
      <c r="F110" s="15" t="s">
        <v>966</v>
      </c>
      <c r="G110" s="15"/>
      <c r="H110" s="15"/>
      <c r="I110" s="21" t="s">
        <v>613</v>
      </c>
      <c r="J110" s="17" t="s">
        <v>208</v>
      </c>
      <c r="K110" s="17" t="s">
        <v>225</v>
      </c>
      <c r="L110" s="17" t="s">
        <v>226</v>
      </c>
      <c r="M110" s="17" t="s">
        <v>227</v>
      </c>
      <c r="N110" s="17" t="s">
        <v>218</v>
      </c>
      <c r="O110" s="18" t="s">
        <v>219</v>
      </c>
      <c r="P110" s="19" t="s">
        <v>496</v>
      </c>
      <c r="Q110" s="19"/>
      <c r="R110" s="20"/>
    </row>
    <row r="111" spans="1:18" ht="18.95" hidden="1" customHeight="1">
      <c r="A111" s="12" t="s">
        <v>240</v>
      </c>
      <c r="B111" s="13" t="s">
        <v>241</v>
      </c>
      <c r="C111" s="14" t="s">
        <v>658</v>
      </c>
      <c r="D111" s="13"/>
      <c r="E111" s="23" t="s">
        <v>237</v>
      </c>
      <c r="F111" s="15" t="s">
        <v>966</v>
      </c>
      <c r="G111" s="15"/>
      <c r="H111" s="15"/>
      <c r="I111" s="21" t="s">
        <v>613</v>
      </c>
      <c r="J111" s="17" t="s">
        <v>208</v>
      </c>
      <c r="K111" s="17" t="s">
        <v>225</v>
      </c>
      <c r="L111" s="17" t="s">
        <v>226</v>
      </c>
      <c r="M111" s="17" t="s">
        <v>227</v>
      </c>
      <c r="N111" s="17" t="s">
        <v>218</v>
      </c>
      <c r="O111" s="18" t="s">
        <v>219</v>
      </c>
      <c r="P111" s="19" t="s">
        <v>496</v>
      </c>
      <c r="Q111" s="19"/>
      <c r="R111" s="20"/>
    </row>
    <row r="112" spans="1:18" ht="18.95" hidden="1" customHeight="1">
      <c r="A112" s="12" t="s">
        <v>242</v>
      </c>
      <c r="B112" s="13" t="s">
        <v>243</v>
      </c>
      <c r="C112" s="14" t="s">
        <v>659</v>
      </c>
      <c r="D112" s="13"/>
      <c r="E112" s="23" t="s">
        <v>237</v>
      </c>
      <c r="F112" s="15" t="s">
        <v>966</v>
      </c>
      <c r="G112" s="15"/>
      <c r="H112" s="15"/>
      <c r="I112" s="21" t="s">
        <v>613</v>
      </c>
      <c r="J112" s="17" t="s">
        <v>208</v>
      </c>
      <c r="K112" s="17" t="s">
        <v>225</v>
      </c>
      <c r="L112" s="17" t="s">
        <v>226</v>
      </c>
      <c r="M112" s="17" t="s">
        <v>227</v>
      </c>
      <c r="N112" s="17" t="s">
        <v>218</v>
      </c>
      <c r="O112" s="18" t="s">
        <v>219</v>
      </c>
      <c r="P112" s="19" t="s">
        <v>496</v>
      </c>
      <c r="Q112" s="19"/>
      <c r="R112" s="20"/>
    </row>
    <row r="113" spans="1:18" ht="18.95" hidden="1" customHeight="1">
      <c r="A113" s="12" t="s">
        <v>257</v>
      </c>
      <c r="B113" s="13" t="s">
        <v>258</v>
      </c>
      <c r="C113" s="14" t="s">
        <v>687</v>
      </c>
      <c r="D113" s="13"/>
      <c r="E113" s="23" t="s">
        <v>237</v>
      </c>
      <c r="F113" s="16" t="s">
        <v>966</v>
      </c>
      <c r="G113" s="16"/>
      <c r="H113" s="16"/>
      <c r="I113" s="13" t="s">
        <v>438</v>
      </c>
      <c r="J113" s="17" t="s">
        <v>208</v>
      </c>
      <c r="K113" s="17" t="s">
        <v>225</v>
      </c>
      <c r="L113" s="17" t="s">
        <v>226</v>
      </c>
      <c r="M113" s="17" t="s">
        <v>227</v>
      </c>
      <c r="N113" s="17" t="s">
        <v>259</v>
      </c>
      <c r="O113" s="18" t="s">
        <v>219</v>
      </c>
      <c r="P113" s="19" t="s">
        <v>496</v>
      </c>
      <c r="Q113" s="19"/>
      <c r="R113" s="20"/>
    </row>
    <row r="114" spans="1:18" ht="18.95" hidden="1" customHeight="1">
      <c r="A114" s="12" t="s">
        <v>281</v>
      </c>
      <c r="B114" s="13" t="s">
        <v>282</v>
      </c>
      <c r="C114" s="14" t="s">
        <v>699</v>
      </c>
      <c r="D114" s="13"/>
      <c r="E114" s="23" t="s">
        <v>237</v>
      </c>
      <c r="F114" s="16" t="s">
        <v>966</v>
      </c>
      <c r="G114" s="16"/>
      <c r="H114" s="16"/>
      <c r="I114" s="13" t="s">
        <v>439</v>
      </c>
      <c r="J114" s="17" t="s">
        <v>208</v>
      </c>
      <c r="K114" s="17" t="s">
        <v>225</v>
      </c>
      <c r="L114" s="17" t="s">
        <v>226</v>
      </c>
      <c r="M114" s="17" t="s">
        <v>227</v>
      </c>
      <c r="N114" s="17" t="s">
        <v>283</v>
      </c>
      <c r="O114" s="18" t="s">
        <v>219</v>
      </c>
      <c r="P114" s="19" t="s">
        <v>496</v>
      </c>
      <c r="Q114" s="19"/>
      <c r="R114" s="20"/>
    </row>
    <row r="115" spans="1:18" ht="18.95" hidden="1" customHeight="1">
      <c r="A115" s="12" t="s">
        <v>260</v>
      </c>
      <c r="B115" s="13" t="s">
        <v>261</v>
      </c>
      <c r="C115" s="14" t="s">
        <v>688</v>
      </c>
      <c r="D115" s="13"/>
      <c r="E115" s="23" t="s">
        <v>237</v>
      </c>
      <c r="F115" s="16" t="s">
        <v>966</v>
      </c>
      <c r="G115" s="16"/>
      <c r="H115" s="16"/>
      <c r="I115" s="13" t="s">
        <v>438</v>
      </c>
      <c r="J115" s="17" t="s">
        <v>208</v>
      </c>
      <c r="K115" s="17" t="s">
        <v>225</v>
      </c>
      <c r="L115" s="17" t="s">
        <v>226</v>
      </c>
      <c r="M115" s="17" t="s">
        <v>227</v>
      </c>
      <c r="N115" s="17" t="s">
        <v>259</v>
      </c>
      <c r="O115" s="18" t="s">
        <v>219</v>
      </c>
      <c r="P115" s="19" t="s">
        <v>496</v>
      </c>
      <c r="Q115" s="19"/>
      <c r="R115" s="20"/>
    </row>
    <row r="116" spans="1:18" ht="18.95" hidden="1" customHeight="1">
      <c r="A116" s="12" t="s">
        <v>284</v>
      </c>
      <c r="B116" s="13" t="s">
        <v>285</v>
      </c>
      <c r="C116" s="14" t="s">
        <v>700</v>
      </c>
      <c r="D116" s="13"/>
      <c r="E116" s="23" t="s">
        <v>237</v>
      </c>
      <c r="F116" s="16" t="s">
        <v>966</v>
      </c>
      <c r="G116" s="16"/>
      <c r="H116" s="16"/>
      <c r="I116" s="13" t="s">
        <v>439</v>
      </c>
      <c r="J116" s="17" t="s">
        <v>208</v>
      </c>
      <c r="K116" s="17" t="s">
        <v>225</v>
      </c>
      <c r="L116" s="17" t="s">
        <v>226</v>
      </c>
      <c r="M116" s="17" t="s">
        <v>227</v>
      </c>
      <c r="N116" s="17" t="s">
        <v>283</v>
      </c>
      <c r="O116" s="18" t="s">
        <v>219</v>
      </c>
      <c r="P116" s="19" t="s">
        <v>496</v>
      </c>
      <c r="Q116" s="19"/>
      <c r="R116" s="20"/>
    </row>
    <row r="117" spans="1:18" ht="18.95" hidden="1" customHeight="1">
      <c r="A117" s="12" t="s">
        <v>311</v>
      </c>
      <c r="B117" s="13" t="s">
        <v>450</v>
      </c>
      <c r="C117" s="14" t="s">
        <v>711</v>
      </c>
      <c r="D117" s="13"/>
      <c r="E117" s="15" t="s">
        <v>237</v>
      </c>
      <c r="F117" s="16" t="s">
        <v>966</v>
      </c>
      <c r="G117" s="16"/>
      <c r="H117" s="16"/>
      <c r="I117" s="13" t="s">
        <v>452</v>
      </c>
      <c r="J117" s="17" t="s">
        <v>208</v>
      </c>
      <c r="K117" s="17" t="s">
        <v>225</v>
      </c>
      <c r="L117" s="17" t="s">
        <v>226</v>
      </c>
      <c r="M117" s="17" t="s">
        <v>227</v>
      </c>
      <c r="N117" s="17" t="s">
        <v>310</v>
      </c>
      <c r="O117" s="18" t="s">
        <v>219</v>
      </c>
      <c r="P117" s="19" t="s">
        <v>496</v>
      </c>
      <c r="Q117" s="19"/>
      <c r="R117" s="20"/>
    </row>
    <row r="118" spans="1:18" ht="18.95" hidden="1" customHeight="1">
      <c r="A118" s="12" t="s">
        <v>326</v>
      </c>
      <c r="B118" s="13" t="s">
        <v>548</v>
      </c>
      <c r="C118" s="14" t="s">
        <v>743</v>
      </c>
      <c r="D118" s="13"/>
      <c r="E118" s="15" t="s">
        <v>237</v>
      </c>
      <c r="F118" s="16" t="s">
        <v>966</v>
      </c>
      <c r="G118" s="16"/>
      <c r="H118" s="16"/>
      <c r="I118" s="13" t="s">
        <v>453</v>
      </c>
      <c r="J118" s="17" t="s">
        <v>208</v>
      </c>
      <c r="K118" s="17" t="s">
        <v>225</v>
      </c>
      <c r="L118" s="17" t="s">
        <v>226</v>
      </c>
      <c r="M118" s="17" t="s">
        <v>227</v>
      </c>
      <c r="N118" s="17" t="s">
        <v>310</v>
      </c>
      <c r="O118" s="18" t="s">
        <v>323</v>
      </c>
      <c r="P118" s="19" t="s">
        <v>496</v>
      </c>
      <c r="Q118" s="19"/>
      <c r="R118" s="20"/>
    </row>
    <row r="119" spans="1:18" ht="18.95" hidden="1" customHeight="1">
      <c r="A119" s="12" t="s">
        <v>319</v>
      </c>
      <c r="B119" s="13" t="s">
        <v>546</v>
      </c>
      <c r="C119" s="14" t="s">
        <v>712</v>
      </c>
      <c r="D119" s="13"/>
      <c r="E119" s="15" t="s">
        <v>237</v>
      </c>
      <c r="F119" s="16" t="s">
        <v>966</v>
      </c>
      <c r="G119" s="16"/>
      <c r="H119" s="16"/>
      <c r="I119" s="13" t="s">
        <v>452</v>
      </c>
      <c r="J119" s="17" t="s">
        <v>208</v>
      </c>
      <c r="K119" s="17" t="s">
        <v>225</v>
      </c>
      <c r="L119" s="17" t="s">
        <v>226</v>
      </c>
      <c r="M119" s="17" t="s">
        <v>227</v>
      </c>
      <c r="N119" s="17" t="s">
        <v>310</v>
      </c>
      <c r="O119" s="18" t="s">
        <v>219</v>
      </c>
      <c r="P119" s="19" t="s">
        <v>496</v>
      </c>
      <c r="Q119" s="19"/>
      <c r="R119" s="20"/>
    </row>
    <row r="120" spans="1:18" ht="18.95" hidden="1" customHeight="1">
      <c r="A120" s="12" t="s">
        <v>333</v>
      </c>
      <c r="B120" s="13" t="s">
        <v>547</v>
      </c>
      <c r="C120" s="14" t="s">
        <v>744</v>
      </c>
      <c r="D120" s="13"/>
      <c r="E120" s="15" t="s">
        <v>237</v>
      </c>
      <c r="F120" s="16" t="s">
        <v>966</v>
      </c>
      <c r="G120" s="16"/>
      <c r="H120" s="16"/>
      <c r="I120" s="13" t="s">
        <v>453</v>
      </c>
      <c r="J120" s="17" t="s">
        <v>208</v>
      </c>
      <c r="K120" s="17" t="s">
        <v>225</v>
      </c>
      <c r="L120" s="17" t="s">
        <v>226</v>
      </c>
      <c r="M120" s="17" t="s">
        <v>227</v>
      </c>
      <c r="N120" s="17" t="s">
        <v>310</v>
      </c>
      <c r="O120" s="18" t="s">
        <v>323</v>
      </c>
      <c r="P120" s="19" t="s">
        <v>496</v>
      </c>
      <c r="Q120" s="19"/>
      <c r="R120" s="20"/>
    </row>
    <row r="121" spans="1:18" ht="18.95" hidden="1" customHeight="1">
      <c r="A121" s="12" t="s">
        <v>318</v>
      </c>
      <c r="B121" s="13" t="s">
        <v>451</v>
      </c>
      <c r="C121" s="14" t="s">
        <v>713</v>
      </c>
      <c r="D121" s="13"/>
      <c r="E121" s="15" t="s">
        <v>237</v>
      </c>
      <c r="F121" s="16" t="s">
        <v>966</v>
      </c>
      <c r="G121" s="16"/>
      <c r="H121" s="16"/>
      <c r="I121" s="13" t="s">
        <v>452</v>
      </c>
      <c r="J121" s="17" t="s">
        <v>208</v>
      </c>
      <c r="K121" s="17" t="s">
        <v>225</v>
      </c>
      <c r="L121" s="17" t="s">
        <v>226</v>
      </c>
      <c r="M121" s="17" t="s">
        <v>227</v>
      </c>
      <c r="N121" s="17" t="s">
        <v>310</v>
      </c>
      <c r="O121" s="18" t="s">
        <v>219</v>
      </c>
      <c r="P121" s="19" t="s">
        <v>496</v>
      </c>
      <c r="Q121" s="19"/>
      <c r="R121" s="20"/>
    </row>
    <row r="122" spans="1:18" ht="18.95" hidden="1" customHeight="1">
      <c r="A122" s="12" t="s">
        <v>332</v>
      </c>
      <c r="B122" s="13" t="s">
        <v>590</v>
      </c>
      <c r="C122" s="13" t="s">
        <v>745</v>
      </c>
      <c r="D122" s="13"/>
      <c r="E122" s="15" t="s">
        <v>237</v>
      </c>
      <c r="F122" s="16" t="s">
        <v>966</v>
      </c>
      <c r="G122" s="16"/>
      <c r="H122" s="16"/>
      <c r="I122" s="13" t="s">
        <v>453</v>
      </c>
      <c r="J122" s="17" t="s">
        <v>208</v>
      </c>
      <c r="K122" s="17" t="s">
        <v>225</v>
      </c>
      <c r="L122" s="17" t="s">
        <v>226</v>
      </c>
      <c r="M122" s="17" t="s">
        <v>227</v>
      </c>
      <c r="N122" s="17" t="s">
        <v>310</v>
      </c>
      <c r="O122" s="18" t="s">
        <v>323</v>
      </c>
      <c r="P122" s="19" t="s">
        <v>496</v>
      </c>
      <c r="Q122" s="19"/>
      <c r="R122" s="20"/>
    </row>
    <row r="123" spans="1:18" ht="18.95" hidden="1" customHeight="1">
      <c r="A123" s="12" t="s">
        <v>264</v>
      </c>
      <c r="B123" s="13" t="s">
        <v>265</v>
      </c>
      <c r="C123" s="14" t="s">
        <v>1032</v>
      </c>
      <c r="D123" s="13" t="s">
        <v>684</v>
      </c>
      <c r="E123" s="15" t="s">
        <v>727</v>
      </c>
      <c r="F123" s="16" t="s">
        <v>1003</v>
      </c>
      <c r="G123" s="16"/>
      <c r="H123" s="16"/>
      <c r="I123" s="13"/>
      <c r="J123" s="17" t="s">
        <v>208</v>
      </c>
      <c r="K123" s="17" t="s">
        <v>225</v>
      </c>
      <c r="L123" s="17" t="s">
        <v>226</v>
      </c>
      <c r="M123" s="17" t="s">
        <v>227</v>
      </c>
      <c r="N123" s="17"/>
      <c r="O123" s="18"/>
      <c r="P123" s="19" t="s">
        <v>496</v>
      </c>
      <c r="Q123" s="19"/>
      <c r="R123" s="20"/>
    </row>
    <row r="124" spans="1:18" ht="18.95" hidden="1" customHeight="1">
      <c r="A124" s="12" t="s">
        <v>359</v>
      </c>
      <c r="B124" s="13" t="s">
        <v>343</v>
      </c>
      <c r="C124" s="14" t="s">
        <v>815</v>
      </c>
      <c r="D124" s="13"/>
      <c r="E124" s="15" t="s">
        <v>971</v>
      </c>
      <c r="F124" s="17" t="s">
        <v>983</v>
      </c>
      <c r="G124" s="17"/>
      <c r="H124" s="17"/>
      <c r="I124" s="13" t="s">
        <v>766</v>
      </c>
      <c r="J124" s="17" t="s">
        <v>208</v>
      </c>
      <c r="K124" s="17" t="s">
        <v>254</v>
      </c>
      <c r="L124" s="17"/>
      <c r="M124" s="17" t="s">
        <v>210</v>
      </c>
      <c r="N124" s="17" t="s">
        <v>337</v>
      </c>
      <c r="O124" s="18" t="s">
        <v>219</v>
      </c>
      <c r="P124" s="19" t="s">
        <v>496</v>
      </c>
      <c r="Q124" s="19" t="s">
        <v>1075</v>
      </c>
      <c r="R124" s="20"/>
    </row>
    <row r="125" spans="1:18" ht="18.95" hidden="1" customHeight="1">
      <c r="A125" s="12" t="s">
        <v>358</v>
      </c>
      <c r="B125" s="13" t="s">
        <v>342</v>
      </c>
      <c r="C125" s="14" t="s">
        <v>816</v>
      </c>
      <c r="D125" s="13"/>
      <c r="E125" s="15" t="s">
        <v>971</v>
      </c>
      <c r="F125" s="17" t="s">
        <v>983</v>
      </c>
      <c r="G125" s="17"/>
      <c r="H125" s="17"/>
      <c r="I125" s="13" t="s">
        <v>766</v>
      </c>
      <c r="J125" s="17" t="s">
        <v>208</v>
      </c>
      <c r="K125" s="17" t="s">
        <v>254</v>
      </c>
      <c r="L125" s="17"/>
      <c r="M125" s="17" t="s">
        <v>210</v>
      </c>
      <c r="N125" s="17" t="s">
        <v>337</v>
      </c>
      <c r="O125" s="18" t="s">
        <v>219</v>
      </c>
      <c r="P125" s="19" t="s">
        <v>496</v>
      </c>
      <c r="Q125" s="19" t="s">
        <v>1075</v>
      </c>
      <c r="R125" s="20"/>
    </row>
    <row r="126" spans="1:18" ht="18.95" customHeight="1">
      <c r="A126" s="38" t="s">
        <v>894</v>
      </c>
      <c r="B126" s="39" t="s">
        <v>896</v>
      </c>
      <c r="C126" s="54" t="s">
        <v>907</v>
      </c>
      <c r="D126" s="40"/>
      <c r="E126" s="40" t="s">
        <v>215</v>
      </c>
      <c r="F126" s="15" t="s">
        <v>1018</v>
      </c>
      <c r="G126" s="15" t="s">
        <v>1091</v>
      </c>
      <c r="H126" s="15" t="s">
        <v>1092</v>
      </c>
      <c r="I126" s="44" t="s">
        <v>898</v>
      </c>
      <c r="J126" s="17" t="s">
        <v>423</v>
      </c>
      <c r="K126" s="13" t="s">
        <v>254</v>
      </c>
      <c r="L126" s="17" t="s">
        <v>462</v>
      </c>
      <c r="M126" s="17" t="s">
        <v>210</v>
      </c>
      <c r="N126" s="40"/>
      <c r="O126" s="41"/>
      <c r="P126" s="19" t="s">
        <v>496</v>
      </c>
      <c r="Q126" s="19" t="s">
        <v>952</v>
      </c>
      <c r="R126" s="20" t="s">
        <v>498</v>
      </c>
    </row>
    <row r="127" spans="1:18" ht="18.95" customHeight="1">
      <c r="A127" s="12" t="s">
        <v>863</v>
      </c>
      <c r="B127" s="13" t="s">
        <v>862</v>
      </c>
      <c r="C127" s="14"/>
      <c r="D127" s="13"/>
      <c r="E127" s="15" t="s">
        <v>215</v>
      </c>
      <c r="F127" s="15" t="s">
        <v>1018</v>
      </c>
      <c r="G127" s="15" t="s">
        <v>1091</v>
      </c>
      <c r="H127" s="15" t="s">
        <v>1092</v>
      </c>
      <c r="I127" s="17" t="s">
        <v>533</v>
      </c>
      <c r="J127" s="17" t="s">
        <v>423</v>
      </c>
      <c r="K127" s="13" t="s">
        <v>254</v>
      </c>
      <c r="L127" s="17" t="s">
        <v>462</v>
      </c>
      <c r="M127" s="17" t="s">
        <v>210</v>
      </c>
      <c r="N127" s="17"/>
      <c r="O127" s="18"/>
      <c r="P127" s="19" t="s">
        <v>496</v>
      </c>
      <c r="Q127" s="19" t="s">
        <v>952</v>
      </c>
      <c r="R127" s="20" t="s">
        <v>498</v>
      </c>
    </row>
    <row r="128" spans="1:18" ht="18.95" customHeight="1">
      <c r="A128" s="38" t="s">
        <v>893</v>
      </c>
      <c r="B128" s="39" t="s">
        <v>895</v>
      </c>
      <c r="C128" s="53"/>
      <c r="D128" s="40"/>
      <c r="E128" s="44" t="s">
        <v>215</v>
      </c>
      <c r="F128" s="15" t="s">
        <v>1019</v>
      </c>
      <c r="G128" s="15" t="s">
        <v>1095</v>
      </c>
      <c r="H128" s="15" t="s">
        <v>1096</v>
      </c>
      <c r="I128" s="44" t="s">
        <v>898</v>
      </c>
      <c r="J128" s="17" t="s">
        <v>423</v>
      </c>
      <c r="K128" s="17" t="s">
        <v>254</v>
      </c>
      <c r="L128" s="17" t="s">
        <v>1068</v>
      </c>
      <c r="M128" s="17" t="s">
        <v>210</v>
      </c>
      <c r="N128" s="40"/>
      <c r="O128" s="41"/>
      <c r="P128" s="19" t="s">
        <v>496</v>
      </c>
      <c r="Q128" s="19" t="s">
        <v>952</v>
      </c>
      <c r="R128" s="20" t="s">
        <v>498</v>
      </c>
    </row>
    <row r="129" spans="1:18" ht="18.95" hidden="1" customHeight="1">
      <c r="A129" s="12" t="s">
        <v>605</v>
      </c>
      <c r="B129" s="13" t="s">
        <v>432</v>
      </c>
      <c r="C129" s="14" t="s">
        <v>678</v>
      </c>
      <c r="D129" s="13"/>
      <c r="E129" s="15" t="s">
        <v>237</v>
      </c>
      <c r="F129" s="15" t="s">
        <v>966</v>
      </c>
      <c r="G129" s="15"/>
      <c r="H129" s="15"/>
      <c r="I129" s="17" t="s">
        <v>603</v>
      </c>
      <c r="J129" s="17" t="s">
        <v>208</v>
      </c>
      <c r="K129" s="17" t="s">
        <v>225</v>
      </c>
      <c r="L129" s="17" t="s">
        <v>226</v>
      </c>
      <c r="M129" s="17" t="s">
        <v>227</v>
      </c>
      <c r="N129" s="17" t="s">
        <v>218</v>
      </c>
      <c r="O129" s="18" t="s">
        <v>219</v>
      </c>
      <c r="P129" s="19" t="s">
        <v>496</v>
      </c>
      <c r="Q129" s="19"/>
      <c r="R129" s="20"/>
    </row>
    <row r="130" spans="1:18" ht="18.95" hidden="1" customHeight="1">
      <c r="A130" s="12" t="s">
        <v>779</v>
      </c>
      <c r="B130" s="13" t="s">
        <v>433</v>
      </c>
      <c r="C130" s="14" t="s">
        <v>772</v>
      </c>
      <c r="D130" s="13"/>
      <c r="E130" s="15" t="s">
        <v>237</v>
      </c>
      <c r="F130" s="16" t="s">
        <v>966</v>
      </c>
      <c r="G130" s="16"/>
      <c r="H130" s="16"/>
      <c r="I130" s="17" t="s">
        <v>767</v>
      </c>
      <c r="J130" s="17" t="s">
        <v>208</v>
      </c>
      <c r="K130" s="17" t="s">
        <v>225</v>
      </c>
      <c r="L130" s="17" t="s">
        <v>226</v>
      </c>
      <c r="M130" s="17" t="s">
        <v>227</v>
      </c>
      <c r="N130" s="17" t="s">
        <v>336</v>
      </c>
      <c r="O130" s="18" t="s">
        <v>219</v>
      </c>
      <c r="P130" s="19" t="s">
        <v>496</v>
      </c>
      <c r="Q130" s="19"/>
      <c r="R130" s="20"/>
    </row>
    <row r="131" spans="1:18" ht="18.95" customHeight="1">
      <c r="A131" s="42" t="s">
        <v>1016</v>
      </c>
      <c r="B131" s="39" t="s">
        <v>1017</v>
      </c>
      <c r="C131" s="53"/>
      <c r="D131" s="40"/>
      <c r="E131" s="40" t="s">
        <v>215</v>
      </c>
      <c r="F131" s="15" t="s">
        <v>1018</v>
      </c>
      <c r="G131" s="15" t="s">
        <v>1091</v>
      </c>
      <c r="H131" s="15" t="s">
        <v>1092</v>
      </c>
      <c r="I131" s="23" t="s">
        <v>502</v>
      </c>
      <c r="J131" s="17" t="s">
        <v>423</v>
      </c>
      <c r="K131" s="17" t="s">
        <v>254</v>
      </c>
      <c r="L131" s="17" t="s">
        <v>462</v>
      </c>
      <c r="M131" s="17" t="s">
        <v>210</v>
      </c>
      <c r="N131" s="40"/>
      <c r="O131" s="41"/>
      <c r="P131" s="19" t="s">
        <v>496</v>
      </c>
      <c r="Q131" s="19" t="s">
        <v>1077</v>
      </c>
      <c r="R131" s="20" t="s">
        <v>498</v>
      </c>
    </row>
    <row r="132" spans="1:18" ht="18.95" customHeight="1">
      <c r="A132" s="42" t="s">
        <v>1034</v>
      </c>
      <c r="B132" s="39" t="s">
        <v>908</v>
      </c>
      <c r="C132" s="55" t="s">
        <v>906</v>
      </c>
      <c r="D132" s="44"/>
      <c r="E132" s="58" t="s">
        <v>215</v>
      </c>
      <c r="F132" s="58"/>
      <c r="G132" s="44"/>
      <c r="H132" s="44"/>
      <c r="I132" s="44" t="s">
        <v>384</v>
      </c>
      <c r="J132" s="17" t="s">
        <v>216</v>
      </c>
      <c r="K132" s="17"/>
      <c r="L132" s="17" t="s">
        <v>897</v>
      </c>
      <c r="M132" s="17" t="s">
        <v>210</v>
      </c>
      <c r="N132" s="40"/>
      <c r="O132" s="41"/>
      <c r="P132" s="19" t="s">
        <v>495</v>
      </c>
      <c r="Q132" s="19" t="s">
        <v>1076</v>
      </c>
      <c r="R132" s="20" t="s">
        <v>498</v>
      </c>
    </row>
    <row r="133" spans="1:18" ht="18.95" customHeight="1">
      <c r="A133" s="12" t="s">
        <v>493</v>
      </c>
      <c r="B133" s="13" t="s">
        <v>592</v>
      </c>
      <c r="C133" s="14" t="s">
        <v>864</v>
      </c>
      <c r="D133" s="13" t="s">
        <v>663</v>
      </c>
      <c r="E133" s="15" t="s">
        <v>215</v>
      </c>
      <c r="F133" s="16" t="s">
        <v>997</v>
      </c>
      <c r="G133" s="16" t="s">
        <v>1091</v>
      </c>
      <c r="H133" s="16" t="s">
        <v>1092</v>
      </c>
      <c r="I133" s="13" t="s">
        <v>492</v>
      </c>
      <c r="J133" s="17" t="s">
        <v>208</v>
      </c>
      <c r="K133" s="13" t="s">
        <v>254</v>
      </c>
      <c r="L133" s="17" t="s">
        <v>226</v>
      </c>
      <c r="M133" s="17" t="s">
        <v>210</v>
      </c>
      <c r="N133" s="17"/>
      <c r="O133" s="18"/>
      <c r="P133" s="19" t="s">
        <v>496</v>
      </c>
      <c r="Q133" s="19" t="s">
        <v>952</v>
      </c>
      <c r="R133" s="20" t="s">
        <v>498</v>
      </c>
    </row>
    <row r="134" spans="1:18" ht="18.95" customHeight="1">
      <c r="A134" s="12" t="s">
        <v>1085</v>
      </c>
      <c r="B134" s="13" t="s">
        <v>1086</v>
      </c>
      <c r="C134" s="14"/>
      <c r="D134" s="13"/>
      <c r="E134" s="15" t="s">
        <v>215</v>
      </c>
      <c r="F134" s="16" t="s">
        <v>1069</v>
      </c>
      <c r="G134" s="16" t="s">
        <v>1091</v>
      </c>
      <c r="H134" s="16" t="s">
        <v>1092</v>
      </c>
      <c r="I134" s="13" t="s">
        <v>944</v>
      </c>
      <c r="J134" s="17" t="s">
        <v>208</v>
      </c>
      <c r="K134" s="17" t="s">
        <v>254</v>
      </c>
      <c r="L134" s="17" t="s">
        <v>226</v>
      </c>
      <c r="M134" s="17" t="s">
        <v>210</v>
      </c>
      <c r="N134" s="17"/>
      <c r="O134" s="18"/>
      <c r="P134" s="19" t="s">
        <v>496</v>
      </c>
      <c r="Q134" s="19" t="s">
        <v>1080</v>
      </c>
      <c r="R134" s="20" t="s">
        <v>498</v>
      </c>
    </row>
    <row r="135" spans="1:18" ht="18.95" customHeight="1">
      <c r="A135" s="12" t="s">
        <v>1087</v>
      </c>
      <c r="B135" s="13" t="s">
        <v>1088</v>
      </c>
      <c r="C135" s="14"/>
      <c r="D135" s="13"/>
      <c r="E135" s="15" t="s">
        <v>215</v>
      </c>
      <c r="F135" s="16" t="s">
        <v>1069</v>
      </c>
      <c r="G135" s="16" t="s">
        <v>1091</v>
      </c>
      <c r="H135" s="16" t="s">
        <v>1092</v>
      </c>
      <c r="I135" s="13" t="s">
        <v>944</v>
      </c>
      <c r="J135" s="17" t="s">
        <v>208</v>
      </c>
      <c r="K135" s="17" t="s">
        <v>254</v>
      </c>
      <c r="L135" s="17" t="s">
        <v>226</v>
      </c>
      <c r="M135" s="17" t="s">
        <v>210</v>
      </c>
      <c r="N135" s="17"/>
      <c r="O135" s="18"/>
      <c r="P135" s="19" t="s">
        <v>496</v>
      </c>
      <c r="Q135" s="19" t="s">
        <v>1080</v>
      </c>
      <c r="R135" s="20" t="s">
        <v>498</v>
      </c>
    </row>
    <row r="136" spans="1:18" ht="18.95" customHeight="1">
      <c r="A136" s="12" t="s">
        <v>940</v>
      </c>
      <c r="B136" s="13" t="s">
        <v>942</v>
      </c>
      <c r="C136" s="14"/>
      <c r="D136" s="13"/>
      <c r="E136" s="49" t="s">
        <v>953</v>
      </c>
      <c r="F136" s="49" t="s">
        <v>1006</v>
      </c>
      <c r="G136" s="15"/>
      <c r="H136" s="15"/>
      <c r="I136" s="21" t="s">
        <v>944</v>
      </c>
      <c r="J136" s="17" t="s">
        <v>208</v>
      </c>
      <c r="K136" s="17" t="s">
        <v>225</v>
      </c>
      <c r="L136" s="17" t="s">
        <v>226</v>
      </c>
      <c r="M136" s="17" t="s">
        <v>227</v>
      </c>
      <c r="N136" s="17"/>
      <c r="O136" s="18"/>
      <c r="P136" s="19" t="s">
        <v>496</v>
      </c>
      <c r="Q136" s="19"/>
      <c r="R136" s="20" t="s">
        <v>498</v>
      </c>
    </row>
    <row r="137" spans="1:18" ht="18.95" customHeight="1">
      <c r="A137" s="12" t="s">
        <v>941</v>
      </c>
      <c r="B137" s="13" t="s">
        <v>943</v>
      </c>
      <c r="C137" s="14"/>
      <c r="D137" s="13"/>
      <c r="E137" s="49" t="s">
        <v>953</v>
      </c>
      <c r="F137" s="49" t="s">
        <v>1006</v>
      </c>
      <c r="G137" s="15"/>
      <c r="H137" s="15"/>
      <c r="I137" s="21" t="s">
        <v>944</v>
      </c>
      <c r="J137" s="17" t="s">
        <v>208</v>
      </c>
      <c r="K137" s="17" t="s">
        <v>225</v>
      </c>
      <c r="L137" s="17" t="s">
        <v>226</v>
      </c>
      <c r="M137" s="17" t="s">
        <v>227</v>
      </c>
      <c r="N137" s="17"/>
      <c r="O137" s="18"/>
      <c r="P137" s="19" t="s">
        <v>496</v>
      </c>
      <c r="Q137" s="19"/>
      <c r="R137" s="20" t="s">
        <v>498</v>
      </c>
    </row>
    <row r="138" spans="1:18" ht="18.95" customHeight="1">
      <c r="A138" s="12" t="s">
        <v>490</v>
      </c>
      <c r="B138" s="13" t="s">
        <v>491</v>
      </c>
      <c r="C138" s="14" t="s">
        <v>890</v>
      </c>
      <c r="D138" s="13"/>
      <c r="E138" s="49" t="s">
        <v>224</v>
      </c>
      <c r="F138" s="49" t="s">
        <v>963</v>
      </c>
      <c r="G138" s="15"/>
      <c r="H138" s="15"/>
      <c r="I138" s="13" t="s">
        <v>489</v>
      </c>
      <c r="J138" s="17" t="s">
        <v>208</v>
      </c>
      <c r="K138" s="17"/>
      <c r="L138" s="17"/>
      <c r="M138" s="17"/>
      <c r="N138" s="17"/>
      <c r="O138" s="18"/>
      <c r="P138" s="19" t="s">
        <v>496</v>
      </c>
      <c r="Q138" s="19"/>
      <c r="R138" s="20" t="s">
        <v>498</v>
      </c>
    </row>
    <row r="139" spans="1:18" ht="18.95" customHeight="1">
      <c r="A139" s="12" t="s">
        <v>540</v>
      </c>
      <c r="B139" s="13" t="s">
        <v>346</v>
      </c>
      <c r="C139" s="14" t="s">
        <v>840</v>
      </c>
      <c r="D139" s="13"/>
      <c r="E139" s="15" t="s">
        <v>900</v>
      </c>
      <c r="F139" s="16" t="s">
        <v>903</v>
      </c>
      <c r="G139" s="16" t="s">
        <v>1102</v>
      </c>
      <c r="H139" s="16"/>
      <c r="I139" s="17" t="s">
        <v>533</v>
      </c>
      <c r="J139" s="17" t="s">
        <v>216</v>
      </c>
      <c r="K139" s="13"/>
      <c r="L139" s="17" t="s">
        <v>256</v>
      </c>
      <c r="M139" s="17" t="s">
        <v>210</v>
      </c>
      <c r="N139" s="17"/>
      <c r="O139" s="18"/>
      <c r="P139" s="19" t="s">
        <v>496</v>
      </c>
      <c r="Q139" s="19"/>
      <c r="R139" s="20" t="s">
        <v>498</v>
      </c>
    </row>
    <row r="140" spans="1:18" ht="18.95" customHeight="1">
      <c r="A140" s="12" t="s">
        <v>360</v>
      </c>
      <c r="B140" s="13" t="s">
        <v>347</v>
      </c>
      <c r="C140" s="14" t="s">
        <v>846</v>
      </c>
      <c r="D140" s="13"/>
      <c r="E140" s="61" t="s">
        <v>727</v>
      </c>
      <c r="F140" s="61" t="s">
        <v>1004</v>
      </c>
      <c r="G140" s="15" t="s">
        <v>1101</v>
      </c>
      <c r="H140" s="15" t="s">
        <v>1101</v>
      </c>
      <c r="I140" s="13" t="s">
        <v>348</v>
      </c>
      <c r="J140" s="17" t="s">
        <v>208</v>
      </c>
      <c r="K140" s="17" t="s">
        <v>225</v>
      </c>
      <c r="L140" s="17" t="s">
        <v>226</v>
      </c>
      <c r="M140" s="17" t="s">
        <v>227</v>
      </c>
      <c r="N140" s="17"/>
      <c r="O140" s="18"/>
      <c r="P140" s="19" t="s">
        <v>496</v>
      </c>
      <c r="Q140" s="19"/>
      <c r="R140" s="20" t="s">
        <v>498</v>
      </c>
    </row>
    <row r="141" spans="1:18" ht="18.95" customHeight="1">
      <c r="A141" s="12" t="s">
        <v>362</v>
      </c>
      <c r="B141" s="13" t="s">
        <v>350</v>
      </c>
      <c r="C141" s="14" t="s">
        <v>847</v>
      </c>
      <c r="D141" s="13"/>
      <c r="E141" s="61" t="s">
        <v>727</v>
      </c>
      <c r="F141" s="61" t="s">
        <v>1004</v>
      </c>
      <c r="G141" s="15" t="s">
        <v>1101</v>
      </c>
      <c r="H141" s="15" t="s">
        <v>1101</v>
      </c>
      <c r="I141" s="13" t="s">
        <v>348</v>
      </c>
      <c r="J141" s="17" t="s">
        <v>208</v>
      </c>
      <c r="K141" s="17" t="s">
        <v>225</v>
      </c>
      <c r="L141" s="17" t="s">
        <v>226</v>
      </c>
      <c r="M141" s="17" t="s">
        <v>227</v>
      </c>
      <c r="N141" s="17"/>
      <c r="O141" s="18"/>
      <c r="P141" s="19" t="s">
        <v>496</v>
      </c>
      <c r="Q141" s="19"/>
      <c r="R141" s="20" t="s">
        <v>498</v>
      </c>
    </row>
    <row r="142" spans="1:18" ht="18.95" customHeight="1">
      <c r="A142" s="12" t="s">
        <v>361</v>
      </c>
      <c r="B142" s="13" t="s">
        <v>349</v>
      </c>
      <c r="C142" s="14" t="s">
        <v>848</v>
      </c>
      <c r="D142" s="13"/>
      <c r="E142" s="61" t="s">
        <v>727</v>
      </c>
      <c r="F142" s="61" t="s">
        <v>1004</v>
      </c>
      <c r="G142" s="15" t="s">
        <v>1101</v>
      </c>
      <c r="H142" s="15" t="s">
        <v>1101</v>
      </c>
      <c r="I142" s="13" t="s">
        <v>348</v>
      </c>
      <c r="J142" s="17" t="s">
        <v>208</v>
      </c>
      <c r="K142" s="17" t="s">
        <v>225</v>
      </c>
      <c r="L142" s="17" t="s">
        <v>226</v>
      </c>
      <c r="M142" s="17" t="s">
        <v>227</v>
      </c>
      <c r="N142" s="17"/>
      <c r="O142" s="18"/>
      <c r="P142" s="19" t="s">
        <v>496</v>
      </c>
      <c r="Q142" s="19"/>
      <c r="R142" s="20" t="s">
        <v>498</v>
      </c>
    </row>
    <row r="143" spans="1:18" ht="18.95" customHeight="1">
      <c r="A143" s="12" t="s">
        <v>726</v>
      </c>
      <c r="B143" s="13" t="s">
        <v>733</v>
      </c>
      <c r="C143" s="14" t="s">
        <v>714</v>
      </c>
      <c r="D143" s="13"/>
      <c r="E143" s="61" t="s">
        <v>727</v>
      </c>
      <c r="F143" s="61" t="s">
        <v>1005</v>
      </c>
      <c r="G143" s="15" t="s">
        <v>1101</v>
      </c>
      <c r="H143" s="15" t="s">
        <v>1101</v>
      </c>
      <c r="I143" s="13" t="s">
        <v>320</v>
      </c>
      <c r="J143" s="17" t="s">
        <v>208</v>
      </c>
      <c r="K143" s="17" t="s">
        <v>225</v>
      </c>
      <c r="L143" s="17" t="s">
        <v>226</v>
      </c>
      <c r="M143" s="17" t="s">
        <v>227</v>
      </c>
      <c r="N143" s="17" t="s">
        <v>310</v>
      </c>
      <c r="O143" s="18" t="s">
        <v>219</v>
      </c>
      <c r="P143" s="19" t="s">
        <v>496</v>
      </c>
      <c r="Q143" s="19"/>
      <c r="R143" s="20" t="s">
        <v>498</v>
      </c>
    </row>
    <row r="144" spans="1:18" ht="18.95" customHeight="1">
      <c r="A144" s="12" t="s">
        <v>731</v>
      </c>
      <c r="B144" s="13" t="s">
        <v>732</v>
      </c>
      <c r="C144" s="14" t="s">
        <v>735</v>
      </c>
      <c r="D144" s="13"/>
      <c r="E144" s="61" t="s">
        <v>727</v>
      </c>
      <c r="F144" s="61" t="s">
        <v>1005</v>
      </c>
      <c r="G144" s="15" t="s">
        <v>1101</v>
      </c>
      <c r="H144" s="15" t="s">
        <v>1101</v>
      </c>
      <c r="I144" s="13" t="s">
        <v>334</v>
      </c>
      <c r="J144" s="17" t="s">
        <v>208</v>
      </c>
      <c r="K144" s="17" t="s">
        <v>225</v>
      </c>
      <c r="L144" s="17" t="s">
        <v>226</v>
      </c>
      <c r="M144" s="17" t="s">
        <v>227</v>
      </c>
      <c r="N144" s="17" t="s">
        <v>310</v>
      </c>
      <c r="O144" s="18" t="s">
        <v>325</v>
      </c>
      <c r="P144" s="19" t="s">
        <v>496</v>
      </c>
      <c r="Q144" s="19"/>
      <c r="R144" s="20" t="s">
        <v>498</v>
      </c>
    </row>
    <row r="145" spans="1:18" ht="18.95" customHeight="1">
      <c r="A145" s="12" t="s">
        <v>932</v>
      </c>
      <c r="B145" s="13" t="s">
        <v>516</v>
      </c>
      <c r="C145" s="14"/>
      <c r="D145" s="13"/>
      <c r="E145" s="61" t="s">
        <v>727</v>
      </c>
      <c r="F145" s="61" t="s">
        <v>1008</v>
      </c>
      <c r="G145" s="15" t="s">
        <v>1101</v>
      </c>
      <c r="H145" s="15" t="s">
        <v>1101</v>
      </c>
      <c r="I145" s="17" t="s">
        <v>512</v>
      </c>
      <c r="J145" s="17" t="s">
        <v>208</v>
      </c>
      <c r="K145" s="17" t="s">
        <v>225</v>
      </c>
      <c r="L145" s="17" t="s">
        <v>226</v>
      </c>
      <c r="M145" s="17" t="s">
        <v>227</v>
      </c>
      <c r="N145" s="17"/>
      <c r="O145" s="18"/>
      <c r="P145" s="19" t="s">
        <v>496</v>
      </c>
      <c r="Q145" s="19"/>
      <c r="R145" s="20" t="s">
        <v>498</v>
      </c>
    </row>
    <row r="146" spans="1:18" ht="18.95" customHeight="1">
      <c r="A146" s="12" t="s">
        <v>931</v>
      </c>
      <c r="B146" s="13" t="s">
        <v>518</v>
      </c>
      <c r="C146" s="14"/>
      <c r="D146" s="13"/>
      <c r="E146" s="61" t="s">
        <v>727</v>
      </c>
      <c r="F146" s="61" t="s">
        <v>1008</v>
      </c>
      <c r="G146" s="15" t="s">
        <v>1101</v>
      </c>
      <c r="H146" s="15" t="s">
        <v>1101</v>
      </c>
      <c r="I146" s="17" t="s">
        <v>512</v>
      </c>
      <c r="J146" s="17" t="s">
        <v>208</v>
      </c>
      <c r="K146" s="17" t="s">
        <v>225</v>
      </c>
      <c r="L146" s="17" t="s">
        <v>226</v>
      </c>
      <c r="M146" s="17" t="s">
        <v>227</v>
      </c>
      <c r="N146" s="17"/>
      <c r="O146" s="18"/>
      <c r="P146" s="19" t="s">
        <v>496</v>
      </c>
      <c r="Q146" s="19"/>
      <c r="R146" s="20" t="s">
        <v>498</v>
      </c>
    </row>
    <row r="147" spans="1:18" ht="18.95" customHeight="1">
      <c r="A147" s="12" t="s">
        <v>934</v>
      </c>
      <c r="B147" s="13" t="s">
        <v>1010</v>
      </c>
      <c r="C147" s="14"/>
      <c r="D147" s="13"/>
      <c r="E147" s="61" t="s">
        <v>727</v>
      </c>
      <c r="F147" s="61" t="s">
        <v>1008</v>
      </c>
      <c r="G147" s="15" t="s">
        <v>1101</v>
      </c>
      <c r="H147" s="15" t="s">
        <v>1101</v>
      </c>
      <c r="I147" s="17" t="s">
        <v>502</v>
      </c>
      <c r="J147" s="17" t="s">
        <v>208</v>
      </c>
      <c r="K147" s="17" t="s">
        <v>225</v>
      </c>
      <c r="L147" s="17" t="s">
        <v>226</v>
      </c>
      <c r="M147" s="17" t="s">
        <v>227</v>
      </c>
      <c r="N147" s="17"/>
      <c r="O147" s="18"/>
      <c r="P147" s="19" t="s">
        <v>496</v>
      </c>
      <c r="Q147" s="19"/>
      <c r="R147" s="20" t="s">
        <v>498</v>
      </c>
    </row>
    <row r="148" spans="1:18" ht="18.95" customHeight="1">
      <c r="A148" s="12" t="s">
        <v>933</v>
      </c>
      <c r="B148" s="13" t="s">
        <v>1009</v>
      </c>
      <c r="C148" s="14"/>
      <c r="D148" s="13"/>
      <c r="E148" s="61" t="s">
        <v>727</v>
      </c>
      <c r="F148" s="61" t="s">
        <v>1008</v>
      </c>
      <c r="G148" s="15" t="s">
        <v>1101</v>
      </c>
      <c r="H148" s="15" t="s">
        <v>1101</v>
      </c>
      <c r="I148" s="17" t="s">
        <v>502</v>
      </c>
      <c r="J148" s="17" t="s">
        <v>208</v>
      </c>
      <c r="K148" s="17" t="s">
        <v>225</v>
      </c>
      <c r="L148" s="17" t="s">
        <v>226</v>
      </c>
      <c r="M148" s="17" t="s">
        <v>227</v>
      </c>
      <c r="N148" s="17"/>
      <c r="O148" s="18"/>
      <c r="P148" s="19" t="s">
        <v>496</v>
      </c>
      <c r="Q148" s="19"/>
      <c r="R148" s="20" t="s">
        <v>498</v>
      </c>
    </row>
    <row r="149" spans="1:18" ht="18.95" customHeight="1">
      <c r="A149" s="12" t="s">
        <v>748</v>
      </c>
      <c r="B149" s="13" t="s">
        <v>749</v>
      </c>
      <c r="C149" s="14" t="s">
        <v>716</v>
      </c>
      <c r="D149" s="13"/>
      <c r="E149" s="61" t="s">
        <v>727</v>
      </c>
      <c r="F149" s="61" t="s">
        <v>1003</v>
      </c>
      <c r="G149" s="15" t="s">
        <v>1101</v>
      </c>
      <c r="H149" s="15" t="s">
        <v>1101</v>
      </c>
      <c r="I149" s="13" t="s">
        <v>320</v>
      </c>
      <c r="J149" s="17" t="s">
        <v>208</v>
      </c>
      <c r="K149" s="17" t="s">
        <v>225</v>
      </c>
      <c r="L149" s="17" t="s">
        <v>226</v>
      </c>
      <c r="M149" s="17" t="s">
        <v>227</v>
      </c>
      <c r="N149" s="17" t="s">
        <v>310</v>
      </c>
      <c r="O149" s="18" t="s">
        <v>321</v>
      </c>
      <c r="P149" s="19" t="s">
        <v>496</v>
      </c>
      <c r="Q149" s="19"/>
      <c r="R149" s="20" t="s">
        <v>498</v>
      </c>
    </row>
    <row r="150" spans="1:18" ht="18.95" customHeight="1">
      <c r="A150" s="12" t="s">
        <v>746</v>
      </c>
      <c r="B150" s="13" t="s">
        <v>474</v>
      </c>
      <c r="C150" s="14" t="s">
        <v>747</v>
      </c>
      <c r="D150" s="13"/>
      <c r="E150" s="61" t="s">
        <v>727</v>
      </c>
      <c r="F150" s="61" t="s">
        <v>1003</v>
      </c>
      <c r="G150" s="15" t="s">
        <v>1101</v>
      </c>
      <c r="H150" s="15" t="s">
        <v>1101</v>
      </c>
      <c r="I150" s="13" t="s">
        <v>334</v>
      </c>
      <c r="J150" s="17" t="s">
        <v>208</v>
      </c>
      <c r="K150" s="17" t="s">
        <v>225</v>
      </c>
      <c r="L150" s="17" t="s">
        <v>226</v>
      </c>
      <c r="M150" s="17" t="s">
        <v>227</v>
      </c>
      <c r="N150" s="17" t="s">
        <v>310</v>
      </c>
      <c r="O150" s="18" t="s">
        <v>325</v>
      </c>
      <c r="P150" s="19" t="s">
        <v>496</v>
      </c>
      <c r="Q150" s="19"/>
      <c r="R150" s="20" t="s">
        <v>498</v>
      </c>
    </row>
    <row r="151" spans="1:18" ht="18.95" customHeight="1">
      <c r="A151" s="12" t="s">
        <v>929</v>
      </c>
      <c r="B151" s="13" t="s">
        <v>532</v>
      </c>
      <c r="C151" s="14"/>
      <c r="D151" s="13"/>
      <c r="E151" s="61" t="s">
        <v>727</v>
      </c>
      <c r="F151" s="61" t="s">
        <v>1003</v>
      </c>
      <c r="G151" s="15" t="s">
        <v>1101</v>
      </c>
      <c r="H151" s="15" t="s">
        <v>1101</v>
      </c>
      <c r="I151" s="17" t="s">
        <v>533</v>
      </c>
      <c r="J151" s="17" t="s">
        <v>208</v>
      </c>
      <c r="K151" s="17" t="s">
        <v>225</v>
      </c>
      <c r="L151" s="17" t="s">
        <v>226</v>
      </c>
      <c r="M151" s="17" t="s">
        <v>227</v>
      </c>
      <c r="N151" s="17"/>
      <c r="O151" s="18"/>
      <c r="P151" s="19" t="s">
        <v>496</v>
      </c>
      <c r="Q151" s="19"/>
      <c r="R151" s="20" t="s">
        <v>498</v>
      </c>
    </row>
    <row r="152" spans="1:18" ht="18.95" customHeight="1">
      <c r="A152" s="12" t="s">
        <v>930</v>
      </c>
      <c r="B152" s="13" t="s">
        <v>537</v>
      </c>
      <c r="C152" s="14"/>
      <c r="D152" s="13"/>
      <c r="E152" s="61" t="s">
        <v>727</v>
      </c>
      <c r="F152" s="61" t="s">
        <v>1003</v>
      </c>
      <c r="G152" s="15" t="s">
        <v>1101</v>
      </c>
      <c r="H152" s="15" t="s">
        <v>1101</v>
      </c>
      <c r="I152" s="17" t="s">
        <v>533</v>
      </c>
      <c r="J152" s="17" t="s">
        <v>208</v>
      </c>
      <c r="K152" s="17" t="s">
        <v>225</v>
      </c>
      <c r="L152" s="17" t="s">
        <v>226</v>
      </c>
      <c r="M152" s="17" t="s">
        <v>227</v>
      </c>
      <c r="N152" s="17"/>
      <c r="O152" s="18"/>
      <c r="P152" s="19" t="s">
        <v>496</v>
      </c>
      <c r="Q152" s="19"/>
      <c r="R152" s="20" t="s">
        <v>498</v>
      </c>
    </row>
    <row r="153" spans="1:18" ht="18.95" customHeight="1">
      <c r="A153" s="12" t="s">
        <v>619</v>
      </c>
      <c r="B153" s="13" t="s">
        <v>555</v>
      </c>
      <c r="C153" s="13" t="s">
        <v>648</v>
      </c>
      <c r="D153" s="13" t="s">
        <v>655</v>
      </c>
      <c r="E153" s="52" t="s">
        <v>962</v>
      </c>
      <c r="F153" s="52" t="s">
        <v>961</v>
      </c>
      <c r="G153" s="15"/>
      <c r="H153" s="15"/>
      <c r="I153" s="21" t="s">
        <v>613</v>
      </c>
      <c r="J153" s="17" t="s">
        <v>244</v>
      </c>
      <c r="K153" s="17"/>
      <c r="L153" s="17"/>
      <c r="M153" s="21"/>
      <c r="N153" s="17"/>
      <c r="O153" s="18"/>
      <c r="P153" s="19" t="s">
        <v>496</v>
      </c>
      <c r="Q153" s="19"/>
      <c r="R153" s="20" t="s">
        <v>498</v>
      </c>
    </row>
    <row r="154" spans="1:18" ht="18.95" customHeight="1">
      <c r="A154" s="12" t="s">
        <v>798</v>
      </c>
      <c r="B154" s="13" t="s">
        <v>570</v>
      </c>
      <c r="C154" s="13" t="s">
        <v>800</v>
      </c>
      <c r="D154" s="13" t="s">
        <v>655</v>
      </c>
      <c r="E154" s="52" t="s">
        <v>962</v>
      </c>
      <c r="F154" s="52" t="s">
        <v>980</v>
      </c>
      <c r="G154" s="15"/>
      <c r="H154" s="15"/>
      <c r="I154" s="13" t="s">
        <v>766</v>
      </c>
      <c r="J154" s="17" t="s">
        <v>244</v>
      </c>
      <c r="K154" s="17"/>
      <c r="L154" s="17"/>
      <c r="M154" s="21"/>
      <c r="N154" s="17"/>
      <c r="O154" s="18"/>
      <c r="P154" s="19" t="s">
        <v>496</v>
      </c>
      <c r="Q154" s="19"/>
      <c r="R154" s="20" t="s">
        <v>498</v>
      </c>
    </row>
    <row r="155" spans="1:18" ht="18.95" customHeight="1">
      <c r="A155" s="12" t="s">
        <v>620</v>
      </c>
      <c r="B155" s="13" t="s">
        <v>556</v>
      </c>
      <c r="C155" s="14" t="s">
        <v>649</v>
      </c>
      <c r="D155" s="13" t="s">
        <v>655</v>
      </c>
      <c r="E155" s="52" t="s">
        <v>962</v>
      </c>
      <c r="F155" s="52" t="s">
        <v>961</v>
      </c>
      <c r="G155" s="15"/>
      <c r="H155" s="15"/>
      <c r="I155" s="21" t="s">
        <v>613</v>
      </c>
      <c r="J155" s="17" t="s">
        <v>244</v>
      </c>
      <c r="K155" s="17"/>
      <c r="L155" s="17"/>
      <c r="M155" s="21"/>
      <c r="N155" s="17"/>
      <c r="O155" s="18"/>
      <c r="P155" s="19" t="s">
        <v>496</v>
      </c>
      <c r="Q155" s="19"/>
      <c r="R155" s="20" t="s">
        <v>498</v>
      </c>
    </row>
    <row r="156" spans="1:18" ht="18.95" customHeight="1">
      <c r="A156" s="12" t="s">
        <v>799</v>
      </c>
      <c r="B156" s="13" t="s">
        <v>571</v>
      </c>
      <c r="C156" s="13" t="s">
        <v>801</v>
      </c>
      <c r="D156" s="13" t="s">
        <v>655</v>
      </c>
      <c r="E156" s="52" t="s">
        <v>962</v>
      </c>
      <c r="F156" s="52" t="s">
        <v>980</v>
      </c>
      <c r="G156" s="15"/>
      <c r="H156" s="15"/>
      <c r="I156" s="13" t="s">
        <v>766</v>
      </c>
      <c r="J156" s="17" t="s">
        <v>244</v>
      </c>
      <c r="K156" s="17"/>
      <c r="L156" s="17"/>
      <c r="M156" s="21"/>
      <c r="N156" s="17"/>
      <c r="O156" s="18"/>
      <c r="P156" s="19" t="s">
        <v>496</v>
      </c>
      <c r="Q156" s="19"/>
      <c r="R156" s="20" t="s">
        <v>498</v>
      </c>
    </row>
    <row r="157" spans="1:18" ht="18.95" hidden="1" customHeight="1">
      <c r="A157" s="12" t="s">
        <v>634</v>
      </c>
      <c r="B157" s="13" t="s">
        <v>574</v>
      </c>
      <c r="C157" s="13" t="s">
        <v>660</v>
      </c>
      <c r="D157" s="13"/>
      <c r="E157" s="15" t="s">
        <v>939</v>
      </c>
      <c r="F157" s="15" t="s">
        <v>967</v>
      </c>
      <c r="G157" s="15"/>
      <c r="H157" s="15"/>
      <c r="I157" s="21" t="s">
        <v>613</v>
      </c>
      <c r="J157" s="17" t="s">
        <v>208</v>
      </c>
      <c r="K157" s="17" t="s">
        <v>225</v>
      </c>
      <c r="L157" s="17" t="s">
        <v>226</v>
      </c>
      <c r="M157" s="17" t="s">
        <v>227</v>
      </c>
      <c r="N157" s="17" t="s">
        <v>218</v>
      </c>
      <c r="O157" s="18" t="s">
        <v>219</v>
      </c>
      <c r="P157" s="19" t="s">
        <v>496</v>
      </c>
      <c r="Q157" s="19"/>
      <c r="R157" s="20"/>
    </row>
    <row r="158" spans="1:18" ht="18.95" hidden="1" customHeight="1">
      <c r="A158" s="12" t="s">
        <v>635</v>
      </c>
      <c r="B158" s="13" t="s">
        <v>575</v>
      </c>
      <c r="C158" s="13" t="s">
        <v>661</v>
      </c>
      <c r="D158" s="13"/>
      <c r="E158" s="15" t="s">
        <v>939</v>
      </c>
      <c r="F158" s="15" t="s">
        <v>967</v>
      </c>
      <c r="G158" s="15"/>
      <c r="H158" s="15"/>
      <c r="I158" s="21" t="s">
        <v>613</v>
      </c>
      <c r="J158" s="17" t="s">
        <v>208</v>
      </c>
      <c r="K158" s="17" t="s">
        <v>225</v>
      </c>
      <c r="L158" s="17" t="s">
        <v>226</v>
      </c>
      <c r="M158" s="17" t="s">
        <v>227</v>
      </c>
      <c r="N158" s="17" t="s">
        <v>218</v>
      </c>
      <c r="O158" s="18" t="s">
        <v>219</v>
      </c>
      <c r="P158" s="19" t="s">
        <v>496</v>
      </c>
      <c r="Q158" s="19"/>
      <c r="R158" s="20"/>
    </row>
    <row r="159" spans="1:18" ht="18.95" hidden="1" customHeight="1">
      <c r="A159" s="12" t="s">
        <v>1065</v>
      </c>
      <c r="B159" s="13" t="s">
        <v>576</v>
      </c>
      <c r="C159" s="13" t="s">
        <v>817</v>
      </c>
      <c r="D159" s="13"/>
      <c r="E159" s="15" t="s">
        <v>939</v>
      </c>
      <c r="F159" s="15" t="s">
        <v>967</v>
      </c>
      <c r="G159" s="15"/>
      <c r="H159" s="15"/>
      <c r="I159" s="13" t="s">
        <v>766</v>
      </c>
      <c r="J159" s="17" t="s">
        <v>208</v>
      </c>
      <c r="K159" s="17" t="s">
        <v>225</v>
      </c>
      <c r="L159" s="17" t="s">
        <v>226</v>
      </c>
      <c r="M159" s="17" t="s">
        <v>227</v>
      </c>
      <c r="N159" s="17" t="s">
        <v>337</v>
      </c>
      <c r="O159" s="18" t="s">
        <v>219</v>
      </c>
      <c r="P159" s="19" t="s">
        <v>496</v>
      </c>
      <c r="Q159" s="19" t="s">
        <v>1076</v>
      </c>
      <c r="R159" s="20"/>
    </row>
    <row r="160" spans="1:18" ht="18.95" hidden="1" customHeight="1">
      <c r="A160" s="12" t="s">
        <v>1066</v>
      </c>
      <c r="B160" s="13" t="s">
        <v>577</v>
      </c>
      <c r="C160" s="13" t="s">
        <v>818</v>
      </c>
      <c r="D160" s="13"/>
      <c r="E160" s="15" t="s">
        <v>939</v>
      </c>
      <c r="F160" s="15" t="s">
        <v>967</v>
      </c>
      <c r="G160" s="15"/>
      <c r="H160" s="15"/>
      <c r="I160" s="13" t="s">
        <v>766</v>
      </c>
      <c r="J160" s="17" t="s">
        <v>208</v>
      </c>
      <c r="K160" s="17" t="s">
        <v>225</v>
      </c>
      <c r="L160" s="17" t="s">
        <v>226</v>
      </c>
      <c r="M160" s="17" t="s">
        <v>227</v>
      </c>
      <c r="N160" s="17" t="s">
        <v>337</v>
      </c>
      <c r="O160" s="18" t="s">
        <v>219</v>
      </c>
      <c r="P160" s="19" t="s">
        <v>496</v>
      </c>
      <c r="Q160" s="19" t="s">
        <v>1076</v>
      </c>
      <c r="R160" s="20"/>
    </row>
    <row r="161" spans="1:18" ht="18.95" customHeight="1">
      <c r="A161" s="12" t="s">
        <v>586</v>
      </c>
      <c r="B161" s="13" t="s">
        <v>588</v>
      </c>
      <c r="C161" s="13" t="s">
        <v>854</v>
      </c>
      <c r="D161" s="13"/>
      <c r="E161" s="15" t="s">
        <v>267</v>
      </c>
      <c r="F161" s="16" t="s">
        <v>1007</v>
      </c>
      <c r="G161" s="60" t="s">
        <v>1102</v>
      </c>
      <c r="H161" s="16"/>
      <c r="I161" s="17" t="s">
        <v>512</v>
      </c>
      <c r="J161" s="17" t="s">
        <v>216</v>
      </c>
      <c r="K161" s="13"/>
      <c r="L161" s="17" t="s">
        <v>256</v>
      </c>
      <c r="M161" s="17" t="s">
        <v>210</v>
      </c>
      <c r="N161" s="17"/>
      <c r="O161" s="18"/>
      <c r="P161" s="19" t="s">
        <v>496</v>
      </c>
      <c r="Q161" s="19"/>
      <c r="R161" s="20" t="s">
        <v>498</v>
      </c>
    </row>
    <row r="162" spans="1:18" ht="18.95" customHeight="1">
      <c r="A162" s="12" t="s">
        <v>587</v>
      </c>
      <c r="B162" s="13" t="s">
        <v>589</v>
      </c>
      <c r="C162" s="13" t="s">
        <v>842</v>
      </c>
      <c r="D162" s="13"/>
      <c r="E162" s="15" t="s">
        <v>267</v>
      </c>
      <c r="F162" s="16" t="s">
        <v>1007</v>
      </c>
      <c r="G162" s="60" t="s">
        <v>1102</v>
      </c>
      <c r="H162" s="16"/>
      <c r="I162" s="17" t="s">
        <v>502</v>
      </c>
      <c r="J162" s="17" t="s">
        <v>216</v>
      </c>
      <c r="K162" s="13"/>
      <c r="L162" s="17" t="s">
        <v>256</v>
      </c>
      <c r="M162" s="17" t="s">
        <v>210</v>
      </c>
      <c r="N162" s="17"/>
      <c r="O162" s="18"/>
      <c r="P162" s="19" t="s">
        <v>496</v>
      </c>
      <c r="Q162" s="19"/>
      <c r="R162" s="20" t="s">
        <v>498</v>
      </c>
    </row>
    <row r="163" spans="1:18" ht="18.95" customHeight="1">
      <c r="A163" s="12" t="s">
        <v>367</v>
      </c>
      <c r="B163" s="13" t="s">
        <v>476</v>
      </c>
      <c r="C163" s="13" t="s">
        <v>723</v>
      </c>
      <c r="D163" s="13"/>
      <c r="E163" s="15" t="s">
        <v>267</v>
      </c>
      <c r="F163" s="16" t="s">
        <v>1011</v>
      </c>
      <c r="G163" s="60" t="s">
        <v>1102</v>
      </c>
      <c r="H163" s="16"/>
      <c r="I163" s="13" t="s">
        <v>320</v>
      </c>
      <c r="J163" s="17" t="s">
        <v>216</v>
      </c>
      <c r="K163" s="13"/>
      <c r="L163" s="17" t="s">
        <v>256</v>
      </c>
      <c r="M163" s="17" t="s">
        <v>210</v>
      </c>
      <c r="N163" s="17" t="s">
        <v>310</v>
      </c>
      <c r="O163" s="18" t="s">
        <v>321</v>
      </c>
      <c r="P163" s="19" t="s">
        <v>496</v>
      </c>
      <c r="Q163" s="19"/>
      <c r="R163" s="20" t="s">
        <v>498</v>
      </c>
    </row>
    <row r="164" spans="1:18" ht="18.95" customHeight="1">
      <c r="A164" s="12" t="s">
        <v>477</v>
      </c>
      <c r="B164" s="13" t="s">
        <v>478</v>
      </c>
      <c r="C164" s="13" t="s">
        <v>757</v>
      </c>
      <c r="D164" s="13"/>
      <c r="E164" s="15" t="s">
        <v>267</v>
      </c>
      <c r="F164" s="16" t="s">
        <v>1011</v>
      </c>
      <c r="G164" s="60" t="s">
        <v>1102</v>
      </c>
      <c r="H164" s="16"/>
      <c r="I164" s="13" t="s">
        <v>334</v>
      </c>
      <c r="J164" s="17" t="s">
        <v>216</v>
      </c>
      <c r="K164" s="13"/>
      <c r="L164" s="17" t="s">
        <v>256</v>
      </c>
      <c r="M164" s="17" t="s">
        <v>210</v>
      </c>
      <c r="N164" s="17" t="s">
        <v>310</v>
      </c>
      <c r="O164" s="18" t="s">
        <v>325</v>
      </c>
      <c r="P164" s="19" t="s">
        <v>496</v>
      </c>
      <c r="Q164" s="19"/>
      <c r="R164" s="20" t="s">
        <v>498</v>
      </c>
    </row>
    <row r="165" spans="1:18" ht="18.95" customHeight="1">
      <c r="A165" s="12" t="s">
        <v>269</v>
      </c>
      <c r="B165" s="13" t="s">
        <v>693</v>
      </c>
      <c r="C165" s="13" t="s">
        <v>695</v>
      </c>
      <c r="D165" s="13"/>
      <c r="E165" s="15" t="s">
        <v>267</v>
      </c>
      <c r="F165" s="16" t="s">
        <v>899</v>
      </c>
      <c r="G165" s="60" t="s">
        <v>1102</v>
      </c>
      <c r="H165" s="16"/>
      <c r="I165" s="13" t="s">
        <v>438</v>
      </c>
      <c r="J165" s="17" t="s">
        <v>216</v>
      </c>
      <c r="K165" s="17"/>
      <c r="L165" s="17" t="s">
        <v>1035</v>
      </c>
      <c r="M165" s="17" t="s">
        <v>210</v>
      </c>
      <c r="N165" s="17" t="s">
        <v>259</v>
      </c>
      <c r="O165" s="18" t="s">
        <v>219</v>
      </c>
      <c r="P165" s="19" t="s">
        <v>496</v>
      </c>
      <c r="Q165" s="19"/>
      <c r="R165" s="20" t="s">
        <v>498</v>
      </c>
    </row>
    <row r="166" spans="1:18" ht="18.95" customHeight="1">
      <c r="A166" s="12" t="s">
        <v>290</v>
      </c>
      <c r="B166" s="13" t="s">
        <v>707</v>
      </c>
      <c r="C166" s="44" t="s">
        <v>704</v>
      </c>
      <c r="D166" s="13"/>
      <c r="E166" s="15" t="s">
        <v>267</v>
      </c>
      <c r="F166" s="16" t="s">
        <v>899</v>
      </c>
      <c r="G166" s="60" t="s">
        <v>1102</v>
      </c>
      <c r="H166" s="16"/>
      <c r="I166" s="13" t="s">
        <v>439</v>
      </c>
      <c r="J166" s="17" t="s">
        <v>216</v>
      </c>
      <c r="K166" s="17"/>
      <c r="L166" s="17" t="s">
        <v>1035</v>
      </c>
      <c r="M166" s="17" t="s">
        <v>210</v>
      </c>
      <c r="N166" s="17" t="s">
        <v>283</v>
      </c>
      <c r="O166" s="18" t="s">
        <v>219</v>
      </c>
      <c r="P166" s="19" t="s">
        <v>496</v>
      </c>
      <c r="Q166" s="19"/>
      <c r="R166" s="20" t="s">
        <v>498</v>
      </c>
    </row>
    <row r="167" spans="1:18" ht="18.95" customHeight="1">
      <c r="A167" s="12" t="s">
        <v>266</v>
      </c>
      <c r="B167" s="13" t="s">
        <v>444</v>
      </c>
      <c r="C167" s="44" t="s">
        <v>691</v>
      </c>
      <c r="D167" s="13"/>
      <c r="E167" s="15" t="s">
        <v>267</v>
      </c>
      <c r="F167" s="16" t="s">
        <v>899</v>
      </c>
      <c r="G167" s="60" t="s">
        <v>1102</v>
      </c>
      <c r="H167" s="16"/>
      <c r="I167" s="13" t="s">
        <v>438</v>
      </c>
      <c r="J167" s="17" t="s">
        <v>216</v>
      </c>
      <c r="K167" s="17"/>
      <c r="L167" s="17" t="s">
        <v>1035</v>
      </c>
      <c r="M167" s="17" t="s">
        <v>210</v>
      </c>
      <c r="N167" s="17" t="s">
        <v>259</v>
      </c>
      <c r="O167" s="18" t="s">
        <v>219</v>
      </c>
      <c r="P167" s="19" t="s">
        <v>496</v>
      </c>
      <c r="Q167" s="19"/>
      <c r="R167" s="20" t="s">
        <v>498</v>
      </c>
    </row>
    <row r="168" spans="1:18" ht="18.95" customHeight="1">
      <c r="A168" s="12" t="s">
        <v>288</v>
      </c>
      <c r="B168" s="13" t="s">
        <v>446</v>
      </c>
      <c r="C168" s="44" t="s">
        <v>703</v>
      </c>
      <c r="D168" s="13"/>
      <c r="E168" s="15" t="s">
        <v>267</v>
      </c>
      <c r="F168" s="16" t="s">
        <v>899</v>
      </c>
      <c r="G168" s="60" t="s">
        <v>1102</v>
      </c>
      <c r="H168" s="16"/>
      <c r="I168" s="13" t="s">
        <v>439</v>
      </c>
      <c r="J168" s="17" t="s">
        <v>216</v>
      </c>
      <c r="K168" s="17"/>
      <c r="L168" s="17" t="s">
        <v>1035</v>
      </c>
      <c r="M168" s="17" t="s">
        <v>210</v>
      </c>
      <c r="N168" s="17" t="s">
        <v>283</v>
      </c>
      <c r="O168" s="18" t="s">
        <v>219</v>
      </c>
      <c r="P168" s="19" t="s">
        <v>496</v>
      </c>
      <c r="Q168" s="19"/>
      <c r="R168" s="20" t="s">
        <v>498</v>
      </c>
    </row>
    <row r="169" spans="1:18" ht="18.95" customHeight="1">
      <c r="A169" s="12" t="s">
        <v>270</v>
      </c>
      <c r="B169" s="13" t="s">
        <v>694</v>
      </c>
      <c r="C169" s="44" t="s">
        <v>696</v>
      </c>
      <c r="D169" s="13"/>
      <c r="E169" s="15" t="s">
        <v>267</v>
      </c>
      <c r="F169" s="16" t="s">
        <v>992</v>
      </c>
      <c r="G169" s="60" t="s">
        <v>1102</v>
      </c>
      <c r="H169" s="16"/>
      <c r="I169" s="13" t="s">
        <v>438</v>
      </c>
      <c r="J169" s="17" t="s">
        <v>216</v>
      </c>
      <c r="K169" s="17"/>
      <c r="L169" s="17" t="s">
        <v>1035</v>
      </c>
      <c r="M169" s="17" t="s">
        <v>210</v>
      </c>
      <c r="N169" s="17" t="s">
        <v>259</v>
      </c>
      <c r="O169" s="18" t="s">
        <v>219</v>
      </c>
      <c r="P169" s="19" t="s">
        <v>496</v>
      </c>
      <c r="Q169" s="19"/>
      <c r="R169" s="20" t="s">
        <v>498</v>
      </c>
    </row>
    <row r="170" spans="1:18" ht="18.95" customHeight="1">
      <c r="A170" s="12" t="s">
        <v>291</v>
      </c>
      <c r="B170" s="13" t="s">
        <v>916</v>
      </c>
      <c r="C170" s="44" t="s">
        <v>706</v>
      </c>
      <c r="D170" s="13"/>
      <c r="E170" s="15" t="s">
        <v>267</v>
      </c>
      <c r="F170" s="57" t="s">
        <v>992</v>
      </c>
      <c r="G170" s="60" t="s">
        <v>1102</v>
      </c>
      <c r="H170" s="16"/>
      <c r="I170" s="13" t="s">
        <v>439</v>
      </c>
      <c r="J170" s="17" t="s">
        <v>216</v>
      </c>
      <c r="K170" s="17"/>
      <c r="L170" s="17" t="s">
        <v>1035</v>
      </c>
      <c r="M170" s="17" t="s">
        <v>210</v>
      </c>
      <c r="N170" s="17" t="s">
        <v>283</v>
      </c>
      <c r="O170" s="18" t="s">
        <v>219</v>
      </c>
      <c r="P170" s="19" t="s">
        <v>496</v>
      </c>
      <c r="Q170" s="19"/>
      <c r="R170" s="20" t="s">
        <v>498</v>
      </c>
    </row>
    <row r="171" spans="1:18" ht="18.95" customHeight="1">
      <c r="A171" s="12" t="s">
        <v>268</v>
      </c>
      <c r="B171" s="13" t="s">
        <v>445</v>
      </c>
      <c r="C171" s="44" t="s">
        <v>692</v>
      </c>
      <c r="D171" s="13"/>
      <c r="E171" s="15" t="s">
        <v>267</v>
      </c>
      <c r="F171" s="16" t="s">
        <v>992</v>
      </c>
      <c r="G171" s="60" t="s">
        <v>1102</v>
      </c>
      <c r="H171" s="16"/>
      <c r="I171" s="13" t="s">
        <v>438</v>
      </c>
      <c r="J171" s="17" t="s">
        <v>216</v>
      </c>
      <c r="K171" s="17"/>
      <c r="L171" s="17" t="s">
        <v>1035</v>
      </c>
      <c r="M171" s="17" t="s">
        <v>210</v>
      </c>
      <c r="N171" s="17" t="s">
        <v>259</v>
      </c>
      <c r="O171" s="18" t="s">
        <v>219</v>
      </c>
      <c r="P171" s="19" t="s">
        <v>496</v>
      </c>
      <c r="Q171" s="19"/>
      <c r="R171" s="20" t="s">
        <v>498</v>
      </c>
    </row>
    <row r="172" spans="1:18" ht="18.95" customHeight="1">
      <c r="A172" s="12" t="s">
        <v>289</v>
      </c>
      <c r="B172" s="13" t="s">
        <v>447</v>
      </c>
      <c r="C172" s="45" t="s">
        <v>705</v>
      </c>
      <c r="D172" s="13"/>
      <c r="E172" s="15" t="s">
        <v>267</v>
      </c>
      <c r="F172" s="16" t="s">
        <v>992</v>
      </c>
      <c r="G172" s="60" t="s">
        <v>1102</v>
      </c>
      <c r="H172" s="16"/>
      <c r="I172" s="13" t="s">
        <v>439</v>
      </c>
      <c r="J172" s="17" t="s">
        <v>216</v>
      </c>
      <c r="K172" s="17"/>
      <c r="L172" s="17" t="s">
        <v>1035</v>
      </c>
      <c r="M172" s="17" t="s">
        <v>210</v>
      </c>
      <c r="N172" s="17" t="s">
        <v>283</v>
      </c>
      <c r="O172" s="18" t="s">
        <v>219</v>
      </c>
      <c r="P172" s="19" t="s">
        <v>496</v>
      </c>
      <c r="Q172" s="19"/>
      <c r="R172" s="20" t="s">
        <v>498</v>
      </c>
    </row>
    <row r="173" spans="1:18" ht="18.95" customHeight="1">
      <c r="A173" s="34" t="s">
        <v>370</v>
      </c>
      <c r="B173" s="35" t="s">
        <v>1052</v>
      </c>
      <c r="C173" s="13" t="s">
        <v>1059</v>
      </c>
      <c r="D173" s="35" t="s">
        <v>684</v>
      </c>
      <c r="E173" s="59"/>
      <c r="F173" s="56"/>
      <c r="G173" s="56"/>
      <c r="H173" s="56"/>
      <c r="I173" s="13" t="s">
        <v>1053</v>
      </c>
      <c r="J173" s="36" t="s">
        <v>208</v>
      </c>
      <c r="K173" s="36" t="s">
        <v>225</v>
      </c>
      <c r="L173" s="36" t="s">
        <v>226</v>
      </c>
      <c r="M173" s="36" t="s">
        <v>227</v>
      </c>
      <c r="N173" s="36"/>
      <c r="O173" s="37"/>
      <c r="P173" s="19" t="s">
        <v>495</v>
      </c>
      <c r="Q173" s="19"/>
      <c r="R173" s="20" t="s">
        <v>498</v>
      </c>
    </row>
    <row r="174" spans="1:18" ht="18.95" customHeight="1">
      <c r="A174" s="17" t="s">
        <v>371</v>
      </c>
      <c r="B174" s="13" t="s">
        <v>1054</v>
      </c>
      <c r="C174" s="13" t="s">
        <v>1060</v>
      </c>
      <c r="D174" s="13" t="s">
        <v>684</v>
      </c>
      <c r="E174" s="15"/>
      <c r="F174" s="16"/>
      <c r="G174" s="16"/>
      <c r="H174" s="16"/>
      <c r="I174" s="13" t="s">
        <v>1053</v>
      </c>
      <c r="J174" s="36" t="s">
        <v>208</v>
      </c>
      <c r="K174" s="36" t="s">
        <v>225</v>
      </c>
      <c r="L174" s="36" t="s">
        <v>226</v>
      </c>
      <c r="M174" s="36" t="s">
        <v>227</v>
      </c>
      <c r="N174" s="36"/>
      <c r="O174" s="37"/>
      <c r="P174" s="19" t="s">
        <v>495</v>
      </c>
      <c r="Q174" s="19"/>
      <c r="R174" s="20" t="s">
        <v>498</v>
      </c>
    </row>
    <row r="175" spans="1:18" ht="18.95" customHeight="1">
      <c r="A175" s="12" t="s">
        <v>378</v>
      </c>
      <c r="B175" s="13" t="s">
        <v>379</v>
      </c>
      <c r="C175" s="13" t="s">
        <v>884</v>
      </c>
      <c r="D175" s="13" t="s">
        <v>684</v>
      </c>
      <c r="E175" s="15"/>
      <c r="F175" s="16"/>
      <c r="G175" s="16"/>
      <c r="H175" s="16"/>
      <c r="I175" s="13" t="s">
        <v>384</v>
      </c>
      <c r="J175" s="36" t="s">
        <v>208</v>
      </c>
      <c r="K175" s="36" t="s">
        <v>225</v>
      </c>
      <c r="L175" s="36" t="s">
        <v>226</v>
      </c>
      <c r="M175" s="36" t="s">
        <v>227</v>
      </c>
      <c r="N175" s="36"/>
      <c r="O175" s="37"/>
      <c r="P175" s="19" t="s">
        <v>495</v>
      </c>
      <c r="Q175" s="19"/>
      <c r="R175" s="20" t="s">
        <v>498</v>
      </c>
    </row>
    <row r="176" spans="1:18" ht="18.95" customHeight="1">
      <c r="A176" s="12" t="s">
        <v>380</v>
      </c>
      <c r="B176" s="13" t="s">
        <v>483</v>
      </c>
      <c r="C176" s="13" t="s">
        <v>885</v>
      </c>
      <c r="D176" s="13" t="s">
        <v>684</v>
      </c>
      <c r="E176" s="15"/>
      <c r="F176" s="16"/>
      <c r="G176" s="16"/>
      <c r="H176" s="16"/>
      <c r="I176" s="13" t="s">
        <v>384</v>
      </c>
      <c r="J176" s="36" t="s">
        <v>208</v>
      </c>
      <c r="K176" s="36" t="s">
        <v>225</v>
      </c>
      <c r="L176" s="36" t="s">
        <v>226</v>
      </c>
      <c r="M176" s="36" t="s">
        <v>227</v>
      </c>
      <c r="N176" s="36"/>
      <c r="O176" s="37"/>
      <c r="P176" s="19" t="s">
        <v>495</v>
      </c>
      <c r="Q176" s="19"/>
      <c r="R176" s="20" t="s">
        <v>498</v>
      </c>
    </row>
    <row r="177" spans="1:18" ht="18.95" customHeight="1">
      <c r="A177" s="12" t="s">
        <v>411</v>
      </c>
      <c r="B177" s="13" t="s">
        <v>412</v>
      </c>
      <c r="C177" s="13" t="s">
        <v>886</v>
      </c>
      <c r="D177" s="13" t="s">
        <v>684</v>
      </c>
      <c r="E177" s="15"/>
      <c r="F177" s="16"/>
      <c r="G177" s="16"/>
      <c r="H177" s="16"/>
      <c r="I177" s="13" t="s">
        <v>372</v>
      </c>
      <c r="J177" s="36" t="s">
        <v>208</v>
      </c>
      <c r="K177" s="36" t="s">
        <v>225</v>
      </c>
      <c r="L177" s="36" t="s">
        <v>226</v>
      </c>
      <c r="M177" s="36" t="s">
        <v>227</v>
      </c>
      <c r="N177" s="36"/>
      <c r="O177" s="37"/>
      <c r="P177" s="19" t="s">
        <v>495</v>
      </c>
      <c r="Q177" s="19"/>
      <c r="R177" s="20" t="s">
        <v>498</v>
      </c>
    </row>
    <row r="178" spans="1:18" ht="18.95" hidden="1" customHeight="1">
      <c r="A178" s="12" t="s">
        <v>1033</v>
      </c>
      <c r="B178" s="13" t="s">
        <v>338</v>
      </c>
      <c r="C178" s="13" t="s">
        <v>819</v>
      </c>
      <c r="D178" s="13" t="s">
        <v>663</v>
      </c>
      <c r="E178" s="15" t="s">
        <v>215</v>
      </c>
      <c r="F178" s="15" t="s">
        <v>984</v>
      </c>
      <c r="G178" s="15"/>
      <c r="H178" s="15"/>
      <c r="I178" s="13" t="s">
        <v>766</v>
      </c>
      <c r="J178" s="17" t="s">
        <v>208</v>
      </c>
      <c r="K178" s="13" t="s">
        <v>254</v>
      </c>
      <c r="L178" s="36" t="s">
        <v>226</v>
      </c>
      <c r="M178" s="17" t="s">
        <v>210</v>
      </c>
      <c r="N178" s="17" t="s">
        <v>337</v>
      </c>
      <c r="O178" s="18" t="s">
        <v>219</v>
      </c>
      <c r="P178" s="19" t="s">
        <v>496</v>
      </c>
      <c r="Q178" s="19" t="s">
        <v>952</v>
      </c>
      <c r="R178" s="20"/>
    </row>
    <row r="179" spans="1:18" ht="18.95" customHeight="1">
      <c r="A179" s="12" t="s">
        <v>413</v>
      </c>
      <c r="B179" s="13" t="s">
        <v>381</v>
      </c>
      <c r="C179" s="13" t="s">
        <v>887</v>
      </c>
      <c r="D179" s="13" t="s">
        <v>684</v>
      </c>
      <c r="E179" s="15"/>
      <c r="F179" s="16"/>
      <c r="G179" s="16"/>
      <c r="H179" s="16"/>
      <c r="I179" s="13" t="s">
        <v>372</v>
      </c>
      <c r="J179" s="17" t="s">
        <v>208</v>
      </c>
      <c r="K179" s="17" t="s">
        <v>225</v>
      </c>
      <c r="L179" s="36" t="s">
        <v>226</v>
      </c>
      <c r="M179" s="17" t="s">
        <v>227</v>
      </c>
      <c r="N179" s="17"/>
      <c r="O179" s="18"/>
      <c r="P179" s="19" t="s">
        <v>495</v>
      </c>
      <c r="Q179" s="19"/>
      <c r="R179" s="20" t="s">
        <v>498</v>
      </c>
    </row>
    <row r="180" spans="1:18" ht="18.95" customHeight="1">
      <c r="A180" s="12" t="s">
        <v>375</v>
      </c>
      <c r="B180" s="13" t="s">
        <v>1055</v>
      </c>
      <c r="C180" s="13" t="s">
        <v>1061</v>
      </c>
      <c r="D180" s="13"/>
      <c r="E180" s="15"/>
      <c r="F180" s="16"/>
      <c r="G180" s="16"/>
      <c r="H180" s="16"/>
      <c r="I180" s="13" t="s">
        <v>1053</v>
      </c>
      <c r="J180" s="17" t="s">
        <v>216</v>
      </c>
      <c r="K180" s="13"/>
      <c r="L180" s="36" t="s">
        <v>484</v>
      </c>
      <c r="M180" s="17"/>
      <c r="N180" s="17"/>
      <c r="O180" s="18"/>
      <c r="P180" s="19" t="s">
        <v>495</v>
      </c>
      <c r="Q180" s="19"/>
      <c r="R180" s="20" t="s">
        <v>498</v>
      </c>
    </row>
    <row r="181" spans="1:18" ht="18.95" customHeight="1">
      <c r="A181" s="12" t="s">
        <v>374</v>
      </c>
      <c r="B181" s="13" t="s">
        <v>1056</v>
      </c>
      <c r="C181" s="13" t="s">
        <v>1062</v>
      </c>
      <c r="D181" s="13"/>
      <c r="E181" s="15"/>
      <c r="F181" s="16"/>
      <c r="G181" s="16"/>
      <c r="H181" s="16"/>
      <c r="I181" s="13" t="s">
        <v>1053</v>
      </c>
      <c r="J181" s="17" t="s">
        <v>216</v>
      </c>
      <c r="K181" s="13"/>
      <c r="L181" s="36" t="s">
        <v>484</v>
      </c>
      <c r="M181" s="17"/>
      <c r="N181" s="17"/>
      <c r="O181" s="18"/>
      <c r="P181" s="19" t="s">
        <v>495</v>
      </c>
      <c r="Q181" s="19"/>
      <c r="R181" s="20" t="s">
        <v>498</v>
      </c>
    </row>
    <row r="182" spans="1:18" ht="18.95" customHeight="1">
      <c r="A182" s="12" t="s">
        <v>376</v>
      </c>
      <c r="B182" s="13" t="s">
        <v>1057</v>
      </c>
      <c r="C182" s="13" t="s">
        <v>1063</v>
      </c>
      <c r="D182" s="13"/>
      <c r="E182" s="15"/>
      <c r="F182" s="16"/>
      <c r="G182" s="16"/>
      <c r="H182" s="16"/>
      <c r="I182" s="13" t="s">
        <v>1053</v>
      </c>
      <c r="J182" s="17" t="s">
        <v>216</v>
      </c>
      <c r="K182" s="13"/>
      <c r="L182" s="36" t="s">
        <v>484</v>
      </c>
      <c r="M182" s="17"/>
      <c r="N182" s="17"/>
      <c r="O182" s="18"/>
      <c r="P182" s="19" t="s">
        <v>495</v>
      </c>
      <c r="Q182" s="19"/>
      <c r="R182" s="20" t="s">
        <v>498</v>
      </c>
    </row>
    <row r="183" spans="1:18" ht="18.95" customHeight="1">
      <c r="A183" s="12" t="s">
        <v>390</v>
      </c>
      <c r="B183" s="13" t="s">
        <v>389</v>
      </c>
      <c r="C183" s="13" t="s">
        <v>865</v>
      </c>
      <c r="D183" s="13"/>
      <c r="E183" s="15"/>
      <c r="F183" s="16"/>
      <c r="G183" s="16"/>
      <c r="H183" s="16"/>
      <c r="I183" s="13" t="s">
        <v>384</v>
      </c>
      <c r="J183" s="17" t="s">
        <v>216</v>
      </c>
      <c r="K183" s="13"/>
      <c r="L183" s="36" t="s">
        <v>484</v>
      </c>
      <c r="M183" s="17"/>
      <c r="N183" s="17"/>
      <c r="O183" s="18"/>
      <c r="P183" s="19" t="s">
        <v>495</v>
      </c>
      <c r="Q183" s="19"/>
      <c r="R183" s="20" t="s">
        <v>498</v>
      </c>
    </row>
    <row r="184" spans="1:18" ht="18.95" hidden="1" customHeight="1">
      <c r="A184" s="12" t="s">
        <v>538</v>
      </c>
      <c r="B184" s="13" t="s">
        <v>539</v>
      </c>
      <c r="C184" s="13" t="s">
        <v>820</v>
      </c>
      <c r="D184" s="13" t="s">
        <v>663</v>
      </c>
      <c r="E184" s="15" t="s">
        <v>215</v>
      </c>
      <c r="F184" s="16" t="s">
        <v>985</v>
      </c>
      <c r="G184" s="16"/>
      <c r="H184" s="16"/>
      <c r="I184" s="13" t="s">
        <v>766</v>
      </c>
      <c r="J184" s="17" t="s">
        <v>208</v>
      </c>
      <c r="K184" s="13" t="s">
        <v>254</v>
      </c>
      <c r="L184" s="17" t="s">
        <v>226</v>
      </c>
      <c r="M184" s="17" t="s">
        <v>210</v>
      </c>
      <c r="N184" s="17" t="s">
        <v>337</v>
      </c>
      <c r="O184" s="18" t="s">
        <v>219</v>
      </c>
      <c r="P184" s="19" t="s">
        <v>496</v>
      </c>
      <c r="Q184" s="19" t="s">
        <v>952</v>
      </c>
      <c r="R184" s="20"/>
    </row>
    <row r="185" spans="1:18" ht="18.95" customHeight="1">
      <c r="A185" s="12" t="s">
        <v>396</v>
      </c>
      <c r="B185" s="13" t="s">
        <v>395</v>
      </c>
      <c r="C185" s="13" t="s">
        <v>866</v>
      </c>
      <c r="D185" s="13"/>
      <c r="E185" s="15"/>
      <c r="F185" s="16"/>
      <c r="G185" s="16"/>
      <c r="H185" s="16"/>
      <c r="I185" s="13" t="s">
        <v>384</v>
      </c>
      <c r="J185" s="17" t="s">
        <v>216</v>
      </c>
      <c r="K185" s="13"/>
      <c r="L185" s="17" t="s">
        <v>484</v>
      </c>
      <c r="M185" s="17"/>
      <c r="N185" s="17"/>
      <c r="O185" s="18"/>
      <c r="P185" s="19" t="s">
        <v>495</v>
      </c>
      <c r="Q185" s="19"/>
      <c r="R185" s="20" t="s">
        <v>498</v>
      </c>
    </row>
    <row r="186" spans="1:18" ht="18.95" hidden="1" customHeight="1">
      <c r="A186" s="12" t="s">
        <v>527</v>
      </c>
      <c r="B186" s="13" t="s">
        <v>528</v>
      </c>
      <c r="C186" s="13" t="s">
        <v>821</v>
      </c>
      <c r="D186" s="13" t="s">
        <v>663</v>
      </c>
      <c r="E186" s="15" t="s">
        <v>215</v>
      </c>
      <c r="F186" s="16" t="s">
        <v>985</v>
      </c>
      <c r="G186" s="16"/>
      <c r="H186" s="16"/>
      <c r="I186" s="13" t="s">
        <v>766</v>
      </c>
      <c r="J186" s="17" t="s">
        <v>208</v>
      </c>
      <c r="K186" s="13" t="s">
        <v>254</v>
      </c>
      <c r="L186" s="17" t="s">
        <v>226</v>
      </c>
      <c r="M186" s="17" t="s">
        <v>210</v>
      </c>
      <c r="N186" s="17" t="s">
        <v>337</v>
      </c>
      <c r="O186" s="18" t="s">
        <v>219</v>
      </c>
      <c r="P186" s="19" t="s">
        <v>496</v>
      </c>
      <c r="Q186" s="19" t="s">
        <v>952</v>
      </c>
      <c r="R186" s="20"/>
    </row>
    <row r="187" spans="1:18" ht="18.95" hidden="1" customHeight="1">
      <c r="A187" s="12" t="s">
        <v>523</v>
      </c>
      <c r="B187" s="13" t="s">
        <v>524</v>
      </c>
      <c r="C187" s="13" t="s">
        <v>822</v>
      </c>
      <c r="D187" s="13" t="s">
        <v>663</v>
      </c>
      <c r="E187" s="15" t="s">
        <v>215</v>
      </c>
      <c r="F187" s="16" t="s">
        <v>985</v>
      </c>
      <c r="G187" s="16"/>
      <c r="H187" s="16"/>
      <c r="I187" s="13" t="s">
        <v>766</v>
      </c>
      <c r="J187" s="17" t="s">
        <v>208</v>
      </c>
      <c r="K187" s="13" t="s">
        <v>254</v>
      </c>
      <c r="L187" s="17" t="s">
        <v>226</v>
      </c>
      <c r="M187" s="17" t="s">
        <v>210</v>
      </c>
      <c r="N187" s="17" t="s">
        <v>337</v>
      </c>
      <c r="O187" s="18" t="s">
        <v>219</v>
      </c>
      <c r="P187" s="19" t="s">
        <v>496</v>
      </c>
      <c r="Q187" s="19" t="s">
        <v>952</v>
      </c>
      <c r="R187" s="20"/>
    </row>
    <row r="188" spans="1:18" ht="18.95" hidden="1" customHeight="1">
      <c r="A188" s="12" t="s">
        <v>614</v>
      </c>
      <c r="B188" s="13" t="s">
        <v>559</v>
      </c>
      <c r="C188" s="13" t="s">
        <v>662</v>
      </c>
      <c r="D188" s="13" t="s">
        <v>663</v>
      </c>
      <c r="E188" s="15" t="s">
        <v>215</v>
      </c>
      <c r="F188" s="16" t="s">
        <v>968</v>
      </c>
      <c r="G188" s="16"/>
      <c r="H188" s="16"/>
      <c r="I188" s="21" t="s">
        <v>613</v>
      </c>
      <c r="J188" s="17" t="s">
        <v>208</v>
      </c>
      <c r="K188" s="13" t="s">
        <v>254</v>
      </c>
      <c r="L188" s="17" t="s">
        <v>226</v>
      </c>
      <c r="M188" s="17" t="s">
        <v>210</v>
      </c>
      <c r="N188" s="17" t="s">
        <v>218</v>
      </c>
      <c r="O188" s="18" t="s">
        <v>219</v>
      </c>
      <c r="P188" s="19" t="s">
        <v>496</v>
      </c>
      <c r="Q188" s="19" t="s">
        <v>952</v>
      </c>
      <c r="R188" s="20"/>
    </row>
    <row r="189" spans="1:18" ht="18.95" hidden="1" customHeight="1">
      <c r="A189" s="12" t="s">
        <v>825</v>
      </c>
      <c r="B189" s="13" t="s">
        <v>578</v>
      </c>
      <c r="C189" s="13" t="s">
        <v>823</v>
      </c>
      <c r="D189" s="13" t="s">
        <v>663</v>
      </c>
      <c r="E189" s="15" t="s">
        <v>215</v>
      </c>
      <c r="F189" s="16" t="s">
        <v>985</v>
      </c>
      <c r="G189" s="16"/>
      <c r="H189" s="16"/>
      <c r="I189" s="13" t="s">
        <v>766</v>
      </c>
      <c r="J189" s="17" t="s">
        <v>208</v>
      </c>
      <c r="K189" s="13" t="s">
        <v>254</v>
      </c>
      <c r="L189" s="17" t="s">
        <v>226</v>
      </c>
      <c r="M189" s="17" t="s">
        <v>210</v>
      </c>
      <c r="N189" s="17" t="s">
        <v>337</v>
      </c>
      <c r="O189" s="18" t="s">
        <v>219</v>
      </c>
      <c r="P189" s="19" t="s">
        <v>496</v>
      </c>
      <c r="Q189" s="19" t="s">
        <v>952</v>
      </c>
      <c r="R189" s="20"/>
    </row>
    <row r="190" spans="1:18" ht="18.95" hidden="1" customHeight="1">
      <c r="A190" s="12" t="s">
        <v>220</v>
      </c>
      <c r="B190" s="13" t="s">
        <v>221</v>
      </c>
      <c r="C190" s="13" t="s">
        <v>664</v>
      </c>
      <c r="D190" s="13" t="s">
        <v>663</v>
      </c>
      <c r="E190" s="15" t="s">
        <v>215</v>
      </c>
      <c r="F190" s="16" t="s">
        <v>968</v>
      </c>
      <c r="G190" s="16"/>
      <c r="H190" s="16"/>
      <c r="I190" s="21" t="s">
        <v>613</v>
      </c>
      <c r="J190" s="17" t="s">
        <v>208</v>
      </c>
      <c r="K190" s="13" t="s">
        <v>254</v>
      </c>
      <c r="L190" s="17" t="s">
        <v>226</v>
      </c>
      <c r="M190" s="17" t="s">
        <v>210</v>
      </c>
      <c r="N190" s="17" t="s">
        <v>218</v>
      </c>
      <c r="O190" s="18" t="s">
        <v>219</v>
      </c>
      <c r="P190" s="19" t="s">
        <v>496</v>
      </c>
      <c r="Q190" s="19" t="s">
        <v>952</v>
      </c>
      <c r="R190" s="20"/>
    </row>
    <row r="191" spans="1:18" ht="18.95" hidden="1" customHeight="1">
      <c r="A191" s="12" t="s">
        <v>222</v>
      </c>
      <c r="B191" s="13" t="s">
        <v>223</v>
      </c>
      <c r="C191" s="13" t="s">
        <v>665</v>
      </c>
      <c r="D191" s="13" t="s">
        <v>663</v>
      </c>
      <c r="E191" s="15" t="s">
        <v>215</v>
      </c>
      <c r="F191" s="16" t="s">
        <v>968</v>
      </c>
      <c r="G191" s="16"/>
      <c r="H191" s="16"/>
      <c r="I191" s="21" t="s">
        <v>613</v>
      </c>
      <c r="J191" s="17" t="s">
        <v>208</v>
      </c>
      <c r="K191" s="13" t="s">
        <v>254</v>
      </c>
      <c r="L191" s="17" t="s">
        <v>226</v>
      </c>
      <c r="M191" s="17" t="s">
        <v>210</v>
      </c>
      <c r="N191" s="17" t="s">
        <v>218</v>
      </c>
      <c r="O191" s="18" t="s">
        <v>219</v>
      </c>
      <c r="P191" s="19" t="s">
        <v>496</v>
      </c>
      <c r="Q191" s="19" t="s">
        <v>952</v>
      </c>
      <c r="R191" s="20"/>
    </row>
    <row r="192" spans="1:18" ht="18.95" hidden="1" customHeight="1">
      <c r="A192" s="12" t="s">
        <v>231</v>
      </c>
      <c r="B192" s="13" t="s">
        <v>232</v>
      </c>
      <c r="C192" s="13" t="s">
        <v>666</v>
      </c>
      <c r="D192" s="13" t="s">
        <v>663</v>
      </c>
      <c r="E192" s="15" t="s">
        <v>215</v>
      </c>
      <c r="F192" s="16" t="s">
        <v>968</v>
      </c>
      <c r="G192" s="16"/>
      <c r="H192" s="16"/>
      <c r="I192" s="21" t="s">
        <v>613</v>
      </c>
      <c r="J192" s="17" t="s">
        <v>208</v>
      </c>
      <c r="K192" s="13" t="s">
        <v>254</v>
      </c>
      <c r="L192" s="17" t="s">
        <v>226</v>
      </c>
      <c r="M192" s="17" t="s">
        <v>210</v>
      </c>
      <c r="N192" s="17" t="s">
        <v>218</v>
      </c>
      <c r="O192" s="18" t="s">
        <v>219</v>
      </c>
      <c r="P192" s="19" t="s">
        <v>496</v>
      </c>
      <c r="Q192" s="19"/>
      <c r="R192" s="20"/>
    </row>
    <row r="193" spans="1:18" ht="18.95" hidden="1" customHeight="1">
      <c r="A193" s="12" t="s">
        <v>314</v>
      </c>
      <c r="B193" s="13" t="s">
        <v>456</v>
      </c>
      <c r="C193" s="13" t="s">
        <v>718</v>
      </c>
      <c r="D193" s="13" t="s">
        <v>724</v>
      </c>
      <c r="E193" s="15" t="s">
        <v>215</v>
      </c>
      <c r="F193" s="16" t="s">
        <v>987</v>
      </c>
      <c r="G193" s="16"/>
      <c r="H193" s="16"/>
      <c r="I193" s="13" t="s">
        <v>452</v>
      </c>
      <c r="J193" s="17" t="s">
        <v>216</v>
      </c>
      <c r="K193" s="13"/>
      <c r="L193" s="17" t="s">
        <v>462</v>
      </c>
      <c r="M193" s="17" t="s">
        <v>210</v>
      </c>
      <c r="N193" s="17" t="s">
        <v>310</v>
      </c>
      <c r="O193" s="18" t="s">
        <v>219</v>
      </c>
      <c r="P193" s="19" t="s">
        <v>496</v>
      </c>
      <c r="Q193" s="19"/>
      <c r="R193" s="20"/>
    </row>
    <row r="194" spans="1:18" ht="18.95" hidden="1" customHeight="1">
      <c r="A194" s="12" t="s">
        <v>369</v>
      </c>
      <c r="B194" s="13" t="s">
        <v>458</v>
      </c>
      <c r="C194" s="13" t="s">
        <v>751</v>
      </c>
      <c r="D194" s="13" t="s">
        <v>753</v>
      </c>
      <c r="E194" s="15" t="s">
        <v>215</v>
      </c>
      <c r="F194" s="16" t="s">
        <v>987</v>
      </c>
      <c r="G194" s="16"/>
      <c r="H194" s="16"/>
      <c r="I194" s="13" t="s">
        <v>453</v>
      </c>
      <c r="J194" s="17" t="s">
        <v>216</v>
      </c>
      <c r="K194" s="13"/>
      <c r="L194" s="36" t="s">
        <v>462</v>
      </c>
      <c r="M194" s="17" t="s">
        <v>210</v>
      </c>
      <c r="N194" s="17" t="s">
        <v>310</v>
      </c>
      <c r="O194" s="18" t="s">
        <v>323</v>
      </c>
      <c r="P194" s="19" t="s">
        <v>496</v>
      </c>
      <c r="Q194" s="19"/>
      <c r="R194" s="20"/>
    </row>
    <row r="195" spans="1:18" ht="18.95" hidden="1" customHeight="1">
      <c r="A195" s="12" t="s">
        <v>315</v>
      </c>
      <c r="B195" s="13" t="s">
        <v>457</v>
      </c>
      <c r="C195" s="43" t="s">
        <v>719</v>
      </c>
      <c r="D195" s="13" t="s">
        <v>724</v>
      </c>
      <c r="E195" s="15" t="s">
        <v>215</v>
      </c>
      <c r="F195" s="16" t="s">
        <v>987</v>
      </c>
      <c r="G195" s="16"/>
      <c r="H195" s="16"/>
      <c r="I195" s="13" t="s">
        <v>452</v>
      </c>
      <c r="J195" s="17" t="s">
        <v>216</v>
      </c>
      <c r="K195" s="13"/>
      <c r="L195" s="17" t="s">
        <v>462</v>
      </c>
      <c r="M195" s="17" t="s">
        <v>210</v>
      </c>
      <c r="N195" s="17" t="s">
        <v>310</v>
      </c>
      <c r="O195" s="18" t="s">
        <v>219</v>
      </c>
      <c r="P195" s="19" t="s">
        <v>496</v>
      </c>
      <c r="Q195" s="19"/>
      <c r="R195" s="20"/>
    </row>
    <row r="196" spans="1:18" ht="18.95" hidden="1" customHeight="1">
      <c r="A196" s="12" t="s">
        <v>329</v>
      </c>
      <c r="B196" s="13" t="s">
        <v>459</v>
      </c>
      <c r="C196" s="13" t="s">
        <v>752</v>
      </c>
      <c r="D196" s="13" t="s">
        <v>753</v>
      </c>
      <c r="E196" s="15" t="s">
        <v>215</v>
      </c>
      <c r="F196" s="16" t="s">
        <v>987</v>
      </c>
      <c r="G196" s="16"/>
      <c r="H196" s="16"/>
      <c r="I196" s="13" t="s">
        <v>453</v>
      </c>
      <c r="J196" s="17" t="s">
        <v>216</v>
      </c>
      <c r="K196" s="13"/>
      <c r="L196" s="17" t="s">
        <v>462</v>
      </c>
      <c r="M196" s="17" t="s">
        <v>210</v>
      </c>
      <c r="N196" s="17" t="s">
        <v>310</v>
      </c>
      <c r="O196" s="18" t="s">
        <v>323</v>
      </c>
      <c r="P196" s="19" t="s">
        <v>496</v>
      </c>
      <c r="Q196" s="19"/>
      <c r="R196" s="20"/>
    </row>
    <row r="197" spans="1:18" ht="18.95" hidden="1" customHeight="1">
      <c r="A197" s="12" t="s">
        <v>316</v>
      </c>
      <c r="B197" s="13" t="s">
        <v>461</v>
      </c>
      <c r="C197" s="43" t="s">
        <v>720</v>
      </c>
      <c r="D197" s="13" t="s">
        <v>663</v>
      </c>
      <c r="E197" s="15" t="s">
        <v>215</v>
      </c>
      <c r="F197" s="16" t="s">
        <v>987</v>
      </c>
      <c r="G197" s="16"/>
      <c r="H197" s="16"/>
      <c r="I197" s="13" t="s">
        <v>452</v>
      </c>
      <c r="J197" s="17" t="s">
        <v>208</v>
      </c>
      <c r="K197" s="13" t="s">
        <v>254</v>
      </c>
      <c r="L197" s="17" t="s">
        <v>226</v>
      </c>
      <c r="M197" s="17" t="s">
        <v>210</v>
      </c>
      <c r="N197" s="17" t="s">
        <v>310</v>
      </c>
      <c r="O197" s="18" t="s">
        <v>219</v>
      </c>
      <c r="P197" s="19" t="s">
        <v>496</v>
      </c>
      <c r="Q197" s="19" t="s">
        <v>952</v>
      </c>
      <c r="R197" s="20"/>
    </row>
    <row r="198" spans="1:18" ht="18.95" hidden="1" customHeight="1">
      <c r="A198" s="12" t="s">
        <v>330</v>
      </c>
      <c r="B198" s="13" t="s">
        <v>460</v>
      </c>
      <c r="C198" s="13" t="s">
        <v>754</v>
      </c>
      <c r="D198" s="13"/>
      <c r="E198" s="15" t="s">
        <v>215</v>
      </c>
      <c r="F198" s="16" t="s">
        <v>987</v>
      </c>
      <c r="G198" s="16"/>
      <c r="H198" s="16"/>
      <c r="I198" s="13" t="s">
        <v>453</v>
      </c>
      <c r="J198" s="17" t="s">
        <v>208</v>
      </c>
      <c r="K198" s="13" t="s">
        <v>254</v>
      </c>
      <c r="L198" s="17" t="s">
        <v>226</v>
      </c>
      <c r="M198" s="17" t="s">
        <v>210</v>
      </c>
      <c r="N198" s="17" t="s">
        <v>310</v>
      </c>
      <c r="O198" s="18" t="s">
        <v>323</v>
      </c>
      <c r="P198" s="19" t="s">
        <v>496</v>
      </c>
      <c r="Q198" s="19" t="s">
        <v>952</v>
      </c>
      <c r="R198" s="20"/>
    </row>
    <row r="199" spans="1:18" ht="18.95" hidden="1" customHeight="1">
      <c r="A199" s="12" t="s">
        <v>725</v>
      </c>
      <c r="B199" s="13" t="s">
        <v>738</v>
      </c>
      <c r="C199" s="45" t="s">
        <v>760</v>
      </c>
      <c r="D199" s="13" t="s">
        <v>724</v>
      </c>
      <c r="E199" s="15" t="s">
        <v>215</v>
      </c>
      <c r="F199" s="16" t="s">
        <v>987</v>
      </c>
      <c r="G199" s="16"/>
      <c r="H199" s="16"/>
      <c r="I199" s="13" t="s">
        <v>452</v>
      </c>
      <c r="J199" s="17" t="s">
        <v>216</v>
      </c>
      <c r="K199" s="13"/>
      <c r="L199" s="17" t="s">
        <v>462</v>
      </c>
      <c r="M199" s="17" t="s">
        <v>210</v>
      </c>
      <c r="N199" s="17" t="s">
        <v>310</v>
      </c>
      <c r="O199" s="18" t="s">
        <v>219</v>
      </c>
      <c r="P199" s="19" t="s">
        <v>496</v>
      </c>
      <c r="Q199" s="19"/>
      <c r="R199" s="20"/>
    </row>
    <row r="200" spans="1:18" ht="18.95" hidden="1" customHeight="1">
      <c r="A200" s="12" t="s">
        <v>736</v>
      </c>
      <c r="B200" s="13" t="s">
        <v>915</v>
      </c>
      <c r="C200" s="45" t="s">
        <v>758</v>
      </c>
      <c r="D200" s="13" t="s">
        <v>724</v>
      </c>
      <c r="E200" s="15" t="s">
        <v>215</v>
      </c>
      <c r="F200" s="16" t="s">
        <v>987</v>
      </c>
      <c r="G200" s="16"/>
      <c r="H200" s="16"/>
      <c r="I200" s="13" t="s">
        <v>453</v>
      </c>
      <c r="J200" s="17" t="s">
        <v>216</v>
      </c>
      <c r="K200" s="13"/>
      <c r="L200" s="17" t="s">
        <v>462</v>
      </c>
      <c r="M200" s="17" t="s">
        <v>210</v>
      </c>
      <c r="N200" s="17" t="s">
        <v>310</v>
      </c>
      <c r="O200" s="18" t="s">
        <v>323</v>
      </c>
      <c r="P200" s="19" t="s">
        <v>496</v>
      </c>
      <c r="Q200" s="19"/>
      <c r="R200" s="20"/>
    </row>
    <row r="201" spans="1:18" ht="18.95" hidden="1" customHeight="1">
      <c r="A201" s="12" t="s">
        <v>615</v>
      </c>
      <c r="B201" s="13" t="s">
        <v>560</v>
      </c>
      <c r="C201" s="13" t="s">
        <v>667</v>
      </c>
      <c r="D201" s="13" t="s">
        <v>663</v>
      </c>
      <c r="E201" s="15" t="s">
        <v>215</v>
      </c>
      <c r="F201" s="16" t="s">
        <v>968</v>
      </c>
      <c r="G201" s="16"/>
      <c r="H201" s="16"/>
      <c r="I201" s="21" t="s">
        <v>613</v>
      </c>
      <c r="J201" s="17" t="s">
        <v>208</v>
      </c>
      <c r="K201" s="13" t="s">
        <v>254</v>
      </c>
      <c r="L201" s="17" t="s">
        <v>226</v>
      </c>
      <c r="M201" s="17" t="s">
        <v>210</v>
      </c>
      <c r="N201" s="17" t="s">
        <v>218</v>
      </c>
      <c r="O201" s="18" t="s">
        <v>219</v>
      </c>
      <c r="P201" s="19" t="s">
        <v>496</v>
      </c>
      <c r="Q201" s="19" t="s">
        <v>952</v>
      </c>
      <c r="R201" s="20"/>
    </row>
    <row r="202" spans="1:18" ht="18.95" hidden="1" customHeight="1">
      <c r="A202" s="12" t="s">
        <v>826</v>
      </c>
      <c r="B202" s="13" t="s">
        <v>579</v>
      </c>
      <c r="C202" s="13" t="s">
        <v>824</v>
      </c>
      <c r="D202" s="13" t="s">
        <v>663</v>
      </c>
      <c r="E202" s="15" t="s">
        <v>215</v>
      </c>
      <c r="F202" s="16" t="s">
        <v>985</v>
      </c>
      <c r="G202" s="16"/>
      <c r="H202" s="16"/>
      <c r="I202" s="13" t="s">
        <v>766</v>
      </c>
      <c r="J202" s="17" t="s">
        <v>208</v>
      </c>
      <c r="K202" s="13" t="s">
        <v>254</v>
      </c>
      <c r="L202" s="17" t="s">
        <v>226</v>
      </c>
      <c r="M202" s="17" t="s">
        <v>210</v>
      </c>
      <c r="N202" s="17" t="s">
        <v>337</v>
      </c>
      <c r="O202" s="18" t="s">
        <v>219</v>
      </c>
      <c r="P202" s="19" t="s">
        <v>496</v>
      </c>
      <c r="Q202" s="19" t="s">
        <v>952</v>
      </c>
      <c r="R202" s="20"/>
    </row>
    <row r="203" spans="1:18" ht="18.95" hidden="1" customHeight="1">
      <c r="A203" s="12" t="s">
        <v>728</v>
      </c>
      <c r="B203" s="13" t="s">
        <v>729</v>
      </c>
      <c r="C203" s="45" t="s">
        <v>730</v>
      </c>
      <c r="D203" s="13" t="s">
        <v>759</v>
      </c>
      <c r="E203" s="15" t="s">
        <v>215</v>
      </c>
      <c r="F203" s="16" t="s">
        <v>987</v>
      </c>
      <c r="G203" s="16"/>
      <c r="H203" s="16"/>
      <c r="I203" s="13" t="s">
        <v>452</v>
      </c>
      <c r="J203" s="17" t="s">
        <v>208</v>
      </c>
      <c r="K203" s="13" t="s">
        <v>254</v>
      </c>
      <c r="L203" s="17" t="s">
        <v>226</v>
      </c>
      <c r="M203" s="17" t="s">
        <v>210</v>
      </c>
      <c r="N203" s="17" t="s">
        <v>310</v>
      </c>
      <c r="O203" s="18" t="s">
        <v>219</v>
      </c>
      <c r="P203" s="19" t="s">
        <v>496</v>
      </c>
      <c r="Q203" s="19"/>
      <c r="R203" s="20"/>
    </row>
    <row r="204" spans="1:18" ht="18.95" hidden="1" customHeight="1">
      <c r="A204" s="12" t="s">
        <v>737</v>
      </c>
      <c r="B204" s="13" t="s">
        <v>936</v>
      </c>
      <c r="C204" s="45" t="s">
        <v>739</v>
      </c>
      <c r="D204" s="13" t="s">
        <v>759</v>
      </c>
      <c r="E204" s="15" t="s">
        <v>215</v>
      </c>
      <c r="F204" s="16" t="s">
        <v>987</v>
      </c>
      <c r="G204" s="16"/>
      <c r="H204" s="16"/>
      <c r="I204" s="13" t="s">
        <v>453</v>
      </c>
      <c r="J204" s="17" t="s">
        <v>208</v>
      </c>
      <c r="K204" s="13" t="s">
        <v>254</v>
      </c>
      <c r="L204" s="17" t="s">
        <v>226</v>
      </c>
      <c r="M204" s="17" t="s">
        <v>210</v>
      </c>
      <c r="N204" s="17" t="s">
        <v>310</v>
      </c>
      <c r="O204" s="18" t="s">
        <v>323</v>
      </c>
      <c r="P204" s="19" t="s">
        <v>496</v>
      </c>
      <c r="Q204" s="19"/>
      <c r="R204" s="20"/>
    </row>
    <row r="205" spans="1:18" ht="18.95" hidden="1" customHeight="1">
      <c r="A205" s="12" t="s">
        <v>309</v>
      </c>
      <c r="B205" s="13" t="s">
        <v>463</v>
      </c>
      <c r="C205" s="13" t="s">
        <v>721</v>
      </c>
      <c r="D205" s="13" t="s">
        <v>663</v>
      </c>
      <c r="E205" s="15" t="s">
        <v>215</v>
      </c>
      <c r="F205" s="16" t="s">
        <v>968</v>
      </c>
      <c r="G205" s="16"/>
      <c r="H205" s="16"/>
      <c r="I205" s="13" t="s">
        <v>452</v>
      </c>
      <c r="J205" s="17" t="s">
        <v>208</v>
      </c>
      <c r="K205" s="13" t="s">
        <v>254</v>
      </c>
      <c r="L205" s="17" t="s">
        <v>226</v>
      </c>
      <c r="M205" s="17" t="s">
        <v>210</v>
      </c>
      <c r="N205" s="17" t="s">
        <v>310</v>
      </c>
      <c r="O205" s="18" t="s">
        <v>219</v>
      </c>
      <c r="P205" s="19" t="s">
        <v>496</v>
      </c>
      <c r="Q205" s="19" t="s">
        <v>952</v>
      </c>
      <c r="R205" s="20"/>
    </row>
    <row r="206" spans="1:18" ht="18.95" hidden="1" customHeight="1">
      <c r="A206" s="12" t="s">
        <v>324</v>
      </c>
      <c r="B206" s="13" t="s">
        <v>591</v>
      </c>
      <c r="C206" s="13" t="s">
        <v>755</v>
      </c>
      <c r="D206" s="13" t="s">
        <v>663</v>
      </c>
      <c r="E206" s="15" t="s">
        <v>215</v>
      </c>
      <c r="F206" s="16" t="s">
        <v>968</v>
      </c>
      <c r="G206" s="16"/>
      <c r="H206" s="16"/>
      <c r="I206" s="13" t="s">
        <v>453</v>
      </c>
      <c r="J206" s="17" t="s">
        <v>208</v>
      </c>
      <c r="K206" s="13" t="s">
        <v>254</v>
      </c>
      <c r="L206" s="17" t="s">
        <v>226</v>
      </c>
      <c r="M206" s="17" t="s">
        <v>210</v>
      </c>
      <c r="N206" s="17" t="s">
        <v>310</v>
      </c>
      <c r="O206" s="18" t="s">
        <v>323</v>
      </c>
      <c r="P206" s="19" t="s">
        <v>496</v>
      </c>
      <c r="Q206" s="19" t="s">
        <v>952</v>
      </c>
      <c r="R206" s="20"/>
    </row>
    <row r="207" spans="1:18" ht="18.95" hidden="1" customHeight="1">
      <c r="A207" s="12" t="s">
        <v>317</v>
      </c>
      <c r="B207" s="13" t="s">
        <v>544</v>
      </c>
      <c r="C207" s="13" t="s">
        <v>722</v>
      </c>
      <c r="D207" s="13" t="s">
        <v>663</v>
      </c>
      <c r="E207" s="15" t="s">
        <v>215</v>
      </c>
      <c r="F207" s="16" t="s">
        <v>968</v>
      </c>
      <c r="G207" s="16"/>
      <c r="H207" s="16"/>
      <c r="I207" s="13" t="s">
        <v>452</v>
      </c>
      <c r="J207" s="17" t="s">
        <v>208</v>
      </c>
      <c r="K207" s="13" t="s">
        <v>254</v>
      </c>
      <c r="L207" s="17" t="s">
        <v>226</v>
      </c>
      <c r="M207" s="17" t="s">
        <v>210</v>
      </c>
      <c r="N207" s="17" t="s">
        <v>310</v>
      </c>
      <c r="O207" s="18" t="s">
        <v>219</v>
      </c>
      <c r="P207" s="19" t="s">
        <v>496</v>
      </c>
      <c r="Q207" s="19"/>
      <c r="R207" s="20"/>
    </row>
    <row r="208" spans="1:18" ht="18.95" hidden="1" customHeight="1">
      <c r="A208" s="12" t="s">
        <v>331</v>
      </c>
      <c r="B208" s="13" t="s">
        <v>545</v>
      </c>
      <c r="C208" s="13" t="s">
        <v>756</v>
      </c>
      <c r="D208" s="13" t="s">
        <v>663</v>
      </c>
      <c r="E208" s="15" t="s">
        <v>215</v>
      </c>
      <c r="F208" s="16" t="s">
        <v>968</v>
      </c>
      <c r="G208" s="16"/>
      <c r="H208" s="16"/>
      <c r="I208" s="13" t="s">
        <v>453</v>
      </c>
      <c r="J208" s="17" t="s">
        <v>208</v>
      </c>
      <c r="K208" s="13" t="s">
        <v>254</v>
      </c>
      <c r="L208" s="17" t="s">
        <v>226</v>
      </c>
      <c r="M208" s="17" t="s">
        <v>210</v>
      </c>
      <c r="N208" s="17" t="s">
        <v>310</v>
      </c>
      <c r="O208" s="18" t="s">
        <v>323</v>
      </c>
      <c r="P208" s="19" t="s">
        <v>496</v>
      </c>
      <c r="Q208" s="19"/>
      <c r="R208" s="20"/>
    </row>
    <row r="209" spans="1:18" ht="18.95" hidden="1" customHeight="1">
      <c r="A209" s="12" t="s">
        <v>616</v>
      </c>
      <c r="B209" s="13" t="s">
        <v>561</v>
      </c>
      <c r="C209" s="13" t="s">
        <v>668</v>
      </c>
      <c r="D209" s="13" t="s">
        <v>663</v>
      </c>
      <c r="E209" s="15" t="s">
        <v>215</v>
      </c>
      <c r="F209" s="16" t="s">
        <v>968</v>
      </c>
      <c r="G209" s="16"/>
      <c r="H209" s="16"/>
      <c r="I209" s="21" t="s">
        <v>613</v>
      </c>
      <c r="J209" s="17" t="s">
        <v>208</v>
      </c>
      <c r="K209" s="13" t="s">
        <v>254</v>
      </c>
      <c r="L209" s="17" t="s">
        <v>226</v>
      </c>
      <c r="M209" s="17" t="s">
        <v>210</v>
      </c>
      <c r="N209" s="17" t="s">
        <v>218</v>
      </c>
      <c r="O209" s="18" t="s">
        <v>219</v>
      </c>
      <c r="P209" s="19" t="s">
        <v>496</v>
      </c>
      <c r="Q209" s="19"/>
      <c r="R209" s="20"/>
    </row>
    <row r="210" spans="1:18" ht="18.95" hidden="1" customHeight="1">
      <c r="A210" s="12" t="s">
        <v>827</v>
      </c>
      <c r="B210" s="13" t="s">
        <v>580</v>
      </c>
      <c r="C210" s="13" t="s">
        <v>1048</v>
      </c>
      <c r="D210" s="13" t="s">
        <v>663</v>
      </c>
      <c r="E210" s="15" t="s">
        <v>215</v>
      </c>
      <c r="F210" s="16" t="s">
        <v>985</v>
      </c>
      <c r="G210" s="16"/>
      <c r="H210" s="16"/>
      <c r="I210" s="13" t="s">
        <v>766</v>
      </c>
      <c r="J210" s="17" t="s">
        <v>208</v>
      </c>
      <c r="K210" s="13" t="s">
        <v>254</v>
      </c>
      <c r="L210" s="17" t="s">
        <v>226</v>
      </c>
      <c r="M210" s="17" t="s">
        <v>210</v>
      </c>
      <c r="N210" s="17" t="s">
        <v>337</v>
      </c>
      <c r="O210" s="18" t="s">
        <v>219</v>
      </c>
      <c r="P210" s="19" t="s">
        <v>496</v>
      </c>
      <c r="Q210" s="19"/>
      <c r="R210" s="20"/>
    </row>
    <row r="211" spans="1:18" ht="18.95" hidden="1" customHeight="1">
      <c r="A211" s="12" t="s">
        <v>617</v>
      </c>
      <c r="B211" s="13" t="s">
        <v>562</v>
      </c>
      <c r="C211" s="13" t="s">
        <v>669</v>
      </c>
      <c r="D211" s="13" t="s">
        <v>670</v>
      </c>
      <c r="E211" s="15" t="s">
        <v>215</v>
      </c>
      <c r="F211" s="16" t="s">
        <v>968</v>
      </c>
      <c r="G211" s="16"/>
      <c r="H211" s="16"/>
      <c r="I211" s="21" t="s">
        <v>613</v>
      </c>
      <c r="J211" s="17" t="s">
        <v>216</v>
      </c>
      <c r="K211" s="13"/>
      <c r="L211" s="17" t="s">
        <v>217</v>
      </c>
      <c r="M211" s="17" t="s">
        <v>210</v>
      </c>
      <c r="N211" s="17" t="s">
        <v>218</v>
      </c>
      <c r="O211" s="18" t="s">
        <v>219</v>
      </c>
      <c r="P211" s="19" t="s">
        <v>496</v>
      </c>
      <c r="Q211" s="19"/>
      <c r="R211" s="20"/>
    </row>
    <row r="212" spans="1:18" ht="18.95" hidden="1" customHeight="1">
      <c r="A212" s="12" t="s">
        <v>828</v>
      </c>
      <c r="B212" s="13" t="s">
        <v>581</v>
      </c>
      <c r="C212" s="13" t="s">
        <v>1049</v>
      </c>
      <c r="D212" s="13" t="s">
        <v>753</v>
      </c>
      <c r="E212" s="15" t="s">
        <v>215</v>
      </c>
      <c r="F212" s="16" t="s">
        <v>985</v>
      </c>
      <c r="G212" s="16"/>
      <c r="H212" s="16"/>
      <c r="I212" s="13" t="s">
        <v>766</v>
      </c>
      <c r="J212" s="17" t="s">
        <v>216</v>
      </c>
      <c r="K212" s="13"/>
      <c r="L212" s="17" t="s">
        <v>1037</v>
      </c>
      <c r="M212" s="17" t="s">
        <v>210</v>
      </c>
      <c r="N212" s="17" t="s">
        <v>337</v>
      </c>
      <c r="O212" s="18" t="s">
        <v>219</v>
      </c>
      <c r="P212" s="19" t="s">
        <v>496</v>
      </c>
      <c r="Q212" s="19" t="s">
        <v>952</v>
      </c>
      <c r="R212" s="20"/>
    </row>
    <row r="213" spans="1:18" ht="18.95" hidden="1" customHeight="1">
      <c r="A213" s="12" t="s">
        <v>228</v>
      </c>
      <c r="B213" s="13" t="s">
        <v>229</v>
      </c>
      <c r="C213" s="13" t="s">
        <v>671</v>
      </c>
      <c r="D213" s="13" t="s">
        <v>663</v>
      </c>
      <c r="E213" s="15" t="s">
        <v>215</v>
      </c>
      <c r="F213" s="16" t="s">
        <v>968</v>
      </c>
      <c r="G213" s="16"/>
      <c r="H213" s="16"/>
      <c r="I213" s="21" t="s">
        <v>613</v>
      </c>
      <c r="J213" s="17" t="s">
        <v>208</v>
      </c>
      <c r="K213" s="13" t="s">
        <v>254</v>
      </c>
      <c r="L213" s="17" t="s">
        <v>226</v>
      </c>
      <c r="M213" s="17" t="s">
        <v>210</v>
      </c>
      <c r="N213" s="17" t="s">
        <v>218</v>
      </c>
      <c r="O213" s="18" t="s">
        <v>219</v>
      </c>
      <c r="P213" s="19" t="s">
        <v>496</v>
      </c>
      <c r="Q213" s="19" t="s">
        <v>952</v>
      </c>
      <c r="R213" s="20"/>
    </row>
    <row r="214" spans="1:18" ht="18.95" hidden="1" customHeight="1">
      <c r="A214" s="12" t="s">
        <v>230</v>
      </c>
      <c r="B214" s="13" t="s">
        <v>1067</v>
      </c>
      <c r="C214" s="13" t="s">
        <v>672</v>
      </c>
      <c r="D214" s="13" t="s">
        <v>663</v>
      </c>
      <c r="E214" s="15" t="s">
        <v>215</v>
      </c>
      <c r="F214" s="16" t="s">
        <v>968</v>
      </c>
      <c r="G214" s="16"/>
      <c r="H214" s="16"/>
      <c r="I214" s="21" t="s">
        <v>613</v>
      </c>
      <c r="J214" s="17" t="s">
        <v>208</v>
      </c>
      <c r="K214" s="13" t="s">
        <v>254</v>
      </c>
      <c r="L214" s="17" t="s">
        <v>226</v>
      </c>
      <c r="M214" s="17" t="s">
        <v>210</v>
      </c>
      <c r="N214" s="17" t="s">
        <v>218</v>
      </c>
      <c r="O214" s="18" t="s">
        <v>219</v>
      </c>
      <c r="P214" s="19" t="s">
        <v>496</v>
      </c>
      <c r="Q214" s="19" t="s">
        <v>952</v>
      </c>
      <c r="R214" s="20"/>
    </row>
    <row r="215" spans="1:18" ht="18.95" customHeight="1">
      <c r="A215" s="12" t="s">
        <v>392</v>
      </c>
      <c r="B215" s="13" t="s">
        <v>485</v>
      </c>
      <c r="C215" s="13" t="s">
        <v>867</v>
      </c>
      <c r="D215" s="13"/>
      <c r="E215" s="15"/>
      <c r="F215" s="16"/>
      <c r="G215" s="16"/>
      <c r="H215" s="16"/>
      <c r="I215" s="13" t="s">
        <v>384</v>
      </c>
      <c r="J215" s="17" t="s">
        <v>216</v>
      </c>
      <c r="K215" s="13"/>
      <c r="L215" s="17" t="s">
        <v>484</v>
      </c>
      <c r="M215" s="17"/>
      <c r="N215" s="17"/>
      <c r="O215" s="18"/>
      <c r="P215" s="19" t="s">
        <v>495</v>
      </c>
      <c r="Q215" s="19"/>
      <c r="R215" s="20" t="s">
        <v>498</v>
      </c>
    </row>
    <row r="216" spans="1:18" ht="18.95" hidden="1" customHeight="1">
      <c r="A216" s="12" t="s">
        <v>673</v>
      </c>
      <c r="B216" s="13" t="s">
        <v>1045</v>
      </c>
      <c r="C216" s="13" t="s">
        <v>674</v>
      </c>
      <c r="D216" s="13" t="s">
        <v>663</v>
      </c>
      <c r="E216" s="15" t="s">
        <v>215</v>
      </c>
      <c r="F216" s="16" t="s">
        <v>968</v>
      </c>
      <c r="G216" s="16"/>
      <c r="H216" s="16"/>
      <c r="I216" s="21" t="s">
        <v>613</v>
      </c>
      <c r="J216" s="17" t="s">
        <v>208</v>
      </c>
      <c r="K216" s="13" t="s">
        <v>254</v>
      </c>
      <c r="L216" s="17" t="s">
        <v>226</v>
      </c>
      <c r="M216" s="17" t="s">
        <v>210</v>
      </c>
      <c r="N216" s="17" t="s">
        <v>218</v>
      </c>
      <c r="O216" s="18" t="s">
        <v>219</v>
      </c>
      <c r="P216" s="19" t="s">
        <v>496</v>
      </c>
      <c r="Q216" s="19" t="s">
        <v>952</v>
      </c>
      <c r="R216" s="20"/>
    </row>
    <row r="217" spans="1:18" ht="18.95" hidden="1" customHeight="1">
      <c r="A217" s="12" t="s">
        <v>829</v>
      </c>
      <c r="B217" s="13" t="s">
        <v>1046</v>
      </c>
      <c r="C217" s="13" t="s">
        <v>1047</v>
      </c>
      <c r="D217" s="13"/>
      <c r="E217" s="15" t="s">
        <v>215</v>
      </c>
      <c r="F217" s="16" t="s">
        <v>985</v>
      </c>
      <c r="G217" s="16"/>
      <c r="H217" s="16"/>
      <c r="I217" s="13" t="s">
        <v>766</v>
      </c>
      <c r="J217" s="17" t="s">
        <v>208</v>
      </c>
      <c r="K217" s="13" t="s">
        <v>254</v>
      </c>
      <c r="L217" s="17" t="s">
        <v>226</v>
      </c>
      <c r="M217" s="17" t="s">
        <v>210</v>
      </c>
      <c r="N217" s="17" t="s">
        <v>337</v>
      </c>
      <c r="O217" s="18" t="s">
        <v>219</v>
      </c>
      <c r="P217" s="19" t="s">
        <v>496</v>
      </c>
      <c r="Q217" s="19" t="s">
        <v>952</v>
      </c>
      <c r="R217" s="20"/>
    </row>
    <row r="218" spans="1:18" ht="18.95" hidden="1" customHeight="1">
      <c r="A218" s="12" t="s">
        <v>606</v>
      </c>
      <c r="B218" s="13" t="s">
        <v>682</v>
      </c>
      <c r="C218" s="13" t="s">
        <v>679</v>
      </c>
      <c r="D218" s="13" t="s">
        <v>685</v>
      </c>
      <c r="E218" s="15" t="s">
        <v>215</v>
      </c>
      <c r="F218" s="13" t="s">
        <v>968</v>
      </c>
      <c r="G218" s="13"/>
      <c r="H218" s="13"/>
      <c r="I218" s="17" t="s">
        <v>603</v>
      </c>
      <c r="J218" s="17" t="s">
        <v>216</v>
      </c>
      <c r="K218" s="13"/>
      <c r="L218" s="17" t="s">
        <v>217</v>
      </c>
      <c r="M218" s="17" t="s">
        <v>210</v>
      </c>
      <c r="N218" s="17" t="s">
        <v>255</v>
      </c>
      <c r="O218" s="18" t="s">
        <v>219</v>
      </c>
      <c r="P218" s="19" t="s">
        <v>496</v>
      </c>
      <c r="Q218" s="19" t="s">
        <v>952</v>
      </c>
      <c r="R218" s="20"/>
    </row>
    <row r="219" spans="1:18" ht="18.95" hidden="1" customHeight="1">
      <c r="A219" s="12" t="s">
        <v>780</v>
      </c>
      <c r="B219" s="13" t="s">
        <v>425</v>
      </c>
      <c r="C219" s="13" t="s">
        <v>773</v>
      </c>
      <c r="D219" s="13" t="s">
        <v>776</v>
      </c>
      <c r="E219" s="15" t="s">
        <v>215</v>
      </c>
      <c r="F219" s="16" t="s">
        <v>997</v>
      </c>
      <c r="G219" s="16"/>
      <c r="H219" s="16"/>
      <c r="I219" s="17" t="s">
        <v>767</v>
      </c>
      <c r="J219" s="17" t="s">
        <v>216</v>
      </c>
      <c r="K219" s="13"/>
      <c r="L219" s="17" t="s">
        <v>1037</v>
      </c>
      <c r="M219" s="17" t="s">
        <v>210</v>
      </c>
      <c r="N219" s="17" t="s">
        <v>336</v>
      </c>
      <c r="O219" s="18" t="s">
        <v>219</v>
      </c>
      <c r="P219" s="19" t="s">
        <v>496</v>
      </c>
      <c r="Q219" s="19" t="s">
        <v>952</v>
      </c>
      <c r="R219" s="20"/>
    </row>
    <row r="220" spans="1:18" ht="18.95" hidden="1" customHeight="1">
      <c r="A220" s="12" t="s">
        <v>607</v>
      </c>
      <c r="B220" s="13" t="s">
        <v>426</v>
      </c>
      <c r="C220" s="13" t="s">
        <v>680</v>
      </c>
      <c r="D220" s="13" t="s">
        <v>684</v>
      </c>
      <c r="E220" s="15" t="s">
        <v>215</v>
      </c>
      <c r="F220" s="13" t="s">
        <v>968</v>
      </c>
      <c r="G220" s="13"/>
      <c r="H220" s="13"/>
      <c r="I220" s="17" t="s">
        <v>603</v>
      </c>
      <c r="J220" s="17" t="s">
        <v>423</v>
      </c>
      <c r="K220" s="13" t="s">
        <v>254</v>
      </c>
      <c r="L220" s="17" t="s">
        <v>217</v>
      </c>
      <c r="M220" s="17" t="s">
        <v>210</v>
      </c>
      <c r="N220" s="17" t="s">
        <v>255</v>
      </c>
      <c r="O220" s="18" t="s">
        <v>219</v>
      </c>
      <c r="P220" s="19" t="s">
        <v>496</v>
      </c>
      <c r="Q220" s="19" t="s">
        <v>952</v>
      </c>
      <c r="R220" s="20"/>
    </row>
    <row r="221" spans="1:18" ht="18.95" hidden="1" customHeight="1">
      <c r="A221" s="12" t="s">
        <v>781</v>
      </c>
      <c r="B221" s="13" t="s">
        <v>427</v>
      </c>
      <c r="C221" s="13" t="s">
        <v>774</v>
      </c>
      <c r="D221" s="13" t="s">
        <v>684</v>
      </c>
      <c r="E221" s="15" t="s">
        <v>215</v>
      </c>
      <c r="F221" s="16" t="s">
        <v>997</v>
      </c>
      <c r="G221" s="16"/>
      <c r="H221" s="16"/>
      <c r="I221" s="17" t="s">
        <v>767</v>
      </c>
      <c r="J221" s="17" t="s">
        <v>423</v>
      </c>
      <c r="K221" s="13" t="s">
        <v>254</v>
      </c>
      <c r="L221" s="17" t="s">
        <v>1037</v>
      </c>
      <c r="M221" s="17" t="s">
        <v>210</v>
      </c>
      <c r="N221" s="17" t="s">
        <v>336</v>
      </c>
      <c r="O221" s="18" t="s">
        <v>219</v>
      </c>
      <c r="P221" s="19" t="s">
        <v>496</v>
      </c>
      <c r="Q221" s="19" t="s">
        <v>952</v>
      </c>
      <c r="R221" s="20"/>
    </row>
    <row r="222" spans="1:18" ht="18.95" customHeight="1">
      <c r="A222" s="12" t="s">
        <v>398</v>
      </c>
      <c r="B222" s="13" t="s">
        <v>486</v>
      </c>
      <c r="C222" s="13" t="s">
        <v>868</v>
      </c>
      <c r="D222" s="13"/>
      <c r="E222" s="15"/>
      <c r="F222" s="16"/>
      <c r="G222" s="16"/>
      <c r="H222" s="16"/>
      <c r="I222" s="13" t="s">
        <v>384</v>
      </c>
      <c r="J222" s="17" t="s">
        <v>216</v>
      </c>
      <c r="K222" s="13"/>
      <c r="L222" s="17" t="s">
        <v>484</v>
      </c>
      <c r="M222" s="17"/>
      <c r="N222" s="17"/>
      <c r="O222" s="18"/>
      <c r="P222" s="19" t="s">
        <v>495</v>
      </c>
      <c r="Q222" s="19"/>
      <c r="R222" s="20" t="s">
        <v>498</v>
      </c>
    </row>
    <row r="223" spans="1:18" ht="18.95" hidden="1" customHeight="1">
      <c r="A223" s="12" t="s">
        <v>608</v>
      </c>
      <c r="B223" s="13" t="s">
        <v>430</v>
      </c>
      <c r="C223" s="13" t="s">
        <v>681</v>
      </c>
      <c r="D223" s="13"/>
      <c r="E223" s="15" t="s">
        <v>998</v>
      </c>
      <c r="F223" s="16" t="s">
        <v>999</v>
      </c>
      <c r="G223" s="16"/>
      <c r="H223" s="16"/>
      <c r="I223" s="17" t="s">
        <v>603</v>
      </c>
      <c r="J223" s="17" t="s">
        <v>216</v>
      </c>
      <c r="K223" s="13"/>
      <c r="L223" s="17" t="s">
        <v>256</v>
      </c>
      <c r="M223" s="17" t="s">
        <v>210</v>
      </c>
      <c r="N223" s="17" t="s">
        <v>255</v>
      </c>
      <c r="O223" s="18" t="s">
        <v>219</v>
      </c>
      <c r="P223" s="19" t="s">
        <v>496</v>
      </c>
      <c r="Q223" s="19"/>
      <c r="R223" s="20"/>
    </row>
    <row r="224" spans="1:18" ht="18.95" hidden="1" customHeight="1">
      <c r="A224" s="12" t="s">
        <v>782</v>
      </c>
      <c r="B224" s="13" t="s">
        <v>431</v>
      </c>
      <c r="C224" s="13" t="s">
        <v>775</v>
      </c>
      <c r="D224" s="13"/>
      <c r="E224" s="15" t="s">
        <v>998</v>
      </c>
      <c r="F224" s="16" t="s">
        <v>999</v>
      </c>
      <c r="G224" s="16"/>
      <c r="H224" s="16"/>
      <c r="I224" s="17" t="s">
        <v>767</v>
      </c>
      <c r="J224" s="17" t="s">
        <v>216</v>
      </c>
      <c r="K224" s="13"/>
      <c r="L224" s="17" t="s">
        <v>256</v>
      </c>
      <c r="M224" s="17" t="s">
        <v>210</v>
      </c>
      <c r="N224" s="17" t="s">
        <v>336</v>
      </c>
      <c r="O224" s="18" t="s">
        <v>219</v>
      </c>
      <c r="P224" s="19" t="s">
        <v>496</v>
      </c>
      <c r="Q224" s="19"/>
      <c r="R224" s="46"/>
    </row>
    <row r="225" spans="1:18" ht="18.95" customHeight="1">
      <c r="A225" s="12" t="s">
        <v>387</v>
      </c>
      <c r="B225" s="13" t="s">
        <v>487</v>
      </c>
      <c r="C225" s="13" t="s">
        <v>869</v>
      </c>
      <c r="D225" s="13"/>
      <c r="E225" s="15"/>
      <c r="F225" s="16"/>
      <c r="G225" s="16"/>
      <c r="H225" s="16"/>
      <c r="I225" s="13" t="s">
        <v>384</v>
      </c>
      <c r="J225" s="17" t="s">
        <v>216</v>
      </c>
      <c r="K225" s="13"/>
      <c r="L225" s="17" t="s">
        <v>484</v>
      </c>
      <c r="M225" s="17"/>
      <c r="N225" s="17"/>
      <c r="O225" s="18"/>
      <c r="P225" s="19" t="s">
        <v>495</v>
      </c>
      <c r="Q225" s="19"/>
      <c r="R225" s="20" t="s">
        <v>498</v>
      </c>
    </row>
    <row r="226" spans="1:18" ht="18.95" customHeight="1">
      <c r="A226" s="12" t="s">
        <v>393</v>
      </c>
      <c r="B226" s="13" t="s">
        <v>488</v>
      </c>
      <c r="C226" s="13" t="s">
        <v>870</v>
      </c>
      <c r="D226" s="13"/>
      <c r="E226" s="15"/>
      <c r="F226" s="16"/>
      <c r="G226" s="16"/>
      <c r="H226" s="16"/>
      <c r="I226" s="13" t="s">
        <v>384</v>
      </c>
      <c r="J226" s="17" t="s">
        <v>216</v>
      </c>
      <c r="K226" s="13"/>
      <c r="L226" s="17" t="s">
        <v>484</v>
      </c>
      <c r="M226" s="17"/>
      <c r="N226" s="17"/>
      <c r="O226" s="18"/>
      <c r="P226" s="19" t="s">
        <v>495</v>
      </c>
      <c r="Q226" s="19"/>
      <c r="R226" s="20" t="s">
        <v>498</v>
      </c>
    </row>
    <row r="227" spans="1:18" ht="18.95" customHeight="1">
      <c r="A227" s="12" t="s">
        <v>388</v>
      </c>
      <c r="B227" s="13" t="s">
        <v>391</v>
      </c>
      <c r="C227" s="13" t="s">
        <v>871</v>
      </c>
      <c r="D227" s="13"/>
      <c r="E227" s="15"/>
      <c r="F227" s="16"/>
      <c r="G227" s="16"/>
      <c r="H227" s="16"/>
      <c r="I227" s="13" t="s">
        <v>384</v>
      </c>
      <c r="J227" s="17" t="s">
        <v>216</v>
      </c>
      <c r="K227" s="13"/>
      <c r="L227" s="17" t="s">
        <v>484</v>
      </c>
      <c r="M227" s="17"/>
      <c r="N227" s="17"/>
      <c r="O227" s="18"/>
      <c r="P227" s="19" t="s">
        <v>495</v>
      </c>
      <c r="Q227" s="19"/>
      <c r="R227" s="20" t="s">
        <v>498</v>
      </c>
    </row>
    <row r="228" spans="1:18" ht="18.95" customHeight="1">
      <c r="A228" s="12" t="s">
        <v>394</v>
      </c>
      <c r="B228" s="13" t="s">
        <v>397</v>
      </c>
      <c r="C228" s="13" t="s">
        <v>872</v>
      </c>
      <c r="D228" s="13"/>
      <c r="E228" s="15"/>
      <c r="F228" s="16"/>
      <c r="G228" s="16"/>
      <c r="H228" s="16"/>
      <c r="I228" s="13" t="s">
        <v>384</v>
      </c>
      <c r="J228" s="17" t="s">
        <v>216</v>
      </c>
      <c r="K228" s="13"/>
      <c r="L228" s="17" t="s">
        <v>484</v>
      </c>
      <c r="M228" s="17"/>
      <c r="N228" s="17"/>
      <c r="O228" s="18"/>
      <c r="P228" s="19" t="s">
        <v>495</v>
      </c>
      <c r="Q228" s="19"/>
      <c r="R228" s="20" t="s">
        <v>498</v>
      </c>
    </row>
    <row r="229" spans="1:18" ht="18.95" customHeight="1">
      <c r="A229" s="12" t="s">
        <v>385</v>
      </c>
      <c r="B229" s="13" t="s">
        <v>386</v>
      </c>
      <c r="C229" s="13" t="s">
        <v>873</v>
      </c>
      <c r="D229" s="13"/>
      <c r="E229" s="15"/>
      <c r="F229" s="16"/>
      <c r="G229" s="16"/>
      <c r="H229" s="16"/>
      <c r="I229" s="13" t="s">
        <v>384</v>
      </c>
      <c r="J229" s="17" t="s">
        <v>216</v>
      </c>
      <c r="K229" s="13"/>
      <c r="L229" s="17" t="s">
        <v>484</v>
      </c>
      <c r="M229" s="17"/>
      <c r="N229" s="17"/>
      <c r="O229" s="18"/>
      <c r="P229" s="19" t="s">
        <v>495</v>
      </c>
      <c r="Q229" s="19"/>
      <c r="R229" s="20" t="s">
        <v>498</v>
      </c>
    </row>
    <row r="230" spans="1:18" ht="18.95" customHeight="1">
      <c r="A230" s="12" t="s">
        <v>415</v>
      </c>
      <c r="B230" s="13" t="s">
        <v>416</v>
      </c>
      <c r="C230" s="13" t="s">
        <v>874</v>
      </c>
      <c r="D230" s="13"/>
      <c r="E230" s="15"/>
      <c r="F230" s="15"/>
      <c r="G230" s="15"/>
      <c r="H230" s="15"/>
      <c r="I230" s="13" t="s">
        <v>372</v>
      </c>
      <c r="J230" s="17" t="s">
        <v>216</v>
      </c>
      <c r="K230" s="17"/>
      <c r="L230" s="17" t="s">
        <v>484</v>
      </c>
      <c r="M230" s="17"/>
      <c r="N230" s="17"/>
      <c r="O230" s="18"/>
      <c r="P230" s="19" t="s">
        <v>495</v>
      </c>
      <c r="Q230" s="19"/>
      <c r="R230" s="20" t="s">
        <v>498</v>
      </c>
    </row>
    <row r="231" spans="1:18" ht="30" customHeight="1">
      <c r="A231" s="12" t="s">
        <v>417</v>
      </c>
      <c r="B231" s="13" t="s">
        <v>418</v>
      </c>
      <c r="C231" s="13" t="s">
        <v>875</v>
      </c>
      <c r="D231" s="13"/>
      <c r="E231" s="15"/>
      <c r="F231" s="16"/>
      <c r="G231" s="16"/>
      <c r="H231" s="16"/>
      <c r="I231" s="13" t="s">
        <v>372</v>
      </c>
      <c r="J231" s="17" t="s">
        <v>216</v>
      </c>
      <c r="K231" s="17"/>
      <c r="L231" s="17" t="s">
        <v>484</v>
      </c>
      <c r="M231" s="17"/>
      <c r="N231" s="17"/>
      <c r="O231" s="18"/>
      <c r="P231" s="19" t="s">
        <v>495</v>
      </c>
      <c r="Q231" s="19"/>
      <c r="R231" s="20" t="s">
        <v>498</v>
      </c>
    </row>
    <row r="232" spans="1:18" ht="30" customHeight="1">
      <c r="A232" s="12" t="s">
        <v>419</v>
      </c>
      <c r="B232" s="13" t="s">
        <v>420</v>
      </c>
      <c r="C232" s="13" t="s">
        <v>876</v>
      </c>
      <c r="D232" s="13"/>
      <c r="E232" s="15"/>
      <c r="F232" s="15"/>
      <c r="G232" s="15"/>
      <c r="H232" s="15"/>
      <c r="I232" s="13" t="s">
        <v>372</v>
      </c>
      <c r="J232" s="17" t="s">
        <v>216</v>
      </c>
      <c r="K232" s="17"/>
      <c r="L232" s="17" t="s">
        <v>484</v>
      </c>
      <c r="M232" s="17"/>
      <c r="N232" s="17"/>
      <c r="O232" s="18"/>
      <c r="P232" s="19" t="s">
        <v>495</v>
      </c>
      <c r="Q232" s="19"/>
      <c r="R232" s="20" t="s">
        <v>498</v>
      </c>
    </row>
    <row r="233" spans="1:18" ht="30" customHeight="1">
      <c r="A233" s="17" t="s">
        <v>421</v>
      </c>
      <c r="B233" s="13" t="s">
        <v>377</v>
      </c>
      <c r="C233" s="13" t="s">
        <v>877</v>
      </c>
      <c r="D233" s="13"/>
      <c r="E233" s="15"/>
      <c r="F233" s="15"/>
      <c r="G233" s="15"/>
      <c r="H233" s="15"/>
      <c r="I233" s="13" t="s">
        <v>372</v>
      </c>
      <c r="J233" s="17" t="s">
        <v>216</v>
      </c>
      <c r="K233" s="17"/>
      <c r="L233" s="17" t="s">
        <v>484</v>
      </c>
      <c r="M233" s="17"/>
      <c r="N233" s="17"/>
      <c r="O233" s="17"/>
      <c r="P233" s="19" t="s">
        <v>495</v>
      </c>
      <c r="Q233" s="19"/>
      <c r="R233" s="20" t="s">
        <v>498</v>
      </c>
    </row>
    <row r="234" spans="1:18" ht="30" customHeight="1">
      <c r="A234" s="17" t="s">
        <v>406</v>
      </c>
      <c r="B234" s="13" t="s">
        <v>407</v>
      </c>
      <c r="C234" s="13" t="s">
        <v>878</v>
      </c>
      <c r="D234" s="13"/>
      <c r="E234" s="15"/>
      <c r="F234" s="16"/>
      <c r="G234" s="16"/>
      <c r="H234" s="16"/>
      <c r="I234" s="13" t="s">
        <v>410</v>
      </c>
      <c r="J234" s="17" t="s">
        <v>216</v>
      </c>
      <c r="K234" s="17"/>
      <c r="L234" s="17" t="s">
        <v>484</v>
      </c>
      <c r="M234" s="17"/>
      <c r="N234" s="17"/>
      <c r="O234" s="17"/>
      <c r="P234" s="19" t="s">
        <v>495</v>
      </c>
      <c r="Q234" s="19"/>
      <c r="R234" s="20" t="s">
        <v>498</v>
      </c>
    </row>
    <row r="235" spans="1:18" ht="30" customHeight="1">
      <c r="A235" s="17" t="s">
        <v>401</v>
      </c>
      <c r="B235" s="13" t="s">
        <v>402</v>
      </c>
      <c r="C235" s="13" t="s">
        <v>879</v>
      </c>
      <c r="D235" s="13"/>
      <c r="E235" s="15"/>
      <c r="F235" s="15"/>
      <c r="G235" s="15"/>
      <c r="H235" s="15"/>
      <c r="I235" s="13" t="s">
        <v>405</v>
      </c>
      <c r="J235" s="17" t="s">
        <v>216</v>
      </c>
      <c r="K235" s="17"/>
      <c r="L235" s="17" t="s">
        <v>484</v>
      </c>
      <c r="M235" s="17"/>
      <c r="N235" s="17"/>
      <c r="O235" s="17"/>
      <c r="P235" s="19" t="s">
        <v>495</v>
      </c>
      <c r="Q235" s="19"/>
      <c r="R235" s="20" t="s">
        <v>498</v>
      </c>
    </row>
    <row r="236" spans="1:18" ht="30" customHeight="1">
      <c r="A236" s="12" t="s">
        <v>408</v>
      </c>
      <c r="B236" s="13" t="s">
        <v>409</v>
      </c>
      <c r="C236" s="14" t="s">
        <v>880</v>
      </c>
      <c r="D236" s="13"/>
      <c r="E236" s="15"/>
      <c r="F236" s="16"/>
      <c r="G236" s="16"/>
      <c r="H236" s="16"/>
      <c r="I236" s="13" t="s">
        <v>410</v>
      </c>
      <c r="J236" s="17" t="s">
        <v>216</v>
      </c>
      <c r="K236" s="17"/>
      <c r="L236" s="17" t="s">
        <v>484</v>
      </c>
      <c r="M236" s="17"/>
      <c r="N236" s="17"/>
      <c r="O236" s="18"/>
      <c r="P236" s="19" t="s">
        <v>495</v>
      </c>
      <c r="Q236" s="19"/>
      <c r="R236" s="20" t="s">
        <v>498</v>
      </c>
    </row>
    <row r="237" spans="1:18" ht="30" customHeight="1">
      <c r="A237" s="12" t="s">
        <v>403</v>
      </c>
      <c r="B237" s="13" t="s">
        <v>404</v>
      </c>
      <c r="C237" s="13" t="s">
        <v>881</v>
      </c>
      <c r="D237" s="13"/>
      <c r="E237" s="15"/>
      <c r="F237" s="16"/>
      <c r="G237" s="16"/>
      <c r="H237" s="16"/>
      <c r="I237" s="13" t="s">
        <v>405</v>
      </c>
      <c r="J237" s="17" t="s">
        <v>216</v>
      </c>
      <c r="K237" s="17"/>
      <c r="L237" s="17" t="s">
        <v>484</v>
      </c>
      <c r="M237" s="17"/>
      <c r="N237" s="17"/>
      <c r="O237" s="18"/>
      <c r="P237" s="19" t="s">
        <v>495</v>
      </c>
      <c r="Q237" s="19"/>
      <c r="R237" s="20" t="s">
        <v>498</v>
      </c>
    </row>
    <row r="238" spans="1:18" ht="30" customHeight="1">
      <c r="A238" s="12" t="s">
        <v>373</v>
      </c>
      <c r="B238" s="13" t="s">
        <v>1058</v>
      </c>
      <c r="C238" s="13" t="s">
        <v>1064</v>
      </c>
      <c r="D238" s="13"/>
      <c r="E238" s="15"/>
      <c r="F238" s="16"/>
      <c r="G238" s="16"/>
      <c r="H238" s="16"/>
      <c r="I238" s="13" t="s">
        <v>1053</v>
      </c>
      <c r="J238" s="17" t="s">
        <v>216</v>
      </c>
      <c r="K238" s="13"/>
      <c r="L238" s="17" t="s">
        <v>256</v>
      </c>
      <c r="M238" s="17" t="s">
        <v>210</v>
      </c>
      <c r="N238" s="17"/>
      <c r="O238" s="18"/>
      <c r="P238" s="19" t="s">
        <v>495</v>
      </c>
      <c r="Q238" s="19"/>
      <c r="R238" s="20" t="s">
        <v>498</v>
      </c>
    </row>
    <row r="239" spans="1:18" ht="16.5" customHeight="1">
      <c r="A239" s="12" t="s">
        <v>382</v>
      </c>
      <c r="B239" s="13" t="s">
        <v>904</v>
      </c>
      <c r="C239" s="13" t="s">
        <v>905</v>
      </c>
      <c r="D239" s="13"/>
      <c r="E239" s="15"/>
      <c r="F239" s="16"/>
      <c r="G239" s="16"/>
      <c r="H239" s="16"/>
      <c r="I239" s="13" t="s">
        <v>384</v>
      </c>
      <c r="J239" s="17" t="s">
        <v>216</v>
      </c>
      <c r="K239" s="13"/>
      <c r="L239" s="17" t="s">
        <v>256</v>
      </c>
      <c r="M239" s="17" t="s">
        <v>210</v>
      </c>
      <c r="N239" s="17"/>
      <c r="O239" s="18"/>
      <c r="P239" s="19" t="s">
        <v>495</v>
      </c>
      <c r="Q239" s="48"/>
      <c r="R239" s="47" t="s">
        <v>498</v>
      </c>
    </row>
    <row r="240" spans="1:18" ht="16.5" customHeight="1">
      <c r="A240" s="12" t="s">
        <v>414</v>
      </c>
      <c r="B240" s="13" t="s">
        <v>383</v>
      </c>
      <c r="C240" s="13" t="s">
        <v>891</v>
      </c>
      <c r="D240" s="13"/>
      <c r="E240" s="15"/>
      <c r="F240" s="15"/>
      <c r="G240" s="15"/>
      <c r="H240" s="15"/>
      <c r="I240" s="13" t="s">
        <v>372</v>
      </c>
      <c r="J240" s="17" t="s">
        <v>216</v>
      </c>
      <c r="K240" s="13"/>
      <c r="L240" s="17" t="s">
        <v>256</v>
      </c>
      <c r="M240" s="17" t="s">
        <v>210</v>
      </c>
      <c r="N240" s="17"/>
      <c r="O240" s="18"/>
      <c r="P240" s="19" t="s">
        <v>495</v>
      </c>
      <c r="Q240" s="48"/>
      <c r="R240" s="47" t="s">
        <v>498</v>
      </c>
    </row>
  </sheetData>
  <autoFilter ref="A1:R240" xr:uid="{38FC3960-50D1-45C2-A804-62B4A673AF8F}">
    <filterColumn colId="12">
      <filters blank="1">
        <filter val="+24Vcc"/>
        <filter val="Contatto pulito"/>
      </filters>
    </filterColumn>
    <filterColumn colId="17">
      <customFilters>
        <customFilter operator="notEqual" val=" "/>
      </customFilters>
    </filterColumn>
    <sortState xmlns:xlrd2="http://schemas.microsoft.com/office/spreadsheetml/2017/richdata2" ref="A19:R240">
      <sortCondition ref="E1:E240"/>
    </sortState>
  </autoFilter>
  <sortState xmlns:xlrd2="http://schemas.microsoft.com/office/spreadsheetml/2017/richdata2" ref="A2:R238">
    <sortCondition ref="A2:A238"/>
    <sortCondition ref="I2:I238"/>
  </sortState>
  <mergeCells count="1">
    <mergeCell ref="S2:X10"/>
  </mergeCells>
  <phoneticPr fontId="14" type="noConversion"/>
  <pageMargins left="0.70866141732283472" right="0.70866141732283472" top="0.74803149606299213" bottom="0.74803149606299213" header="0.31496062992125984" footer="0.31496062992125984"/>
  <pageSetup paperSize="8" scale="35" fitToHeight="0" orientation="landscape" r:id="rId1"/>
  <headerFooter>
    <oddHeader>&amp;LSANTA MASSENZA GR.4&amp;CINSTRUMENT LIST&amp;R2AGC06-0000-10546900
REV E</oddHeader>
    <oddFooter>&amp;R&amp;P/&amp;N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99a263-0cc5-412a-ad04-307615702435" xsi:nil="true"/>
    <lcf76f155ced4ddcb4097134ff3c332f xmlns="a486d5e1-3a6b-439a-b9ea-fc051f5e5ab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0EA2D3243A4E871C258C6397ABCA" ma:contentTypeVersion="16" ma:contentTypeDescription="Stvaranje novog dokumenta." ma:contentTypeScope="" ma:versionID="1f70dd421eaced105b84c6f21802dadb">
  <xsd:schema xmlns:xsd="http://www.w3.org/2001/XMLSchema" xmlns:xs="http://www.w3.org/2001/XMLSchema" xmlns:p="http://schemas.microsoft.com/office/2006/metadata/properties" xmlns:ns2="cb99a263-0cc5-412a-ad04-307615702435" xmlns:ns3="a486d5e1-3a6b-439a-b9ea-fc051f5e5abb" targetNamespace="http://schemas.microsoft.com/office/2006/metadata/properties" ma:root="true" ma:fieldsID="8bb49020e3ff27458e9c0ff97c86a345" ns2:_="" ns3:_="">
    <xsd:import namespace="cb99a263-0cc5-412a-ad04-307615702435"/>
    <xsd:import namespace="a486d5e1-3a6b-439a-b9ea-fc051f5e5a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9a263-0cc5-412a-ad04-307615702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70db87-2c73-48f3-ac19-a91cfe41422e}" ma:internalName="TaxCatchAll" ma:showField="CatchAllData" ma:web="cb99a263-0cc5-412a-ad04-307615702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d5e1-3a6b-439a-b9ea-fc051f5e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ba2cfd72-6e19-40fc-b474-3fa01fc79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AECFCC-6A10-45EA-BE99-370FD634EAA0}">
  <ds:schemaRefs>
    <ds:schemaRef ds:uri="http://schemas.microsoft.com/office/2006/metadata/properties"/>
    <ds:schemaRef ds:uri="http://schemas.microsoft.com/office/infopath/2007/PartnerControls"/>
    <ds:schemaRef ds:uri="cb99a263-0cc5-412a-ad04-307615702435"/>
    <ds:schemaRef ds:uri="a486d5e1-3a6b-439a-b9ea-fc051f5e5abb"/>
  </ds:schemaRefs>
</ds:datastoreItem>
</file>

<file path=customXml/itemProps2.xml><?xml version="1.0" encoding="utf-8"?>
<ds:datastoreItem xmlns:ds="http://schemas.openxmlformats.org/officeDocument/2006/customXml" ds:itemID="{91C8422E-4897-4582-9689-8CBE22C8D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9a263-0cc5-412a-ad04-307615702435"/>
    <ds:schemaRef ds:uri="a486d5e1-3a6b-439a-b9ea-fc051f5e5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2A90F9-378D-41BE-ACC3-9A0B6392DD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DOCPROPERTIES</vt:lpstr>
      <vt:lpstr>Cover Sheet</vt:lpstr>
      <vt:lpstr>IO LIST</vt:lpstr>
      <vt:lpstr>'IO LIST'!Print_Area</vt:lpstr>
      <vt:lpstr>'IO LIST'!Print_Titles</vt:lpstr>
    </vt:vector>
  </TitlesOfParts>
  <Company>Voith Hydro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odojak</dc:creator>
  <cp:lastModifiedBy>Fran Švarc</cp:lastModifiedBy>
  <cp:lastPrinted>2025-11-17T08:21:27Z</cp:lastPrinted>
  <dcterms:created xsi:type="dcterms:W3CDTF">2009-03-23T08:00:00Z</dcterms:created>
  <dcterms:modified xsi:type="dcterms:W3CDTF">2026-09-28T15:20:58Z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P_PROPOSED_FILENAME">
    <vt:lpwstr>SMAS-2AGC06-0000-10546900-RevE-SL_INSTRUMENT_LIST</vt:lpwstr>
  </property>
  <property fmtid="{D5CDD505-2E9C-101B-9397-08002B2CF9AE}" pid="3" name="SAP_V1_VERSION">
    <vt:lpwstr>A</vt:lpwstr>
  </property>
  <property fmtid="{D5CDD505-2E9C-101B-9397-08002B2CF9AE}" pid="4" name="SAP_V1_USER">
    <vt:lpwstr>belluca</vt:lpwstr>
  </property>
  <property fmtid="{D5CDD505-2E9C-101B-9397-08002B2CF9AE}" pid="5" name="SAP_V1_RELEASE_USER">
    <vt:lpwstr>belluca</vt:lpwstr>
  </property>
  <property fmtid="{D5CDD505-2E9C-101B-9397-08002B2CF9AE}" pid="6" name="SAP_V1_RELEASE_DATE">
    <vt:lpwstr>2025-03-07</vt:lpwstr>
  </property>
  <property fmtid="{D5CDD505-2E9C-101B-9397-08002B2CF9AE}" pid="7" name="SAP_V2_VERSION">
    <vt:lpwstr>B</vt:lpwstr>
  </property>
  <property fmtid="{D5CDD505-2E9C-101B-9397-08002B2CF9AE}" pid="8" name="SAP_V2_USER">
    <vt:lpwstr>laquama</vt:lpwstr>
  </property>
  <property fmtid="{D5CDD505-2E9C-101B-9397-08002B2CF9AE}" pid="9" name="SAP_V2_RELEASE_USER">
    <vt:lpwstr>belluca</vt:lpwstr>
  </property>
  <property fmtid="{D5CDD505-2E9C-101B-9397-08002B2CF9AE}" pid="10" name="SAP_V2_RELEASE_DATE">
    <vt:lpwstr>2025-04-29</vt:lpwstr>
  </property>
  <property fmtid="{D5CDD505-2E9C-101B-9397-08002B2CF9AE}" pid="11" name="SAP_V3_VERSION">
    <vt:lpwstr>C</vt:lpwstr>
  </property>
  <property fmtid="{D5CDD505-2E9C-101B-9397-08002B2CF9AE}" pid="12" name="SAP_V3_USER">
    <vt:lpwstr>laquama</vt:lpwstr>
  </property>
  <property fmtid="{D5CDD505-2E9C-101B-9397-08002B2CF9AE}" pid="13" name="SAP_V3_RELEASE_USER">
    <vt:lpwstr>belluca</vt:lpwstr>
  </property>
  <property fmtid="{D5CDD505-2E9C-101B-9397-08002B2CF9AE}" pid="14" name="SAP_V3_RELEASE_DATE">
    <vt:lpwstr>2025-10-03</vt:lpwstr>
  </property>
  <property fmtid="{D5CDD505-2E9C-101B-9397-08002B2CF9AE}" pid="15" name="SAP_V4_VERSION">
    <vt:lpwstr>D</vt:lpwstr>
  </property>
  <property fmtid="{D5CDD505-2E9C-101B-9397-08002B2CF9AE}" pid="16" name="SAP_V4_USER">
    <vt:lpwstr>borrona</vt:lpwstr>
  </property>
  <property fmtid="{D5CDD505-2E9C-101B-9397-08002B2CF9AE}" pid="17" name="SAP_V4_RELEASE_USER">
    <vt:lpwstr>belluca</vt:lpwstr>
  </property>
  <property fmtid="{D5CDD505-2E9C-101B-9397-08002B2CF9AE}" pid="18" name="SAP_V4_RELEASE_DATE">
    <vt:lpwstr>2025-11-17</vt:lpwstr>
  </property>
  <property fmtid="{D5CDD505-2E9C-101B-9397-08002B2CF9AE}" pid="19" name="SAP_V5_VERSION">
    <vt:lpwstr>E</vt:lpwstr>
  </property>
  <property fmtid="{D5CDD505-2E9C-101B-9397-08002B2CF9AE}" pid="20" name="SAP_V5_USER">
    <vt:lpwstr>laquama</vt:lpwstr>
  </property>
  <property fmtid="{D5CDD505-2E9C-101B-9397-08002B2CF9AE}" pid="21" name="SAP_V5_RELEASE_USER">
    <vt:lpwstr/>
  </property>
  <property fmtid="{D5CDD505-2E9C-101B-9397-08002B2CF9AE}" pid="22" name="SAP_V5_RELEASE_DATE">
    <vt:lpwstr/>
  </property>
  <property fmtid="{D5CDD505-2E9C-101B-9397-08002B2CF9AE}" pid="23" name="SAP_V6_VERSION">
    <vt:lpwstr/>
  </property>
  <property fmtid="{D5CDD505-2E9C-101B-9397-08002B2CF9AE}" pid="24" name="SAP_V6_USER">
    <vt:lpwstr/>
  </property>
  <property fmtid="{D5CDD505-2E9C-101B-9397-08002B2CF9AE}" pid="25" name="SAP_V6_RELEASE_USER">
    <vt:lpwstr/>
  </property>
  <property fmtid="{D5CDD505-2E9C-101B-9397-08002B2CF9AE}" pid="26" name="SAP_V6_RELEASE_DATE">
    <vt:lpwstr/>
  </property>
  <property fmtid="{D5CDD505-2E9C-101B-9397-08002B2CF9AE}" pid="27" name="SAP_DEPARTMENT_RELEASE_USER">
    <vt:lpwstr>aut</vt:lpwstr>
  </property>
  <property fmtid="{D5CDD505-2E9C-101B-9397-08002B2CF9AE}" pid="28" name="SAP_DESCRIPTION">
    <vt:lpwstr>INSTRUMENT LIST</vt:lpwstr>
  </property>
  <property fmtid="{D5CDD505-2E9C-101B-9397-08002B2CF9AE}" pid="29" name="SAP_APPLICATION">
    <vt:lpwstr>XLS:P</vt:lpwstr>
  </property>
  <property fmtid="{D5CDD505-2E9C-101B-9397-08002B2CF9AE}" pid="30" name="SAP_DTYPE">
    <vt:lpwstr>SLX1</vt:lpwstr>
  </property>
  <property fmtid="{D5CDD505-2E9C-101B-9397-08002B2CF9AE}" pid="31" name="SAP_DOCID">
    <vt:lpwstr>2-10546900</vt:lpwstr>
  </property>
  <property fmtid="{D5CDD505-2E9C-101B-9397-08002B2CF9AE}" pid="32" name="SAP_DOCTYPE">
    <vt:lpwstr>HSP</vt:lpwstr>
  </property>
  <property fmtid="{D5CDD505-2E9C-101B-9397-08002B2CF9AE}" pid="33" name="SAP_DOCPART">
    <vt:lpwstr>000</vt:lpwstr>
  </property>
  <property fmtid="{D5CDD505-2E9C-101B-9397-08002B2CF9AE}" pid="34" name="SAP_DOCVERSION">
    <vt:lpwstr>E</vt:lpwstr>
  </property>
  <property fmtid="{D5CDD505-2E9C-101B-9397-08002B2CF9AE}" pid="35" name="SAP_REVLEVEL">
    <vt:lpwstr/>
  </property>
  <property fmtid="{D5CDD505-2E9C-101B-9397-08002B2CF9AE}" pid="36" name="SAP_DOCTEXT_EN">
    <vt:lpwstr>INSTRUMENT LIST</vt:lpwstr>
  </property>
  <property fmtid="{D5CDD505-2E9C-101B-9397-08002B2CF9AE}" pid="37" name="SAP_DOCTEXT_DE">
    <vt:lpwstr>INSTRUMENTENLISTE</vt:lpwstr>
  </property>
  <property fmtid="{D5CDD505-2E9C-101B-9397-08002B2CF9AE}" pid="38" name="SAP_DOCTEXT_EN_1">
    <vt:lpwstr/>
  </property>
  <property fmtid="{D5CDD505-2E9C-101B-9397-08002B2CF9AE}" pid="39" name="SAP_DOCTEXT_DE_1">
    <vt:lpwstr/>
  </property>
  <property fmtid="{D5CDD505-2E9C-101B-9397-08002B2CF9AE}" pid="40" name="SAP_DOCTEXT_EN_2">
    <vt:lpwstr/>
  </property>
  <property fmtid="{D5CDD505-2E9C-101B-9397-08002B2CF9AE}" pid="41" name="SAP_DOCTEXT_DE_2">
    <vt:lpwstr/>
  </property>
  <property fmtid="{D5CDD505-2E9C-101B-9397-08002B2CF9AE}" pid="42" name="SAP_USERNAME">
    <vt:lpwstr>laquama</vt:lpwstr>
  </property>
  <property fmtid="{D5CDD505-2E9C-101B-9397-08002B2CF9AE}" pid="43" name="SAP_CREATION_USER">
    <vt:lpwstr>laquama</vt:lpwstr>
  </property>
  <property fmtid="{D5CDD505-2E9C-101B-9397-08002B2CF9AE}" pid="44" name="SAP_CREATION_DATE">
    <vt:lpwstr>2024-10-30</vt:lpwstr>
  </property>
  <property fmtid="{D5CDD505-2E9C-101B-9397-08002B2CF9AE}" pid="45" name="SAP_REVIEW_DATE">
    <vt:lpwstr>2024-10-30</vt:lpwstr>
  </property>
  <property fmtid="{D5CDD505-2E9C-101B-9397-08002B2CF9AE}" pid="46" name="SAP_REVIEW_USER">
    <vt:lpwstr>belluca</vt:lpwstr>
  </property>
  <property fmtid="{D5CDD505-2E9C-101B-9397-08002B2CF9AE}" pid="47" name="SAP_RELEASE_DATE">
    <vt:lpwstr>2024-10-30</vt:lpwstr>
  </property>
  <property fmtid="{D5CDD505-2E9C-101B-9397-08002B2CF9AE}" pid="48" name="SAP_RELEASE_USER">
    <vt:lpwstr>belluca</vt:lpwstr>
  </property>
  <property fmtid="{D5CDD505-2E9C-101B-9397-08002B2CF9AE}" pid="49" name="SAP_LAST_CHANGE_DATE">
    <vt:lpwstr>2026-01-20</vt:lpwstr>
  </property>
  <property fmtid="{D5CDD505-2E9C-101B-9397-08002B2CF9AE}" pid="50" name="SAP_LAST_CHANGE_USER">
    <vt:lpwstr>laquama</vt:lpwstr>
  </property>
  <property fmtid="{D5CDD505-2E9C-101B-9397-08002B2CF9AE}" pid="51" name="SAP_LABORATORY">
    <vt:lpwstr>EU0</vt:lpwstr>
  </property>
  <property fmtid="{D5CDD505-2E9C-101B-9397-08002B2CF9AE}" pid="52" name="SAP_AUTHGROUP">
    <vt:lpwstr>EU0</vt:lpwstr>
  </property>
  <property fmtid="{D5CDD505-2E9C-101B-9397-08002B2CF9AE}" pid="53" name="SAP_CHGNUMBER">
    <vt:lpwstr/>
  </property>
  <property fmtid="{D5CDD505-2E9C-101B-9397-08002B2CF9AE}" pid="54" name="SAP_CC_NAME">
    <vt:lpwstr>2-10546900/HSP/E INSTRUMENT LIST</vt:lpwstr>
  </property>
  <property fmtid="{D5CDD505-2E9C-101B-9397-08002B2CF9AE}" pid="55" name="SAP_CONTENT_TYPE">
    <vt:lpwstr>Signal List</vt:lpwstr>
  </property>
  <property fmtid="{D5CDD505-2E9C-101B-9397-08002B2CF9AE}" pid="56" name="SAP_CONTENT_TYPE_KEY">
    <vt:lpwstr>SL</vt:lpwstr>
  </property>
  <property fmtid="{D5CDD505-2E9C-101B-9397-08002B2CF9AE}" pid="57" name="SAP_STDBEN_EN">
    <vt:lpwstr>INSTRUMENT LIST</vt:lpwstr>
  </property>
  <property fmtid="{D5CDD505-2E9C-101B-9397-08002B2CF9AE}" pid="58" name="SAP_STRUCTURE_ELEMENT">
    <vt:lpwstr>AGC0600</vt:lpwstr>
  </property>
  <property fmtid="{D5CDD505-2E9C-101B-9397-08002B2CF9AE}" pid="59" name="SAP_PROJECT_ASSIGNMENT">
    <vt:lpwstr/>
  </property>
  <property fmtid="{D5CDD505-2E9C-101B-9397-08002B2CF9AE}" pid="60" name="SAP_POWER_HOUSE_NAME">
    <vt:lpwstr>Santa Massenza</vt:lpwstr>
  </property>
  <property fmtid="{D5CDD505-2E9C-101B-9397-08002B2CF9AE}" pid="61" name="SAP_USER_DEFINED_DESCRIPTION">
    <vt:lpwstr/>
  </property>
  <property fmtid="{D5CDD505-2E9C-101B-9397-08002B2CF9AE}" pid="62" name="SAP_DRAWING_ID">
    <vt:lpwstr>2AGC06-0000-10546900</vt:lpwstr>
  </property>
  <property fmtid="{D5CDD505-2E9C-101B-9397-08002B2CF9AE}" pid="63" name="SAP_DOCSTATUS">
    <vt:lpwstr>11</vt:lpwstr>
  </property>
  <property fmtid="{D5CDD505-2E9C-101B-9397-08002B2CF9AE}" pid="64" name="MAT_NO">
    <vt:lpwstr/>
  </property>
  <property fmtid="{D5CDD505-2E9C-101B-9397-08002B2CF9AE}" pid="65" name="MAT_DESC">
    <vt:lpwstr/>
  </property>
  <property fmtid="{D5CDD505-2E9C-101B-9397-08002B2CF9AE}" pid="66" name="MAT_WRKST">
    <vt:lpwstr/>
  </property>
  <property fmtid="{D5CDD505-2E9C-101B-9397-08002B2CF9AE}" pid="67" name="MAT_WEIGHT">
    <vt:lpwstr/>
  </property>
  <property fmtid="{D5CDD505-2E9C-101B-9397-08002B2CF9AE}" pid="68" name="SAP_V1_CREATE_DATE">
    <vt:lpwstr>2025-02-06</vt:lpwstr>
  </property>
  <property fmtid="{D5CDD505-2E9C-101B-9397-08002B2CF9AE}" pid="69" name="SAP_V1_NUMBER_OF_CHANGES">
    <vt:lpwstr/>
  </property>
  <property fmtid="{D5CDD505-2E9C-101B-9397-08002B2CF9AE}" pid="70" name="SAP_V1_CHANGE_NOTE">
    <vt:lpwstr/>
  </property>
  <property fmtid="{D5CDD505-2E9C-101B-9397-08002B2CF9AE}" pid="71" name="SAP_V2_CREATE_DATE">
    <vt:lpwstr>2025-04-03</vt:lpwstr>
  </property>
  <property fmtid="{D5CDD505-2E9C-101B-9397-08002B2CF9AE}" pid="72" name="SAP_V2_NUMBER_OF_CHANGES">
    <vt:lpwstr/>
  </property>
  <property fmtid="{D5CDD505-2E9C-101B-9397-08002B2CF9AE}" pid="73" name="SAP_V2_CHANGE_NOTE">
    <vt:lpwstr/>
  </property>
  <property fmtid="{D5CDD505-2E9C-101B-9397-08002B2CF9AE}" pid="74" name="SAP_V3_CREATE_DATE">
    <vt:lpwstr>2025-07-11</vt:lpwstr>
  </property>
  <property fmtid="{D5CDD505-2E9C-101B-9397-08002B2CF9AE}" pid="75" name="SAP_V3_NUMBER_OF_CHANGES">
    <vt:lpwstr/>
  </property>
  <property fmtid="{D5CDD505-2E9C-101B-9397-08002B2CF9AE}" pid="76" name="SAP_V3_CHANGE_NOTE">
    <vt:lpwstr/>
  </property>
  <property fmtid="{D5CDD505-2E9C-101B-9397-08002B2CF9AE}" pid="77" name="SAP_V4_CREATE_DATE">
    <vt:lpwstr>2025-10-03</vt:lpwstr>
  </property>
  <property fmtid="{D5CDD505-2E9C-101B-9397-08002B2CF9AE}" pid="78" name="SAP_V4_NUMBER_OF_CHANGES">
    <vt:lpwstr/>
  </property>
  <property fmtid="{D5CDD505-2E9C-101B-9397-08002B2CF9AE}" pid="79" name="SAP_V4_CHANGE_NOTE">
    <vt:lpwstr/>
  </property>
  <property fmtid="{D5CDD505-2E9C-101B-9397-08002B2CF9AE}" pid="80" name="SAP_V5_CREATE_DATE">
    <vt:lpwstr>2026-01-20</vt:lpwstr>
  </property>
  <property fmtid="{D5CDD505-2E9C-101B-9397-08002B2CF9AE}" pid="81" name="SAP_V5_NUMBER_OF_CHANGES">
    <vt:lpwstr/>
  </property>
  <property fmtid="{D5CDD505-2E9C-101B-9397-08002B2CF9AE}" pid="82" name="SAP_V5_CHANGE_NOTE">
    <vt:lpwstr/>
  </property>
  <property fmtid="{D5CDD505-2E9C-101B-9397-08002B2CF9AE}" pid="83" name="SAP_V6_CREATE_DATE">
    <vt:lpwstr/>
  </property>
  <property fmtid="{D5CDD505-2E9C-101B-9397-08002B2CF9AE}" pid="84" name="SAP_V6_NUMBER_OF_CHANGES">
    <vt:lpwstr/>
  </property>
  <property fmtid="{D5CDD505-2E9C-101B-9397-08002B2CF9AE}" pid="85" name="SAP_V6_CHANGE_NOTE">
    <vt:lpwstr/>
  </property>
  <property fmtid="{D5CDD505-2E9C-101B-9397-08002B2CF9AE}" pid="86" name="SAP_V7_VERSION">
    <vt:lpwstr/>
  </property>
  <property fmtid="{D5CDD505-2E9C-101B-9397-08002B2CF9AE}" pid="87" name="SAP_V7_USER">
    <vt:lpwstr/>
  </property>
  <property fmtid="{D5CDD505-2E9C-101B-9397-08002B2CF9AE}" pid="88" name="SAP_V7_CREATE_DATE">
    <vt:lpwstr/>
  </property>
  <property fmtid="{D5CDD505-2E9C-101B-9397-08002B2CF9AE}" pid="89" name="SAP_V7_RELEASE_USER">
    <vt:lpwstr/>
  </property>
  <property fmtid="{D5CDD505-2E9C-101B-9397-08002B2CF9AE}" pid="90" name="SAP_V7_RELEASE_DATE">
    <vt:lpwstr/>
  </property>
  <property fmtid="{D5CDD505-2E9C-101B-9397-08002B2CF9AE}" pid="91" name="SAP_V7_NUMBER_OF_CHANGES">
    <vt:lpwstr/>
  </property>
  <property fmtid="{D5CDD505-2E9C-101B-9397-08002B2CF9AE}" pid="92" name="SAP_V7_CHANGE_NOTE">
    <vt:lpwstr/>
  </property>
  <property fmtid="{D5CDD505-2E9C-101B-9397-08002B2CF9AE}" pid="93" name="SAP_V8_VERSION">
    <vt:lpwstr/>
  </property>
  <property fmtid="{D5CDD505-2E9C-101B-9397-08002B2CF9AE}" pid="94" name="SAP_V8_USER">
    <vt:lpwstr/>
  </property>
  <property fmtid="{D5CDD505-2E9C-101B-9397-08002B2CF9AE}" pid="95" name="SAP_V8_CREATE_DATE">
    <vt:lpwstr/>
  </property>
  <property fmtid="{D5CDD505-2E9C-101B-9397-08002B2CF9AE}" pid="96" name="SAP_V8_RELEASE_USER">
    <vt:lpwstr/>
  </property>
  <property fmtid="{D5CDD505-2E9C-101B-9397-08002B2CF9AE}" pid="97" name="SAP_V8_RELEASE_DATE">
    <vt:lpwstr/>
  </property>
  <property fmtid="{D5CDD505-2E9C-101B-9397-08002B2CF9AE}" pid="98" name="SAP_V8_NUMBER_OF_CHANGES">
    <vt:lpwstr/>
  </property>
  <property fmtid="{D5CDD505-2E9C-101B-9397-08002B2CF9AE}" pid="99" name="SAP_V8_CHANGE_NOTE">
    <vt:lpwstr/>
  </property>
  <property fmtid="{D5CDD505-2E9C-101B-9397-08002B2CF9AE}" pid="100" name="STDBEN1">
    <vt:lpwstr>instrument list</vt:lpwstr>
  </property>
  <property fmtid="{D5CDD505-2E9C-101B-9397-08002B2CF9AE}" pid="101" name="STDBEN1_1">
    <vt:lpwstr>工具清单</vt:lpwstr>
  </property>
  <property fmtid="{D5CDD505-2E9C-101B-9397-08002B2CF9AE}" pid="102" name="STDBEN1_D">
    <vt:lpwstr>Instrumentenliste</vt:lpwstr>
  </property>
  <property fmtid="{D5CDD505-2E9C-101B-9397-08002B2CF9AE}" pid="103" name="STDBEN1_E">
    <vt:lpwstr>instrument list</vt:lpwstr>
  </property>
  <property fmtid="{D5CDD505-2E9C-101B-9397-08002B2CF9AE}" pid="104" name="STDBEN1_F">
    <vt:lpwstr>liste d-instruments</vt:lpwstr>
  </property>
  <property fmtid="{D5CDD505-2E9C-101B-9397-08002B2CF9AE}" pid="105" name="STDBEN1_I">
    <vt:lpwstr>lista strumenti</vt:lpwstr>
  </property>
  <property fmtid="{D5CDD505-2E9C-101B-9397-08002B2CF9AE}" pid="106" name="STDBEN1_J">
    <vt:lpwstr>器具一覧</vt:lpwstr>
  </property>
  <property fmtid="{D5CDD505-2E9C-101B-9397-08002B2CF9AE}" pid="107" name="STDBEN1_K">
    <vt:lpwstr>instrumentliste</vt:lpwstr>
  </property>
  <property fmtid="{D5CDD505-2E9C-101B-9397-08002B2CF9AE}" pid="108" name="STDBEN1_P">
    <vt:lpwstr>lista de instrument</vt:lpwstr>
  </property>
  <property fmtid="{D5CDD505-2E9C-101B-9397-08002B2CF9AE}" pid="109" name="STDBEN1_R">
    <vt:lpwstr>спис.инструментов</vt:lpwstr>
  </property>
  <property fmtid="{D5CDD505-2E9C-101B-9397-08002B2CF9AE}" pid="110" name="STDBEN1_S">
    <vt:lpwstr>lista instrumentos</vt:lpwstr>
  </property>
  <property fmtid="{D5CDD505-2E9C-101B-9397-08002B2CF9AE}" pid="111" name="STDBEN1_U">
    <vt:lpwstr>laitteistoluettelo</vt:lpwstr>
  </property>
  <property fmtid="{D5CDD505-2E9C-101B-9397-08002B2CF9AE}" pid="112" name="STDBEN1_V">
    <vt:lpwstr>instrumentlista</vt:lpwstr>
  </property>
  <property fmtid="{D5CDD505-2E9C-101B-9397-08002B2CF9AE}" pid="113" name="STDBEN1_Z">
    <vt:lpwstr>lista de instrum.</vt:lpwstr>
  </property>
  <property fmtid="{D5CDD505-2E9C-101B-9397-08002B2CF9AE}" pid="114" name="SAP_PROJECT_PREFIX">
    <vt:lpwstr>SMAS</vt:lpwstr>
  </property>
  <property fmtid="{D5CDD505-2E9C-101B-9397-08002B2CF9AE}" pid="115" name="SAP_CONSORTIUM_DOCUMENT_ID">
    <vt:lpwstr/>
  </property>
  <property fmtid="{D5CDD505-2E9C-101B-9397-08002B2CF9AE}" pid="116" name="SAP_CUSTOMER_DOCUMENT_ID">
    <vt:lpwstr/>
  </property>
  <property fmtid="{D5CDD505-2E9C-101B-9397-08002B2CF9AE}" pid="117" name="SAP_CONTRACT_REFERENCE">
    <vt:lpwstr/>
  </property>
  <property fmtid="{D5CDD505-2E9C-101B-9397-08002B2CF9AE}" pid="118" name="SAP_DRAWING_NUMBER">
    <vt:lpwstr/>
  </property>
  <property fmtid="{D5CDD505-2E9C-101B-9397-08002B2CF9AE}" pid="119" name="ContentTypeId">
    <vt:lpwstr>0x01010056770EA2D3243A4E871C258C6397ABCA</vt:lpwstr>
  </property>
  <property fmtid="{D5CDD505-2E9C-101B-9397-08002B2CF9AE}" pid="120" name="MediaServiceImageTags">
    <vt:lpwstr/>
  </property>
</Properties>
</file>