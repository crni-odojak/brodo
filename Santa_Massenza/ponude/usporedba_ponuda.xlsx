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rojekti\Santa_Massenza\ponude\"/>
    </mc:Choice>
  </mc:AlternateContent>
  <xr:revisionPtr revIDLastSave="0" documentId="13_ncr:1_{EF9BAF10-B249-40ED-80EB-3D82B46DB09F}" xr6:coauthVersionLast="47" xr6:coauthVersionMax="47" xr10:uidLastSave="{00000000-0000-0000-0000-000000000000}"/>
  <bookViews>
    <workbookView xWindow="-120" yWindow="-120" windowWidth="38640" windowHeight="21840" xr2:uid="{86DAE7CE-0F29-42DC-9CD2-BE2C15F493A4}"/>
  </bookViews>
  <sheets>
    <sheet name="rekapitulacija 09.10.2026.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__123Graph_X" hidden="1">'[1]données météo'!#REF!</definedName>
    <definedName name="__123Graph_XBARLEDU" hidden="1">'[1]données météo'!#REF!</definedName>
    <definedName name="__IntlFixup" hidden="1">TRUE</definedName>
    <definedName name="__IntlFixupTable" hidden="1">'[2]Int. Data Table'!$A$3:$AB$10</definedName>
    <definedName name="_Fill" hidden="1">'[3]Tableau général'!#REF!</definedName>
    <definedName name="_xlnm._FilterDatabase" localSheetId="0" hidden="1">'rekapitulacija 09.10.2026.'!$A$1:$J$91</definedName>
    <definedName name="_Key1" hidden="1">'[3]Tableau général'!#REF!</definedName>
    <definedName name="_Key2" hidden="1">'[3]Tableau général'!#REF!</definedName>
    <definedName name="_Order1" hidden="1">255</definedName>
    <definedName name="_Order2" hidden="1">255</definedName>
    <definedName name="_Sort" hidden="1">'[3]Tableau général'!#REF!</definedName>
    <definedName name="Bible">#REF!</definedName>
    <definedName name="BLOC">#REF!</definedName>
    <definedName name="coef">#REF!</definedName>
    <definedName name="Coût_recettes">#REF!</definedName>
    <definedName name="d">#REF!</definedName>
    <definedName name="divers">#REF!</definedName>
    <definedName name="e">#REF!</definedName>
    <definedName name="EPL_HEADER">#REF!</definedName>
    <definedName name="EPL_VALUES">#REF!</definedName>
    <definedName name="eur">#REF!</definedName>
    <definedName name="eurinr">[4]Transport!$D$28</definedName>
    <definedName name="eurkn">[5]Transport!$D$27</definedName>
    <definedName name="eurmkd">[4]Transport!#REF!</definedName>
    <definedName name="euro">#REF!</definedName>
    <definedName name="eurokn">#REF!</definedName>
    <definedName name="euromkd">#REF!</definedName>
    <definedName name="ew">#REF!</definedName>
    <definedName name="fac">#REF!</definedName>
    <definedName name="listeStatut">#N/A</definedName>
    <definedName name="_xlnm.Print_Titles" localSheetId="0">'rekapitulacija 09.10.2026.'!#REF!</definedName>
    <definedName name="range1">[6]Sheet1!$M$3:$M$11</definedName>
    <definedName name="range2">[6]Sheet1!$N$3:$N$11</definedName>
    <definedName name="range3">[6]Sheet1!$O$3:$O$11</definedName>
    <definedName name="range4">[6]Sheet1!$P$3:$P$11</definedName>
    <definedName name="tauxM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4" i="1" l="1"/>
  <c r="E94" i="1"/>
  <c r="C98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E3" i="1"/>
  <c r="E4" i="1"/>
  <c r="I2" i="1"/>
  <c r="E2" i="1"/>
</calcChain>
</file>

<file path=xl/sharedStrings.xml><?xml version="1.0" encoding="utf-8"?>
<sst xmlns="http://schemas.openxmlformats.org/spreadsheetml/2006/main" count="199" uniqueCount="164">
  <si>
    <t>Naziv elementa</t>
  </si>
  <si>
    <t>Neperforirana trasa 250</t>
  </si>
  <si>
    <t>NIXKZN 100X250_IX</t>
  </si>
  <si>
    <t>spojnica trasa</t>
  </si>
  <si>
    <t>NIXS 100_IX</t>
  </si>
  <si>
    <t>poklopac trase</t>
  </si>
  <si>
    <t>NIXV 250_IX</t>
  </si>
  <si>
    <t>držač poklopca trase</t>
  </si>
  <si>
    <t>NIXUV_IX</t>
  </si>
  <si>
    <t>zglobna spojnica (gore/dolje) - prolagodljiva</t>
  </si>
  <si>
    <t>INOXSK 100_IX</t>
  </si>
  <si>
    <t>kutna spojnica 90° od komada (gore/dolje) - uzlazna</t>
  </si>
  <si>
    <t>NIXSO 90X100X250_IX</t>
  </si>
  <si>
    <t>poklopac za kutnu spojnicu 90° od komada - uzlazna</t>
  </si>
  <si>
    <t>NIXVSO 90X250_IX</t>
  </si>
  <si>
    <t>kutna spojnica 90° od komada (gore/dolje) - silazna</t>
  </si>
  <si>
    <t>NIXKO 90X100X250_IX</t>
  </si>
  <si>
    <t>poklopac za kutnu spojnicu 90° od komada - silazna</t>
  </si>
  <si>
    <t>NIXVKO 90X100X250_IX</t>
  </si>
  <si>
    <t>kutna spojnica 90° (lijevo/desno) - prilagodljiva</t>
  </si>
  <si>
    <t>NIXSUK 100_IX</t>
  </si>
  <si>
    <t>kutna spojnica 90° (lijevo/desno)</t>
  </si>
  <si>
    <t>NIXO 90X100X250_IX</t>
  </si>
  <si>
    <t>poklopac za kutnu spojnicu 90°</t>
  </si>
  <si>
    <t>NIXVO 90X250_IX</t>
  </si>
  <si>
    <t>T spojnica</t>
  </si>
  <si>
    <t>NIXT 100X250_IX</t>
  </si>
  <si>
    <t>poklopac za T-spojnicu</t>
  </si>
  <si>
    <t>NIXVT 250_IX</t>
  </si>
  <si>
    <t>pregrada kabela (energ/signal)</t>
  </si>
  <si>
    <t>NIXPZ 100_IX</t>
  </si>
  <si>
    <t>završna kapa na kanalicu (sljepi dio)</t>
  </si>
  <si>
    <t>NIXK 100X250_IX</t>
  </si>
  <si>
    <t>konzola l=250mm</t>
  </si>
  <si>
    <t>INOXDS 250_IX</t>
  </si>
  <si>
    <t>sidreni vijak za beton M10</t>
  </si>
  <si>
    <t>INOXKPO 10X95_IX</t>
  </si>
  <si>
    <t>C šina</t>
  </si>
  <si>
    <t>INOXMP 41X21_IX</t>
  </si>
  <si>
    <t>sidreni vijak za beton M6</t>
  </si>
  <si>
    <t>INOXKPO 6X70_IX</t>
  </si>
  <si>
    <t>podloška M6 - široka</t>
  </si>
  <si>
    <t>INOXPVL 6_IX</t>
  </si>
  <si>
    <t>klizna matica</t>
  </si>
  <si>
    <t>INOXPM 41 M 10_IX</t>
  </si>
  <si>
    <t>vijak s šesterokutnom glavom</t>
  </si>
  <si>
    <t>INOXS 10X20_IX</t>
  </si>
  <si>
    <t>navojna šipka</t>
  </si>
  <si>
    <t>INOXZT 10_IX</t>
  </si>
  <si>
    <t>M10 tipla na beton</t>
  </si>
  <si>
    <t>INOXKPOZ 10_IX</t>
  </si>
  <si>
    <t>podloške M10</t>
  </si>
  <si>
    <t>INOXPD 10_IX</t>
  </si>
  <si>
    <t>NIXKZN 100X250_IX-3mm</t>
  </si>
  <si>
    <t>C šina - iznutra INOX kanalice</t>
  </si>
  <si>
    <t>INOXNP 250_IX</t>
  </si>
  <si>
    <t>matica M10</t>
  </si>
  <si>
    <t>INOXM 10_IX</t>
  </si>
  <si>
    <t>Perforirana trasa 300 s spojnicom</t>
  </si>
  <si>
    <t>KZI 60X300X1.00_F</t>
  </si>
  <si>
    <t>KSBS 100_POF</t>
  </si>
  <si>
    <t>V 300_F</t>
  </si>
  <si>
    <t>VU_GMT</t>
  </si>
  <si>
    <t>SK 60_ZM</t>
  </si>
  <si>
    <t>SO 90X60X300_F</t>
  </si>
  <si>
    <t>VSO 90X300_F</t>
  </si>
  <si>
    <t>KO 90X60X300_F</t>
  </si>
  <si>
    <t>VKO 90X60X300_F</t>
  </si>
  <si>
    <t>SSU 60_ZM</t>
  </si>
  <si>
    <t>O 90X60X300_F</t>
  </si>
  <si>
    <t>VO 90X300_F</t>
  </si>
  <si>
    <t>T 60X300_F</t>
  </si>
  <si>
    <t>VT 300_F</t>
  </si>
  <si>
    <t>K-R 60X300_ZM</t>
  </si>
  <si>
    <t>reducir 300-200mm</t>
  </si>
  <si>
    <t>K-R 60X100_ZM</t>
  </si>
  <si>
    <t>konzola l=300mm</t>
  </si>
  <si>
    <t>DTN 300_F</t>
  </si>
  <si>
    <t>sidreni vijak za beton</t>
  </si>
  <si>
    <t>KPO 10X95_POGMT</t>
  </si>
  <si>
    <t>MP 41X41X2.5-3P_F3</t>
  </si>
  <si>
    <t>KPO 8X77_POGMT</t>
  </si>
  <si>
    <t>podloška - široka</t>
  </si>
  <si>
    <t>PVL 8_GMT</t>
  </si>
  <si>
    <t>PM 41 M 10_GMT</t>
  </si>
  <si>
    <t>S 10X20_GMT</t>
  </si>
  <si>
    <t>Perforirana trasa 200 s spojnicom</t>
  </si>
  <si>
    <t>KZI 60X200X1.00_F</t>
  </si>
  <si>
    <t>V 200_F</t>
  </si>
  <si>
    <t>SO 90X60X200_F</t>
  </si>
  <si>
    <t>VSO 90X200_F</t>
  </si>
  <si>
    <t>KO 90X60X200_F</t>
  </si>
  <si>
    <t>VKO 90X60X200_F</t>
  </si>
  <si>
    <t>O 90X60X200_F</t>
  </si>
  <si>
    <t>VO 90X200_F</t>
  </si>
  <si>
    <t>T 60X200_F</t>
  </si>
  <si>
    <t>VT 200_F</t>
  </si>
  <si>
    <t>K-R 60X200_ZM</t>
  </si>
  <si>
    <t>konzola l=200mm</t>
  </si>
  <si>
    <t>DTN 200_F</t>
  </si>
  <si>
    <t>stropni nosač 500</t>
  </si>
  <si>
    <t>SPS 500_F</t>
  </si>
  <si>
    <t>glava za C profil</t>
  </si>
  <si>
    <t>HMP 41_F</t>
  </si>
  <si>
    <t>vijak za spoj glave s C šinom</t>
  </si>
  <si>
    <t>S 10X70_GMT</t>
  </si>
  <si>
    <t>podloška</t>
  </si>
  <si>
    <t>PD 10_GMT</t>
  </si>
  <si>
    <t>Matica</t>
  </si>
  <si>
    <t>ML 10_GMT</t>
  </si>
  <si>
    <t>dodatni element za poprečnu C šinu</t>
  </si>
  <si>
    <t>VS 41X31_F</t>
  </si>
  <si>
    <t>stropni nosač 300 - INOX</t>
  </si>
  <si>
    <t>SPS 300_F</t>
  </si>
  <si>
    <t>Neperforirana trasa 500</t>
  </si>
  <si>
    <t>KZI 110X500X1.25_F</t>
  </si>
  <si>
    <t>V 500_F</t>
  </si>
  <si>
    <t>SK 110_ZM</t>
  </si>
  <si>
    <t>SSU 110_ZM</t>
  </si>
  <si>
    <t>zidna montaža</t>
  </si>
  <si>
    <t>KLSU_ZM</t>
  </si>
  <si>
    <t>sidreni vijak za beton M8</t>
  </si>
  <si>
    <t>KPO 8X97_POGMT</t>
  </si>
  <si>
    <t>spojni vijci</t>
  </si>
  <si>
    <t>NSM 6X10_GMT</t>
  </si>
  <si>
    <t>spojni vijci INOX</t>
  </si>
  <si>
    <t>NIXSM 6X10_IX</t>
  </si>
  <si>
    <t>zaštitna rubna traka</t>
  </si>
  <si>
    <t>NCH_XX</t>
  </si>
  <si>
    <t>C šina za obujmice</t>
  </si>
  <si>
    <t>NP 30X15X1.20_ZM</t>
  </si>
  <si>
    <t>obujmica za kaoflex 10-19</t>
  </si>
  <si>
    <t>PKC1 1200_F</t>
  </si>
  <si>
    <t>obujmica za kaoflex 14-23</t>
  </si>
  <si>
    <t>PKC1 1201_F</t>
  </si>
  <si>
    <t>obujmica za kaoflex 25-34</t>
  </si>
  <si>
    <t>PKC1 1204_F</t>
  </si>
  <si>
    <t>NIXV 250_IX - 3mm</t>
  </si>
  <si>
    <t>INOXDS 300_IX</t>
  </si>
  <si>
    <t>Perforirana trasa 400 s spojnicom</t>
  </si>
  <si>
    <t>KZI 60X400X1.00_F</t>
  </si>
  <si>
    <t>V 400_F</t>
  </si>
  <si>
    <t>konzola l=400mm</t>
  </si>
  <si>
    <t>DTN 400_F</t>
  </si>
  <si>
    <t>stropni nosač 1000</t>
  </si>
  <si>
    <t>SPS 1000_F</t>
  </si>
  <si>
    <t>Količina</t>
  </si>
  <si>
    <t>Element Kopos</t>
  </si>
  <si>
    <t>Element Metalis</t>
  </si>
  <si>
    <t>Napomena</t>
  </si>
  <si>
    <t>RSU-300/110 IX 1.4301</t>
  </si>
  <si>
    <t>Količina Kopos</t>
  </si>
  <si>
    <t>Cijena kom Kopos</t>
  </si>
  <si>
    <t>Cijena ukupno Kopos</t>
  </si>
  <si>
    <t>Cijena ukupno Metalis</t>
  </si>
  <si>
    <t>Cijena kom Metalis</t>
  </si>
  <si>
    <t>PUKU-300/110 IX 1.4301 L=2m</t>
  </si>
  <si>
    <t>PPKU-300 IX 1.4301 L=2m d=0,6mm</t>
  </si>
  <si>
    <t>DP-110 IX 1.4301</t>
  </si>
  <si>
    <t>UKUPNO</t>
  </si>
  <si>
    <t>USU-300/110 IX 1.4301</t>
  </si>
  <si>
    <t>PUSU-300 IX 1.4301 d=0,6mm</t>
  </si>
  <si>
    <r>
      <t>PROFIL NP 30X15X1.20_</t>
    </r>
    <r>
      <rPr>
        <b/>
        <sz val="11"/>
        <color theme="1"/>
        <rFont val="Aptos Narrow"/>
        <family val="2"/>
        <scheme val="minor"/>
      </rPr>
      <t>F</t>
    </r>
  </si>
  <si>
    <r>
      <t>KUT 90" ZA KZI 60X300x0,75_F, O 90X60X300_</t>
    </r>
    <r>
      <rPr>
        <b/>
        <sz val="11"/>
        <color theme="1"/>
        <rFont val="Aptos Narrow"/>
        <family val="2"/>
        <scheme val="minor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</si>
</sst>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kom&quot;"/>
    <numFmt numFmtId="165" formatCode="0.0\ &quot;m&quot;"/>
    <numFmt numFmtId="166" formatCode="0.0&quot; m&quot;"/>
    <numFmt numFmtId="168" formatCode="#,##0.00\ &quot;€&quot;"/>
  </numFmts>
  <fonts count="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4" fillId="0" borderId="0"/>
    <xf numFmtId="9" fontId="2" fillId="0" borderId="0" applyFont="0" applyFill="0" applyBorder="0" applyAlignment="0" applyProtection="0"/>
  </cellStyleXfs>
  <cellXfs count="78">
    <xf numFmtId="0" fontId="0" fillId="0" borderId="0" xfId="0"/>
    <xf numFmtId="164" fontId="4" fillId="0" borderId="2" xfId="1" applyNumberFormat="1" applyFont="1" applyFill="1" applyBorder="1" applyAlignment="1">
      <alignment horizontal="center" vertical="center" wrapText="1"/>
    </xf>
    <xf numFmtId="164" fontId="6" fillId="0" borderId="2" xfId="1" applyNumberFormat="1" applyFont="1" applyFill="1" applyBorder="1" applyAlignment="1">
      <alignment horizontal="center" vertical="center" wrapText="1"/>
    </xf>
    <xf numFmtId="0" fontId="4" fillId="0" borderId="2" xfId="2" applyBorder="1" applyAlignment="1">
      <alignment wrapText="1"/>
    </xf>
    <xf numFmtId="168" fontId="4" fillId="0" borderId="2" xfId="1" applyNumberFormat="1" applyFont="1" applyFill="1" applyBorder="1" applyAlignment="1">
      <alignment horizontal="center" vertical="center" wrapText="1"/>
    </xf>
    <xf numFmtId="168" fontId="6" fillId="0" borderId="2" xfId="1" applyNumberFormat="1" applyFont="1" applyFill="1" applyBorder="1" applyAlignment="1">
      <alignment horizontal="center" vertical="center" wrapText="1"/>
    </xf>
    <xf numFmtId="0" fontId="4" fillId="0" borderId="2" xfId="2" applyNumberFormat="1" applyBorder="1" applyAlignment="1">
      <alignment horizontal="center" wrapText="1"/>
    </xf>
    <xf numFmtId="0" fontId="5" fillId="0" borderId="2" xfId="2" applyNumberFormat="1" applyFont="1" applyBorder="1" applyAlignment="1">
      <alignment horizontal="center" wrapText="1"/>
    </xf>
    <xf numFmtId="0" fontId="1" fillId="0" borderId="2" xfId="2" applyNumberFormat="1" applyFont="1" applyBorder="1" applyAlignment="1">
      <alignment horizontal="center" wrapText="1"/>
    </xf>
    <xf numFmtId="164" fontId="5" fillId="0" borderId="2" xfId="2" applyNumberFormat="1" applyFont="1" applyBorder="1" applyAlignment="1">
      <alignment horizontal="center" wrapText="1"/>
    </xf>
    <xf numFmtId="164" fontId="1" fillId="0" borderId="2" xfId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0" xfId="2" applyAlignment="1">
      <alignment wrapText="1"/>
    </xf>
    <xf numFmtId="4" fontId="4" fillId="0" borderId="0" xfId="2" applyNumberFormat="1" applyAlignment="1">
      <alignment wrapText="1"/>
    </xf>
    <xf numFmtId="0" fontId="4" fillId="3" borderId="2" xfId="2" applyNumberFormat="1" applyFill="1" applyBorder="1" applyAlignment="1">
      <alignment horizontal="center" vertical="center" wrapText="1"/>
    </xf>
    <xf numFmtId="0" fontId="4" fillId="0" borderId="2" xfId="2" applyNumberForma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68" fontId="0" fillId="0" borderId="2" xfId="0" applyNumberFormat="1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0" fontId="5" fillId="0" borderId="2" xfId="2" applyNumberFormat="1" applyFont="1" applyBorder="1" applyAlignment="1">
      <alignment horizontal="center" vertical="center" wrapText="1"/>
    </xf>
    <xf numFmtId="4" fontId="0" fillId="0" borderId="0" xfId="0" applyNumberFormat="1" applyAlignment="1">
      <alignment wrapText="1"/>
    </xf>
    <xf numFmtId="0" fontId="6" fillId="0" borderId="2" xfId="2" applyFont="1" applyBorder="1" applyAlignment="1">
      <alignment wrapText="1"/>
    </xf>
    <xf numFmtId="0" fontId="4" fillId="0" borderId="2" xfId="2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9" fontId="0" fillId="0" borderId="0" xfId="3" applyFont="1" applyAlignment="1">
      <alignment wrapText="1"/>
    </xf>
    <xf numFmtId="4" fontId="7" fillId="0" borderId="0" xfId="0" applyNumberFormat="1" applyFont="1" applyAlignment="1">
      <alignment wrapText="1"/>
    </xf>
    <xf numFmtId="0" fontId="4" fillId="0" borderId="0" xfId="2" applyAlignment="1">
      <alignment horizontal="center" wrapText="1"/>
    </xf>
    <xf numFmtId="166" fontId="4" fillId="0" borderId="0" xfId="2" applyNumberFormat="1" applyAlignment="1">
      <alignment wrapText="1"/>
    </xf>
    <xf numFmtId="164" fontId="4" fillId="0" borderId="0" xfId="2" applyNumberFormat="1" applyAlignment="1">
      <alignment horizontal="center" vertical="center" wrapText="1"/>
    </xf>
    <xf numFmtId="0" fontId="4" fillId="0" borderId="0" xfId="2" applyAlignment="1">
      <alignment vertical="center" wrapText="1"/>
    </xf>
    <xf numFmtId="49" fontId="4" fillId="0" borderId="0" xfId="2" applyNumberFormat="1" applyAlignment="1">
      <alignment wrapText="1"/>
    </xf>
    <xf numFmtId="164" fontId="5" fillId="0" borderId="2" xfId="0" applyNumberFormat="1" applyFont="1" applyBorder="1" applyAlignment="1">
      <alignment horizontal="center"/>
    </xf>
    <xf numFmtId="165" fontId="5" fillId="0" borderId="2" xfId="1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/>
    </xf>
    <xf numFmtId="164" fontId="5" fillId="0" borderId="2" xfId="1" applyNumberFormat="1" applyFont="1" applyFill="1" applyBorder="1" applyAlignment="1">
      <alignment horizontal="center" vertical="center" wrapText="1"/>
    </xf>
    <xf numFmtId="0" fontId="5" fillId="4" borderId="2" xfId="2" applyNumberFormat="1" applyFont="1" applyFill="1" applyBorder="1" applyAlignment="1">
      <alignment horizontal="center" wrapText="1"/>
    </xf>
    <xf numFmtId="164" fontId="0" fillId="4" borderId="2" xfId="0" applyNumberFormat="1" applyFill="1" applyBorder="1" applyAlignment="1">
      <alignment horizontal="center" wrapText="1"/>
    </xf>
    <xf numFmtId="168" fontId="0" fillId="4" borderId="2" xfId="0" applyNumberFormat="1" applyFill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168" fontId="0" fillId="0" borderId="0" xfId="0" applyNumberFormat="1" applyAlignment="1">
      <alignment horizontal="center" wrapText="1"/>
    </xf>
    <xf numFmtId="0" fontId="5" fillId="4" borderId="2" xfId="2" applyNumberFormat="1" applyFont="1" applyFill="1" applyBorder="1" applyAlignment="1">
      <alignment horizontal="center" vertical="center" wrapText="1"/>
    </xf>
    <xf numFmtId="168" fontId="4" fillId="4" borderId="2" xfId="1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4" fillId="4" borderId="2" xfId="2" applyNumberFormat="1" applyFill="1" applyBorder="1" applyAlignment="1">
      <alignment horizontal="center" wrapText="1"/>
    </xf>
    <xf numFmtId="165" fontId="5" fillId="0" borderId="2" xfId="2" applyNumberFormat="1" applyFont="1" applyBorder="1" applyAlignment="1">
      <alignment horizontal="center" wrapText="1"/>
    </xf>
    <xf numFmtId="168" fontId="5" fillId="0" borderId="2" xfId="1" applyNumberFormat="1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wrapText="1"/>
    </xf>
    <xf numFmtId="165" fontId="5" fillId="4" borderId="2" xfId="0" applyNumberFormat="1" applyFont="1" applyFill="1" applyBorder="1" applyAlignment="1">
      <alignment horizontal="center"/>
    </xf>
    <xf numFmtId="168" fontId="5" fillId="4" borderId="2" xfId="0" applyNumberFormat="1" applyFont="1" applyFill="1" applyBorder="1" applyAlignment="1">
      <alignment horizontal="center" wrapText="1"/>
    </xf>
    <xf numFmtId="164" fontId="5" fillId="4" borderId="2" xfId="0" applyNumberFormat="1" applyFont="1" applyFill="1" applyBorder="1" applyAlignment="1">
      <alignment horizontal="center"/>
    </xf>
    <xf numFmtId="0" fontId="5" fillId="0" borderId="2" xfId="2" applyNumberFormat="1" applyFont="1" applyFill="1" applyBorder="1" applyAlignment="1">
      <alignment horizontal="center" vertical="center" wrapText="1"/>
    </xf>
    <xf numFmtId="0" fontId="5" fillId="0" borderId="2" xfId="2" applyNumberFormat="1" applyFont="1" applyFill="1" applyBorder="1" applyAlignment="1">
      <alignment horizontal="center" wrapText="1"/>
    </xf>
    <xf numFmtId="0" fontId="5" fillId="0" borderId="2" xfId="2" quotePrefix="1" applyNumberFormat="1" applyFont="1" applyFill="1" applyBorder="1" applyAlignment="1">
      <alignment horizontal="center" wrapText="1"/>
    </xf>
    <xf numFmtId="0" fontId="4" fillId="0" borderId="2" xfId="2" applyNumberFormat="1" applyFill="1" applyBorder="1" applyAlignment="1">
      <alignment horizontal="center" vertical="center" wrapText="1"/>
    </xf>
    <xf numFmtId="164" fontId="5" fillId="0" borderId="2" xfId="0" applyNumberFormat="1" applyFont="1" applyFill="1" applyBorder="1" applyAlignment="1">
      <alignment horizontal="center"/>
    </xf>
    <xf numFmtId="168" fontId="5" fillId="0" borderId="2" xfId="0" applyNumberFormat="1" applyFont="1" applyFill="1" applyBorder="1" applyAlignment="1">
      <alignment horizontal="center" wrapText="1"/>
    </xf>
    <xf numFmtId="164" fontId="0" fillId="0" borderId="2" xfId="0" applyNumberFormat="1" applyFill="1" applyBorder="1" applyAlignment="1">
      <alignment horizontal="center" wrapText="1"/>
    </xf>
    <xf numFmtId="168" fontId="0" fillId="0" borderId="2" xfId="0" applyNumberFormat="1" applyFill="1" applyBorder="1" applyAlignment="1">
      <alignment horizontal="center" wrapText="1"/>
    </xf>
    <xf numFmtId="0" fontId="0" fillId="0" borderId="2" xfId="0" applyFill="1" applyBorder="1" applyAlignment="1">
      <alignment wrapText="1"/>
    </xf>
    <xf numFmtId="0" fontId="4" fillId="0" borderId="2" xfId="2" applyNumberFormat="1" applyFill="1" applyBorder="1" applyAlignment="1">
      <alignment horizontal="center" wrapText="1"/>
    </xf>
    <xf numFmtId="165" fontId="5" fillId="0" borderId="2" xfId="0" applyNumberFormat="1" applyFont="1" applyFill="1" applyBorder="1" applyAlignment="1">
      <alignment horizontal="center"/>
    </xf>
    <xf numFmtId="0" fontId="1" fillId="4" borderId="2" xfId="2" applyFont="1" applyFill="1" applyBorder="1" applyAlignment="1">
      <alignment wrapText="1"/>
    </xf>
    <xf numFmtId="0" fontId="4" fillId="5" borderId="2" xfId="2" applyNumberFormat="1" applyFill="1" applyBorder="1" applyAlignment="1">
      <alignment horizontal="center" vertical="center" wrapText="1"/>
    </xf>
    <xf numFmtId="0" fontId="4" fillId="5" borderId="2" xfId="2" applyNumberFormat="1" applyFill="1" applyBorder="1" applyAlignment="1">
      <alignment horizontal="center" wrapText="1"/>
    </xf>
    <xf numFmtId="165" fontId="5" fillId="5" borderId="2" xfId="0" applyNumberFormat="1" applyFont="1" applyFill="1" applyBorder="1" applyAlignment="1">
      <alignment horizontal="center"/>
    </xf>
    <xf numFmtId="168" fontId="5" fillId="5" borderId="2" xfId="0" applyNumberFormat="1" applyFont="1" applyFill="1" applyBorder="1" applyAlignment="1">
      <alignment horizontal="center" wrapText="1"/>
    </xf>
    <xf numFmtId="168" fontId="4" fillId="5" borderId="2" xfId="1" applyNumberFormat="1" applyFont="1" applyFill="1" applyBorder="1" applyAlignment="1">
      <alignment horizontal="center" vertical="center" wrapText="1"/>
    </xf>
    <xf numFmtId="164" fontId="0" fillId="5" borderId="2" xfId="0" applyNumberFormat="1" applyFill="1" applyBorder="1" applyAlignment="1">
      <alignment horizontal="center" wrapText="1"/>
    </xf>
    <xf numFmtId="168" fontId="0" fillId="5" borderId="2" xfId="0" applyNumberFormat="1" applyFill="1" applyBorder="1" applyAlignment="1">
      <alignment horizontal="center" wrapText="1"/>
    </xf>
    <xf numFmtId="0" fontId="4" fillId="5" borderId="2" xfId="2" applyFill="1" applyBorder="1" applyAlignment="1">
      <alignment wrapText="1"/>
    </xf>
    <xf numFmtId="0" fontId="5" fillId="5" borderId="2" xfId="2" applyNumberFormat="1" applyFont="1" applyFill="1" applyBorder="1" applyAlignment="1">
      <alignment horizontal="center" vertical="center" wrapText="1"/>
    </xf>
    <xf numFmtId="0" fontId="5" fillId="5" borderId="2" xfId="2" applyNumberFormat="1" applyFont="1" applyFill="1" applyBorder="1" applyAlignment="1">
      <alignment horizontal="center" wrapText="1"/>
    </xf>
    <xf numFmtId="164" fontId="4" fillId="5" borderId="2" xfId="1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wrapText="1"/>
    </xf>
  </cellXfs>
  <cellStyles count="4">
    <cellStyle name="40% - Accent5" xfId="1" builtinId="47"/>
    <cellStyle name="Normal" xfId="0" builtinId="0"/>
    <cellStyle name="Normalno 2 2" xfId="2" xr:uid="{8752311C-3EAA-4205-9863-8EC74746ABF3}"/>
    <cellStyle name="Percent" xfId="3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\etudes_coge\LOGICIEL%20COGE\SLEBEL\THERMI\Cog&#233;T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indows\Temporary%20Internet%20Files\OLK2363\pret%20telegestion%20agirest%2010ans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VERSAILLES-1\Vol1\Contr&#244;le%20d'exploitation\Besan&#231;on\2003\SECIP%20Tech-&#233;co%20saison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81%20HEPP%20Veer%20(Stipe%20Smoljo)\1%20Projekt\PI-0081%20HEPP%20VEER%20-%20Troskovi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87%20Makedonija%20-%20Izgradnja%202%20MHE_Drugovo,%20Slatino%20(Stipe%20Smoljo)\01%20MHE%20Drugovo\1%20Projekt\PI-0087-L002-00%20MHE%20Drugovo%20-%20Troskov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INDOWS\Temporary%20Internet%20Files\Content.IE5\CYZIP26A\Fazno%20izvje&#353;&#263;e\Intervencije-eview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météo"/>
      <sheetName val="données_météo"/>
      <sheetName val="CogéTB"/>
      <sheetName val="Hypothèses prospects"/>
      <sheetName val="Infos diverses"/>
      <sheetName val="données_météo1"/>
      <sheetName val="Cashflow ABR2"/>
      <sheetName val="données_météo2"/>
      <sheetName val="Hypothèses_prospec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aliser votre emprunt"/>
      <sheetName val="Données"/>
      <sheetName val="Table d'amortissement"/>
      <sheetName val="Graphique de récapitulation"/>
      <sheetName val="Macros"/>
      <sheetName val="Verrouiller"/>
      <sheetName val="ModifierEmprunt"/>
      <sheetName val="Int. Data Table"/>
      <sheetName val="Int_ Data Table"/>
      <sheetName val="pret telegestion agirest 10ans2"/>
      <sheetName val="Personnaliser_votre_emprunt"/>
      <sheetName val="Table_d'amortissement"/>
      <sheetName val="Graphique_de_récapitulation"/>
      <sheetName val="Int__Data_Table"/>
      <sheetName val="Int__Data_Table1"/>
      <sheetName val="pret_telegestion_agirest_10ans2"/>
      <sheetName val="Personnaliser_votre_emprunt2"/>
      <sheetName val="Table_d'amortissement2"/>
      <sheetName val="Graphique_de_récapitulation2"/>
      <sheetName val="Int__Data_Table4"/>
      <sheetName val="Int__Data_Table5"/>
      <sheetName val="pret_telegestion_agirest_10ans3"/>
      <sheetName val="Personnaliser_votre_emprunt1"/>
      <sheetName val="Table_d'amortissement1"/>
      <sheetName val="Graphique_de_récapitulation1"/>
      <sheetName val="Int__Data_Table2"/>
      <sheetName val="Int__Data_Table3"/>
      <sheetName val="pret_telegestion_agirest_10ans1"/>
      <sheetName val="Personnaliser_votre_emprunt3"/>
      <sheetName val="Table_d'amortissement3"/>
      <sheetName val="Graphique_de_récapitulation3"/>
      <sheetName val="Int__Data_Table6"/>
      <sheetName val="Int__Data_Table7"/>
      <sheetName val="pret_telegestion_agirest_10ans4"/>
      <sheetName val="données météo"/>
      <sheetName val="Personnaliser_votre_emprunt4"/>
      <sheetName val="Table_d'amortissement4"/>
      <sheetName val="Graphique_de_récapitulation4"/>
      <sheetName val="Int__Data_Table8"/>
      <sheetName val="Int__Data_Table9"/>
      <sheetName val="pret_telegestion_agirest_10ans5"/>
    </sheetNames>
    <sheetDataSet>
      <sheetData sheetId="0">
        <row r="7">
          <cell r="H7" t="str">
            <v>Placez votre pointeur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3">
          <cell r="A3" t="str">
            <v>Sheet Name</v>
          </cell>
          <cell r="B3" t="str">
            <v>Cell Address</v>
          </cell>
          <cell r="C3" t="str">
            <v>Action Code</v>
          </cell>
          <cell r="D3">
            <v>1</v>
          </cell>
          <cell r="E3">
            <v>44</v>
          </cell>
          <cell r="F3">
            <v>2</v>
          </cell>
          <cell r="G3">
            <v>61</v>
          </cell>
          <cell r="H3">
            <v>64</v>
          </cell>
          <cell r="I3">
            <v>353</v>
          </cell>
          <cell r="J3">
            <v>785</v>
          </cell>
          <cell r="K3">
            <v>43</v>
          </cell>
          <cell r="L3">
            <v>86</v>
          </cell>
          <cell r="M3">
            <v>45</v>
          </cell>
          <cell r="N3">
            <v>-999</v>
          </cell>
          <cell r="O3">
            <v>49</v>
          </cell>
          <cell r="P3">
            <v>972</v>
          </cell>
          <cell r="Q3">
            <v>39</v>
          </cell>
          <cell r="R3">
            <v>81</v>
          </cell>
          <cell r="S3">
            <v>82</v>
          </cell>
          <cell r="T3">
            <v>352</v>
          </cell>
          <cell r="U3">
            <v>31</v>
          </cell>
          <cell r="V3">
            <v>47</v>
          </cell>
          <cell r="W3">
            <v>27</v>
          </cell>
          <cell r="X3">
            <v>34</v>
          </cell>
          <cell r="Y3">
            <v>46</v>
          </cell>
          <cell r="Z3">
            <v>41</v>
          </cell>
          <cell r="AA3">
            <v>886</v>
          </cell>
          <cell r="AB3">
            <v>58</v>
          </cell>
        </row>
        <row r="4">
          <cell r="A4" t="str">
            <v>Données</v>
          </cell>
          <cell r="B4" t="str">
            <v>F16</v>
          </cell>
          <cell r="C4">
            <v>2</v>
          </cell>
          <cell r="D4" t="str">
            <v>$#,##0.00_);("$"#,##0.00)</v>
          </cell>
          <cell r="E4" t="str">
            <v>£#,##0.00_);("£"#,##0.00)</v>
          </cell>
          <cell r="F4" t="str">
            <v>$#,##0.00_);("$"#,##0.00)</v>
          </cell>
          <cell r="G4" t="str">
            <v>$#,##0.00_);("$"#,##0.00)</v>
          </cell>
          <cell r="H4" t="str">
            <v>$#,##0.00_);("$"#,##0.00)</v>
          </cell>
          <cell r="I4" t="str">
            <v>IR£#,##0.00_);("IR£"#,##0.00)</v>
          </cell>
          <cell r="J4" t="str">
            <v>#,##0.00_);(#,##0.00)</v>
          </cell>
          <cell r="K4" t="str">
            <v>ÖS #.##0,00_);("ÖS "#.##0,00)</v>
          </cell>
          <cell r="L4" t="str">
            <v>#,##0.00_);(#,##0.00)</v>
          </cell>
          <cell r="M4" t="str">
            <v>kr #.##0,00_);("kr "#.##0,00)</v>
          </cell>
          <cell r="N4" t="str">
            <v># ##0,00 "F"_);(# ##0,00 "F")</v>
          </cell>
          <cell r="O4" t="str">
            <v>#.##0,00 "DM"_);(#.##0,00 "DM")</v>
          </cell>
          <cell r="P4" t="str">
            <v>#,##0.00_D_M_);(#,##0.00_D_M)</v>
          </cell>
          <cell r="Q4" t="str">
            <v>L. #.##0,00_);("L. "#.##0,00)</v>
          </cell>
          <cell r="R4" t="str">
            <v>¥#,##0.00_);("¥"#,##0.00)</v>
          </cell>
          <cell r="S4" t="str">
            <v>#,##0.00_D_M_);(#,##0.00_D_M)</v>
          </cell>
          <cell r="T4" t="str">
            <v>#.##0,00 "F"_);(#.##0,00 "F")</v>
          </cell>
          <cell r="U4" t="str">
            <v>F #.##0,00_);("F "#.##0,00)</v>
          </cell>
          <cell r="V4" t="str">
            <v>kr # ##0,00_);("kr "# ##0,00)</v>
          </cell>
          <cell r="W4" t="str">
            <v>R #,##0.00_);("R "#,##0.00)</v>
          </cell>
          <cell r="X4" t="str">
            <v>#.##0,00 "Pts"_);(#.##0,00 "Pts")</v>
          </cell>
          <cell r="Y4" t="str">
            <v># ##0,00 "kr"_);(# ##0,00 "kr")</v>
          </cell>
          <cell r="Z4" t="str">
            <v>SFr. #'##0.00_);("SFr. "#'##0.00)</v>
          </cell>
          <cell r="AA4" t="str">
            <v>#,##0.00_D_M_);(#,##0.00_D_M)</v>
          </cell>
          <cell r="AB4" t="str">
            <v>Bs #.##0,00_);("Bs "#.##0,00)</v>
          </cell>
        </row>
        <row r="5">
          <cell r="A5" t="str">
            <v>Données</v>
          </cell>
          <cell r="B5" t="str">
            <v>I20:I21</v>
          </cell>
          <cell r="C5">
            <v>2</v>
          </cell>
          <cell r="D5" t="str">
            <v>$#,##0.00_);("$"#,##0.00)</v>
          </cell>
          <cell r="E5" t="str">
            <v>£#,##0.00_);("£"#,##0.00)</v>
          </cell>
          <cell r="F5" t="str">
            <v>$#,##0.00_);("$"#,##0.00)</v>
          </cell>
          <cell r="G5" t="str">
            <v>$#,##0.00_);("$"#,##0.00)</v>
          </cell>
          <cell r="H5" t="str">
            <v>$#,##0.00_);("$"#,##0.00)</v>
          </cell>
          <cell r="I5" t="str">
            <v>IR£#,##0.00_);("IR£"#,##0.00)</v>
          </cell>
          <cell r="J5" t="str">
            <v>#,##0.00_);(#,##0.00)</v>
          </cell>
          <cell r="K5" t="str">
            <v>ÖS #.##0,00_);("ÖS "#.##0,00)</v>
          </cell>
          <cell r="L5" t="str">
            <v>#,##0.00_);(#,##0.00)</v>
          </cell>
          <cell r="M5" t="str">
            <v>kr #.##0,00_);("kr "#.##0,00)</v>
          </cell>
          <cell r="N5" t="str">
            <v># ##0,00 "F"_);(# ##0,00 "F")</v>
          </cell>
          <cell r="O5" t="str">
            <v>#.##0,00 "DM"_);(#.##0,00 "DM")</v>
          </cell>
          <cell r="P5" t="str">
            <v>#,##0.00_D_M_);(#,##0.00_D_M)</v>
          </cell>
          <cell r="Q5" t="str">
            <v>L. #.##0,00_);("L. "#.##0,00)</v>
          </cell>
          <cell r="R5" t="str">
            <v>¥#,##0.00_);("¥"#,##0.00)</v>
          </cell>
          <cell r="S5" t="str">
            <v>#,##0.00_D_M_);(#,##0.00_D_M)</v>
          </cell>
          <cell r="T5" t="str">
            <v>#.##0,00 "F"_);(#.##0,00 "F")</v>
          </cell>
          <cell r="U5" t="str">
            <v>F #.##0,00_);("F "#.##0,00)</v>
          </cell>
          <cell r="V5" t="str">
            <v>kr # ##0,00_);("kr "# ##0,00)</v>
          </cell>
          <cell r="W5" t="str">
            <v>R #,##0.00_);("R "#,##0.00)</v>
          </cell>
          <cell r="X5" t="str">
            <v>#.##0,00 "Pts"_);(#.##0,00 "Pts")</v>
          </cell>
          <cell r="Y5" t="str">
            <v># ##0,00 "kr"_);(# ##0,00 "kr")</v>
          </cell>
          <cell r="Z5" t="str">
            <v>SFr. #'##0.00_);("SFr. "#'##0.00)</v>
          </cell>
          <cell r="AA5" t="str">
            <v>#,##0.00_D_M_);(#,##0.00_D_M)</v>
          </cell>
          <cell r="AB5" t="str">
            <v>Bs #.##0,00_);("Bs "#.##0,00)</v>
          </cell>
        </row>
        <row r="6">
          <cell r="A6" t="str">
            <v>Données</v>
          </cell>
          <cell r="B6" t="str">
            <v>I23</v>
          </cell>
          <cell r="C6">
            <v>2</v>
          </cell>
          <cell r="D6" t="str">
            <v>$#,##0.00_);("$"#,##0.00)</v>
          </cell>
          <cell r="E6" t="str">
            <v>£#,##0.00_);("£"#,##0.00)</v>
          </cell>
          <cell r="F6" t="str">
            <v>$#,##0.00_);("$"#,##0.00)</v>
          </cell>
          <cell r="G6" t="str">
            <v>$#,##0.00_);("$"#,##0.00)</v>
          </cell>
          <cell r="H6" t="str">
            <v>$#,##0.00_);("$"#,##0.00)</v>
          </cell>
          <cell r="I6" t="str">
            <v>IR£#,##0.00_);("IR£"#,##0.00)</v>
          </cell>
          <cell r="J6" t="str">
            <v>#,##0.00_);(#,##0.00)</v>
          </cell>
          <cell r="K6" t="str">
            <v>ÖS #.##0,00_);("ÖS "#.##0,00)</v>
          </cell>
          <cell r="L6" t="str">
            <v>#,##0.00_);(#,##0.00)</v>
          </cell>
          <cell r="M6" t="str">
            <v>kr #.##0,00_);("kr "#.##0,00)</v>
          </cell>
          <cell r="N6" t="str">
            <v># ##0,00 "F"_);(# ##0,00 "F")</v>
          </cell>
          <cell r="O6" t="str">
            <v>#.##0,00 "DM"_);(#.##0,00 "DM")</v>
          </cell>
          <cell r="P6" t="str">
            <v>#,##0.00_D_M_);(#,##0.00_D_M)</v>
          </cell>
          <cell r="Q6" t="str">
            <v>L. #.##0,00_);("L. "#.##0,00)</v>
          </cell>
          <cell r="R6" t="str">
            <v>¥#,##0.00_);("¥"#,##0.00)</v>
          </cell>
          <cell r="S6" t="str">
            <v>#,##0.00_D_M_);(#,##0.00_D_M)</v>
          </cell>
          <cell r="T6" t="str">
            <v>#.##0,00 "F"_);(#.##0,00 "F")</v>
          </cell>
          <cell r="U6" t="str">
            <v>F #.##0,00_);("F "#.##0,00)</v>
          </cell>
          <cell r="V6" t="str">
            <v>kr # ##0,00_);("kr "# ##0,00)</v>
          </cell>
          <cell r="W6" t="str">
            <v>R #,##0.00_);("R "#,##0.00)</v>
          </cell>
          <cell r="X6" t="str">
            <v>#.##0,00 "Pts"_);(#.##0,00 "Pts")</v>
          </cell>
          <cell r="Y6" t="str">
            <v># ##0,00 "kr"_);(# ##0,00 "kr")</v>
          </cell>
          <cell r="Z6" t="str">
            <v>SFr. #'##0.00_);("SFr. "#'##0.00)</v>
          </cell>
          <cell r="AA6" t="str">
            <v>#,##0.00_D_M_);(#,##0.00_D_M)</v>
          </cell>
          <cell r="AB6" t="str">
            <v>Bs #.##0,00_);("Bs "#.##0,00)</v>
          </cell>
        </row>
        <row r="7">
          <cell r="A7" t="str">
            <v>Données</v>
          </cell>
          <cell r="B7" t="str">
            <v>F23</v>
          </cell>
          <cell r="C7">
            <v>2</v>
          </cell>
          <cell r="D7" t="str">
            <v>$#,##0.00_);("$"#,##0.00)</v>
          </cell>
          <cell r="E7" t="str">
            <v>£#,##0.00_);("£"#,##0.00)</v>
          </cell>
          <cell r="F7" t="str">
            <v>$#,##0.00_);("$"#,##0.00)</v>
          </cell>
          <cell r="G7" t="str">
            <v>$#,##0.00_);("$"#,##0.00)</v>
          </cell>
          <cell r="H7" t="str">
            <v>$#,##0.00_);("$"#,##0.00)</v>
          </cell>
          <cell r="I7" t="str">
            <v>IR£#,##0.00_);("IR£"#,##0.00)</v>
          </cell>
          <cell r="J7" t="str">
            <v>#,##0.00_);(#,##0.00)</v>
          </cell>
          <cell r="K7" t="str">
            <v>ÖS #.##0,00_);("ÖS "#.##0,00)</v>
          </cell>
          <cell r="L7" t="str">
            <v>#,##0.00_);(#,##0.00)</v>
          </cell>
          <cell r="M7" t="str">
            <v>kr #.##0,00_);("kr "#.##0,00)</v>
          </cell>
          <cell r="N7" t="str">
            <v># ##0,00 "F"_);(# ##0,00 "F")</v>
          </cell>
          <cell r="O7" t="str">
            <v>#.##0,00 "DM"_);(#.##0,00 "DM")</v>
          </cell>
          <cell r="P7" t="str">
            <v>#,##0.00_D_M_);(#,##0.00_D_M)</v>
          </cell>
          <cell r="Q7" t="str">
            <v>L. #.##0,00_);("L. "#.##0,00)</v>
          </cell>
          <cell r="R7" t="str">
            <v>¥#,##0.00_);("¥"#,##0.00)</v>
          </cell>
          <cell r="S7" t="str">
            <v>#,##0.00_D_M_);(#,##0.00_D_M)</v>
          </cell>
          <cell r="T7" t="str">
            <v>#.##0,00 "F"_);(#.##0,00 "F")</v>
          </cell>
          <cell r="U7" t="str">
            <v>F #.##0,00_);("F "#.##0,00)</v>
          </cell>
          <cell r="V7" t="str">
            <v>kr # ##0,00_);("kr "# ##0,00)</v>
          </cell>
          <cell r="W7" t="str">
            <v>R #,##0.00_);("R "#,##0.00)</v>
          </cell>
          <cell r="X7" t="str">
            <v>#.##0,00 "Pts"_);(#.##0,00 "Pts")</v>
          </cell>
          <cell r="Y7" t="str">
            <v># ##0,00 "kr"_);(# ##0,00 "kr")</v>
          </cell>
          <cell r="Z7" t="str">
            <v>SFr. #'##0.00_);("SFr. "#'##0.00)</v>
          </cell>
          <cell r="AA7" t="str">
            <v>#,##0.00_D_M_);(#,##0.00_D_M)</v>
          </cell>
          <cell r="AB7" t="str">
            <v>Bs #.##0,00_);("Bs "#.##0,00)</v>
          </cell>
        </row>
        <row r="8">
          <cell r="A8" t="str">
            <v>Données</v>
          </cell>
          <cell r="B8" t="str">
            <v>A1</v>
          </cell>
          <cell r="C8">
            <v>4</v>
          </cell>
          <cell r="D8">
            <v>1</v>
          </cell>
          <cell r="E8">
            <v>9</v>
          </cell>
          <cell r="F8">
            <v>1</v>
          </cell>
          <cell r="G8">
            <v>9</v>
          </cell>
          <cell r="H8">
            <v>9</v>
          </cell>
          <cell r="I8">
            <v>9</v>
          </cell>
          <cell r="J8">
            <v>9</v>
          </cell>
          <cell r="K8">
            <v>9</v>
          </cell>
          <cell r="L8">
            <v>9</v>
          </cell>
          <cell r="M8">
            <v>9</v>
          </cell>
          <cell r="N8">
            <v>9</v>
          </cell>
          <cell r="O8">
            <v>9</v>
          </cell>
          <cell r="P8">
            <v>9</v>
          </cell>
          <cell r="Q8">
            <v>9</v>
          </cell>
          <cell r="R8">
            <v>9</v>
          </cell>
          <cell r="S8">
            <v>9</v>
          </cell>
          <cell r="T8">
            <v>9</v>
          </cell>
          <cell r="U8">
            <v>9</v>
          </cell>
          <cell r="V8">
            <v>9</v>
          </cell>
          <cell r="W8">
            <v>9</v>
          </cell>
          <cell r="X8">
            <v>9</v>
          </cell>
          <cell r="Y8">
            <v>9</v>
          </cell>
          <cell r="Z8">
            <v>9</v>
          </cell>
          <cell r="AA8">
            <v>9</v>
          </cell>
          <cell r="AB8">
            <v>9</v>
          </cell>
        </row>
        <row r="9">
          <cell r="A9" t="str">
            <v>Table d'amortissement</v>
          </cell>
          <cell r="B9" t="str">
            <v>A1</v>
          </cell>
          <cell r="C9">
            <v>4</v>
          </cell>
          <cell r="D9">
            <v>1</v>
          </cell>
          <cell r="E9">
            <v>9</v>
          </cell>
          <cell r="F9">
            <v>1</v>
          </cell>
          <cell r="G9">
            <v>9</v>
          </cell>
          <cell r="H9">
            <v>9</v>
          </cell>
          <cell r="I9">
            <v>9</v>
          </cell>
          <cell r="J9">
            <v>9</v>
          </cell>
          <cell r="K9">
            <v>9</v>
          </cell>
          <cell r="L9">
            <v>9</v>
          </cell>
          <cell r="M9">
            <v>9</v>
          </cell>
          <cell r="N9">
            <v>9</v>
          </cell>
          <cell r="O9">
            <v>9</v>
          </cell>
          <cell r="P9">
            <v>9</v>
          </cell>
          <cell r="Q9">
            <v>9</v>
          </cell>
          <cell r="R9">
            <v>9</v>
          </cell>
          <cell r="S9">
            <v>9</v>
          </cell>
          <cell r="T9">
            <v>9</v>
          </cell>
          <cell r="U9">
            <v>9</v>
          </cell>
          <cell r="V9">
            <v>9</v>
          </cell>
          <cell r="W9">
            <v>9</v>
          </cell>
          <cell r="X9">
            <v>9</v>
          </cell>
          <cell r="Y9">
            <v>9</v>
          </cell>
          <cell r="Z9">
            <v>9</v>
          </cell>
          <cell r="AA9">
            <v>9</v>
          </cell>
          <cell r="AB9">
            <v>9</v>
          </cell>
        </row>
        <row r="10">
          <cell r="A10" t="str">
            <v>Graphique de récapitulation</v>
          </cell>
          <cell r="B10" t="str">
            <v>A1</v>
          </cell>
          <cell r="C10">
            <v>4</v>
          </cell>
          <cell r="D10">
            <v>1</v>
          </cell>
          <cell r="E10">
            <v>9</v>
          </cell>
          <cell r="F10">
            <v>1</v>
          </cell>
          <cell r="G10">
            <v>9</v>
          </cell>
          <cell r="H10">
            <v>9</v>
          </cell>
          <cell r="I10">
            <v>9</v>
          </cell>
          <cell r="J10">
            <v>9</v>
          </cell>
          <cell r="K10">
            <v>9</v>
          </cell>
          <cell r="L10">
            <v>9</v>
          </cell>
          <cell r="M10">
            <v>9</v>
          </cell>
          <cell r="N10">
            <v>9</v>
          </cell>
          <cell r="O10">
            <v>9</v>
          </cell>
          <cell r="P10">
            <v>9</v>
          </cell>
          <cell r="Q10">
            <v>9</v>
          </cell>
          <cell r="R10">
            <v>9</v>
          </cell>
          <cell r="S10">
            <v>9</v>
          </cell>
          <cell r="T10">
            <v>9</v>
          </cell>
          <cell r="U10">
            <v>9</v>
          </cell>
          <cell r="V10">
            <v>9</v>
          </cell>
          <cell r="W10">
            <v>9</v>
          </cell>
          <cell r="X10">
            <v>9</v>
          </cell>
          <cell r="Y10">
            <v>9</v>
          </cell>
          <cell r="Z10">
            <v>9</v>
          </cell>
          <cell r="AA10">
            <v>9</v>
          </cell>
          <cell r="AB10">
            <v>9</v>
          </cell>
        </row>
      </sheetData>
      <sheetData sheetId="8"/>
      <sheetData sheetId="9" refreshError="1"/>
      <sheetData sheetId="10">
        <row r="7">
          <cell r="H7" t="str">
            <v>Placez votre pointeur</v>
          </cell>
        </row>
      </sheetData>
      <sheetData sheetId="11"/>
      <sheetData sheetId="12">
        <row r="3">
          <cell r="A3" t="str">
            <v>Sheet Name</v>
          </cell>
        </row>
      </sheetData>
      <sheetData sheetId="13">
        <row r="3">
          <cell r="A3" t="str">
            <v>Sheet Name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">
          <cell r="H7" t="str">
            <v>Placez votre pointeur</v>
          </cell>
        </row>
      </sheetData>
      <sheetData sheetId="23"/>
      <sheetData sheetId="24"/>
      <sheetData sheetId="25">
        <row r="3">
          <cell r="A3" t="str">
            <v>Sheet Name</v>
          </cell>
        </row>
      </sheetData>
      <sheetData sheetId="26"/>
      <sheetData sheetId="27"/>
      <sheetData sheetId="28">
        <row r="7">
          <cell r="H7" t="str">
            <v>Placez votre pointeur</v>
          </cell>
        </row>
      </sheetData>
      <sheetData sheetId="29"/>
      <sheetData sheetId="30"/>
      <sheetData sheetId="31">
        <row r="3">
          <cell r="A3" t="str">
            <v>Sheet Name</v>
          </cell>
        </row>
      </sheetData>
      <sheetData sheetId="32"/>
      <sheetData sheetId="33"/>
      <sheetData sheetId="34" refreshError="1"/>
      <sheetData sheetId="35">
        <row r="7">
          <cell r="H7" t="str">
            <v>Placez votre pointeur</v>
          </cell>
        </row>
      </sheetData>
      <sheetData sheetId="36"/>
      <sheetData sheetId="37"/>
      <sheetData sheetId="38">
        <row r="3">
          <cell r="A3" t="str">
            <v>Sheet Name</v>
          </cell>
        </row>
      </sheetData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JU BESANCON"/>
      <sheetName val="durée_exerc"/>
      <sheetName val=" R2 petits consommateurs par kW"/>
      <sheetName val="Tableau général"/>
      <sheetName val="Tableaux  10"/>
      <sheetName val="Tableaux  11"/>
      <sheetName val="Tableaux  12"/>
      <sheetName val="Tableaux  13"/>
      <sheetName val="Tableaux  14"/>
      <sheetName val="Tableaux  15"/>
      <sheetName val="Tableaux  16"/>
      <sheetName val="Cout global chauf &amp; ECS"/>
      <sheetName val="Tableaux  17"/>
      <sheetName val="Tableaux  18"/>
      <sheetName val="Tableaux  19"/>
      <sheetName val="Tableaux  20"/>
      <sheetName val="Tableaux  21"/>
      <sheetName val="Tableaux  22"/>
      <sheetName val="Tableaux  23"/>
      <sheetName val="Tableaux  24"/>
      <sheetName val="Tableaux  25"/>
      <sheetName val="Tableaux  26"/>
      <sheetName val="logts - Chauf+ECS"/>
      <sheetName val="Tableaux  27"/>
      <sheetName val="Tableaux  28"/>
      <sheetName val="Tableaux  29"/>
      <sheetName val="Tableaux  30"/>
      <sheetName val="Tableaux  31"/>
      <sheetName val="Tableaux  32"/>
      <sheetName val="Tableaux  33"/>
      <sheetName val="Tableaux  34"/>
      <sheetName val="Tableaux  35"/>
      <sheetName val="Tableaux  36"/>
      <sheetName val="eqt - chauf+ECS"/>
      <sheetName val="Tableaux  37"/>
      <sheetName val="Tableaux  38"/>
      <sheetName val="Tableaux  39"/>
      <sheetName val="Chiffres d'affaires"/>
      <sheetName val="Extraction données"/>
      <sheetName val="Graph_Log_Equip"/>
      <sheetName val="Log_Equip pré"/>
      <sheetName val="Graph_Poste_tarif"/>
      <sheetName val="Poste_tarif pré"/>
      <sheetName val="Fiche Statex"/>
      <sheetName val="imptab"/>
      <sheetName val="Modif"/>
      <sheetName val="Extract"/>
      <sheetName val="Aide_Index_tab"/>
      <sheetName val="Init_tab"/>
      <sheetName val="Module général"/>
      <sheetName val="Module impression"/>
      <sheetName val="Module Extraction"/>
      <sheetName val="Module Modification"/>
      <sheetName val="Module année N+1"/>
      <sheetName val="Module Initialisation"/>
      <sheetName val="Module Statex"/>
      <sheetName val="DJU_BESANCON"/>
      <sheetName val="_R2_petits_consommateurs_par_kW"/>
      <sheetName val="Tableau_général"/>
      <sheetName val="Tableaux__10"/>
      <sheetName val="Tableaux__11"/>
      <sheetName val="Tableaux__12"/>
      <sheetName val="Tableaux__13"/>
      <sheetName val="Tableaux__14"/>
      <sheetName val="Tableaux__15"/>
      <sheetName val="Tableaux__16"/>
      <sheetName val="Cout_global_chauf_&amp;_ECS"/>
      <sheetName val="Tableaux__17"/>
      <sheetName val="Tableaux__18"/>
      <sheetName val="Tableaux__19"/>
      <sheetName val="Tableaux__20"/>
      <sheetName val="Tableaux__21"/>
      <sheetName val="Tableaux__22"/>
      <sheetName val="Tableaux__23"/>
      <sheetName val="Tableaux__24"/>
      <sheetName val="Tableaux__25"/>
      <sheetName val="Tableaux__26"/>
      <sheetName val="logts_-_Chauf+ECS"/>
      <sheetName val="Tableaux__27"/>
      <sheetName val="Tableaux__28"/>
      <sheetName val="Tableaux__29"/>
      <sheetName val="Tableaux__30"/>
      <sheetName val="Tableaux__31"/>
      <sheetName val="Tableaux__32"/>
      <sheetName val="Tableaux__33"/>
      <sheetName val="Tableaux__34"/>
      <sheetName val="Tableaux__35"/>
      <sheetName val="Tableaux__36"/>
      <sheetName val="eqt_-_chauf+ECS"/>
      <sheetName val="Tableaux__37"/>
      <sheetName val="Tableaux__38"/>
      <sheetName val="Tableaux__39"/>
      <sheetName val="Chiffres_d'affaires"/>
      <sheetName val="Extraction_données"/>
      <sheetName val="Log_Equip_pré"/>
      <sheetName val="Poste_tarif_pré"/>
      <sheetName val="Fiche_Statex"/>
      <sheetName val="Module_général"/>
      <sheetName val="Module_impression"/>
      <sheetName val="Module_Extraction"/>
      <sheetName val="Module_Modification"/>
      <sheetName val="Module_année_N+1"/>
      <sheetName val="Module_Initialisation"/>
      <sheetName val="Module_Statex"/>
      <sheetName val="DJU_BESANCON1"/>
      <sheetName val="_R2_petits_consommateurs_par_k1"/>
      <sheetName val="Tableau_général1"/>
      <sheetName val="Tableaux__101"/>
      <sheetName val="Tableaux__111"/>
      <sheetName val="Tableaux__121"/>
      <sheetName val="Tableaux__131"/>
      <sheetName val="Tableaux__141"/>
      <sheetName val="Tableaux__151"/>
      <sheetName val="Tableaux__161"/>
      <sheetName val="Cout_global_chauf_&amp;_ECS1"/>
      <sheetName val="Tableaux__171"/>
      <sheetName val="Tableaux__181"/>
      <sheetName val="Tableaux__191"/>
      <sheetName val="Tableaux__201"/>
      <sheetName val="Tableaux__211"/>
      <sheetName val="Tableaux__221"/>
      <sheetName val="Tableaux__231"/>
      <sheetName val="Tableaux__241"/>
      <sheetName val="Tableaux__251"/>
      <sheetName val="Tableaux__261"/>
      <sheetName val="logts_-_Chauf+ECS1"/>
      <sheetName val="Tableaux__271"/>
      <sheetName val="Tableaux__281"/>
      <sheetName val="Tableaux__291"/>
      <sheetName val="Tableaux__301"/>
      <sheetName val="Tableaux__311"/>
      <sheetName val="Tableaux__321"/>
      <sheetName val="Tableaux__331"/>
      <sheetName val="Tableaux__341"/>
      <sheetName val="Tableaux__351"/>
      <sheetName val="Tableaux__361"/>
      <sheetName val="eqt_-_chauf+ECS1"/>
      <sheetName val="Tableaux__371"/>
      <sheetName val="Tableaux__381"/>
      <sheetName val="Tableaux__391"/>
      <sheetName val="Chiffres_d'affaires1"/>
      <sheetName val="Extraction_données1"/>
      <sheetName val="Log_Equip_pré1"/>
      <sheetName val="Poste_tarif_pré1"/>
      <sheetName val="Fiche_Statex1"/>
      <sheetName val="Module_général1"/>
      <sheetName val="Module_impression1"/>
      <sheetName val="Module_Extraction1"/>
      <sheetName val="Module_Modification1"/>
      <sheetName val="Module_année_N+11"/>
      <sheetName val="Module_Initialisation1"/>
      <sheetName val="Module_Statex1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port"/>
      <sheetName val="Dnevnice, smještaj"/>
      <sheetName val="Radni sati"/>
      <sheetName val="Oprema"/>
      <sheetName val="Partneri"/>
      <sheetName val="Ukupno"/>
    </sheetNames>
    <sheetDataSet>
      <sheetData sheetId="0" refreshError="1">
        <row r="27">
          <cell r="D27" t="str">
            <v>7,3</v>
          </cell>
        </row>
        <row r="28">
          <cell r="D28" t="str">
            <v>60,355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port"/>
      <sheetName val="Dnevnice, smještaj"/>
      <sheetName val="Radni sati"/>
      <sheetName val="Oprema"/>
      <sheetName val="Partneri"/>
      <sheetName val="Ukupno"/>
      <sheetName val="Dodatna oprema"/>
    </sheetNames>
    <sheetDataSet>
      <sheetData sheetId="0" refreshError="1">
        <row r="27">
          <cell r="D27">
            <v>7.35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relacije - sve"/>
      <sheetName val="korelacije"/>
      <sheetName val="INPUT"/>
      <sheetName val="eviews"/>
      <sheetName val="Sheet4"/>
      <sheetName val="Statistika"/>
      <sheetName val="Sheet1"/>
      <sheetName val="grafikoni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M3">
            <v>108</v>
          </cell>
          <cell r="N3">
            <v>57.555</v>
          </cell>
          <cell r="O3">
            <v>50.445</v>
          </cell>
          <cell r="P3">
            <v>50.445</v>
          </cell>
        </row>
        <row r="4">
          <cell r="N4">
            <v>226.94788</v>
          </cell>
          <cell r="O4">
            <v>-226.94788</v>
          </cell>
          <cell r="P4">
            <v>226.94788</v>
          </cell>
        </row>
        <row r="5">
          <cell r="N5">
            <v>156.15596500000001</v>
          </cell>
          <cell r="O5">
            <v>-156.15596500000001</v>
          </cell>
          <cell r="P5">
            <v>156.15596500000001</v>
          </cell>
        </row>
        <row r="6">
          <cell r="N6">
            <v>30.3095</v>
          </cell>
          <cell r="O6">
            <v>-30.3095</v>
          </cell>
          <cell r="P6">
            <v>30.3095</v>
          </cell>
        </row>
        <row r="7">
          <cell r="N7">
            <v>224.752656</v>
          </cell>
          <cell r="O7">
            <v>-224.752656</v>
          </cell>
          <cell r="P7">
            <v>224.752656</v>
          </cell>
        </row>
        <row r="8">
          <cell r="M8">
            <v>109.57214</v>
          </cell>
          <cell r="N8">
            <v>126.116</v>
          </cell>
          <cell r="O8">
            <v>-16.543859999999995</v>
          </cell>
          <cell r="P8">
            <v>16.543859999999995</v>
          </cell>
        </row>
        <row r="9">
          <cell r="M9">
            <v>72.419127000000003</v>
          </cell>
          <cell r="O9">
            <v>72.419127000000003</v>
          </cell>
          <cell r="P9">
            <v>72.419127000000003</v>
          </cell>
        </row>
        <row r="10">
          <cell r="N10">
            <v>191.989272</v>
          </cell>
          <cell r="O10">
            <v>-191.989272</v>
          </cell>
          <cell r="P10">
            <v>191.989272</v>
          </cell>
        </row>
        <row r="11">
          <cell r="M11">
            <v>112.337924</v>
          </cell>
          <cell r="O11">
            <v>112.337924</v>
          </cell>
          <cell r="P11">
            <v>112.337924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73623-D1C4-4686-A771-1A3B01B2C70F}">
  <sheetPr>
    <tabColor rgb="FF92D050"/>
    <pageSetUpPr fitToPage="1"/>
  </sheetPr>
  <dimension ref="A1:AE417"/>
  <sheetViews>
    <sheetView tabSelected="1" zoomScale="110" zoomScaleNormal="110" workbookViewId="0">
      <selection activeCell="K4" sqref="K4"/>
    </sheetView>
  </sheetViews>
  <sheetFormatPr defaultColWidth="26.5703125" defaultRowHeight="15" x14ac:dyDescent="0.25"/>
  <cols>
    <col min="1" max="1" width="37.42578125" style="33" customWidth="1"/>
    <col min="2" max="2" width="23" style="15" customWidth="1"/>
    <col min="3" max="3" width="19.42578125" style="15" customWidth="1"/>
    <col min="4" max="4" width="18.5703125" style="30" customWidth="1"/>
    <col min="5" max="5" width="24.85546875" style="30" customWidth="1"/>
    <col min="6" max="6" width="25.140625" style="34" customWidth="1"/>
    <col min="7" max="7" width="15" style="30" customWidth="1"/>
    <col min="8" max="8" width="23" style="30" bestFit="1" customWidth="1"/>
    <col min="9" max="9" width="26" style="30" bestFit="1" customWidth="1"/>
    <col min="10" max="10" width="32.7109375" style="15" customWidth="1"/>
    <col min="11" max="11" width="13.140625" style="15" customWidth="1"/>
    <col min="12" max="13" width="13.140625" style="16" customWidth="1"/>
    <col min="14" max="16" width="13.140625" style="15" customWidth="1"/>
    <col min="17" max="17" width="15.28515625" style="15" customWidth="1"/>
    <col min="18" max="16384" width="26.5703125" style="15"/>
  </cols>
  <sheetData>
    <row r="1" spans="1:18" ht="15.75" thickBot="1" x14ac:dyDescent="0.3">
      <c r="A1" s="11" t="s">
        <v>0</v>
      </c>
      <c r="B1" s="12" t="s">
        <v>147</v>
      </c>
      <c r="C1" s="12" t="s">
        <v>151</v>
      </c>
      <c r="D1" s="12" t="s">
        <v>152</v>
      </c>
      <c r="E1" s="12" t="s">
        <v>153</v>
      </c>
      <c r="F1" s="12" t="s">
        <v>148</v>
      </c>
      <c r="G1" s="12" t="s">
        <v>146</v>
      </c>
      <c r="H1" s="12" t="s">
        <v>155</v>
      </c>
      <c r="I1" s="12" t="s">
        <v>154</v>
      </c>
      <c r="J1" s="13" t="s">
        <v>149</v>
      </c>
    </row>
    <row r="2" spans="1:18" ht="30.75" thickTop="1" x14ac:dyDescent="0.25">
      <c r="A2" s="17" t="s">
        <v>1</v>
      </c>
      <c r="B2" s="6" t="s">
        <v>2</v>
      </c>
      <c r="C2" s="48">
        <v>50</v>
      </c>
      <c r="D2" s="49">
        <v>71.290000000000006</v>
      </c>
      <c r="E2" s="4">
        <f>C2*D2</f>
        <v>3564.5000000000005</v>
      </c>
      <c r="F2" s="8" t="s">
        <v>156</v>
      </c>
      <c r="G2" s="10">
        <v>25</v>
      </c>
      <c r="H2" s="4">
        <v>83.12</v>
      </c>
      <c r="I2" s="4">
        <f>G2*H2</f>
        <v>2078</v>
      </c>
      <c r="J2" s="3"/>
    </row>
    <row r="3" spans="1:18" x14ac:dyDescent="0.25">
      <c r="A3" s="18" t="s">
        <v>3</v>
      </c>
      <c r="B3" s="6" t="s">
        <v>4</v>
      </c>
      <c r="C3" s="9">
        <v>63</v>
      </c>
      <c r="D3" s="49">
        <v>2.4900000000000002</v>
      </c>
      <c r="E3" s="4">
        <f t="shared" ref="E3:E66" si="0">C3*D3</f>
        <v>156.87</v>
      </c>
      <c r="F3" s="8" t="s">
        <v>150</v>
      </c>
      <c r="G3" s="10">
        <v>24</v>
      </c>
      <c r="H3" s="4">
        <v>11.39</v>
      </c>
      <c r="I3" s="4">
        <f t="shared" ref="I3:I66" si="1">G3*H3</f>
        <v>273.36</v>
      </c>
      <c r="J3" s="1"/>
    </row>
    <row r="4" spans="1:18" ht="30" x14ac:dyDescent="0.25">
      <c r="A4" s="18" t="s">
        <v>5</v>
      </c>
      <c r="B4" s="6" t="s">
        <v>6</v>
      </c>
      <c r="C4" s="48">
        <v>50</v>
      </c>
      <c r="D4" s="49">
        <v>44.55</v>
      </c>
      <c r="E4" s="4">
        <f t="shared" si="0"/>
        <v>2227.5</v>
      </c>
      <c r="F4" s="8" t="s">
        <v>157</v>
      </c>
      <c r="G4" s="1">
        <v>25</v>
      </c>
      <c r="H4" s="4">
        <v>32.71</v>
      </c>
      <c r="I4" s="4">
        <f t="shared" si="1"/>
        <v>817.75</v>
      </c>
      <c r="J4" s="19"/>
      <c r="P4" s="14"/>
      <c r="Q4" s="14"/>
      <c r="R4" s="14"/>
    </row>
    <row r="5" spans="1:18" x14ac:dyDescent="0.25">
      <c r="A5" s="18" t="s">
        <v>7</v>
      </c>
      <c r="B5" s="6" t="s">
        <v>8</v>
      </c>
      <c r="C5" s="35">
        <v>143</v>
      </c>
      <c r="D5" s="50">
        <v>0.95</v>
      </c>
      <c r="E5" s="4">
        <f t="shared" si="0"/>
        <v>135.85</v>
      </c>
      <c r="F5" s="6" t="s">
        <v>158</v>
      </c>
      <c r="G5" s="21">
        <v>143</v>
      </c>
      <c r="H5" s="20">
        <v>1.44</v>
      </c>
      <c r="I5" s="4">
        <f t="shared" si="1"/>
        <v>205.92</v>
      </c>
      <c r="J5" s="19"/>
      <c r="P5" s="14"/>
      <c r="Q5" s="14"/>
      <c r="R5" s="14"/>
    </row>
    <row r="6" spans="1:18" ht="30" x14ac:dyDescent="0.25">
      <c r="A6" s="22" t="s">
        <v>9</v>
      </c>
      <c r="B6" s="7" t="s">
        <v>10</v>
      </c>
      <c r="C6" s="35">
        <v>23</v>
      </c>
      <c r="D6" s="50">
        <v>10.71</v>
      </c>
      <c r="E6" s="4">
        <f t="shared" si="0"/>
        <v>246.33</v>
      </c>
      <c r="F6" s="39"/>
      <c r="G6" s="40"/>
      <c r="H6" s="41"/>
      <c r="I6" s="4">
        <f t="shared" si="1"/>
        <v>0</v>
      </c>
      <c r="J6" s="19"/>
    </row>
    <row r="7" spans="1:18" ht="30" x14ac:dyDescent="0.25">
      <c r="A7" s="22" t="s">
        <v>11</v>
      </c>
      <c r="B7" s="7" t="s">
        <v>12</v>
      </c>
      <c r="C7" s="35">
        <v>2</v>
      </c>
      <c r="D7" s="50">
        <v>69.37</v>
      </c>
      <c r="E7" s="4">
        <f t="shared" si="0"/>
        <v>138.74</v>
      </c>
      <c r="F7" s="7" t="s">
        <v>160</v>
      </c>
      <c r="G7" s="21">
        <v>3</v>
      </c>
      <c r="H7" s="20">
        <v>174.36</v>
      </c>
      <c r="I7" s="4">
        <f t="shared" si="1"/>
        <v>523.08000000000004</v>
      </c>
      <c r="J7" s="19"/>
      <c r="L7" s="23"/>
    </row>
    <row r="8" spans="1:18" ht="30" x14ac:dyDescent="0.25">
      <c r="A8" s="22" t="s">
        <v>13</v>
      </c>
      <c r="B8" s="7" t="s">
        <v>14</v>
      </c>
      <c r="C8" s="35">
        <v>2</v>
      </c>
      <c r="D8" s="50">
        <v>20.59</v>
      </c>
      <c r="E8" s="4">
        <f t="shared" si="0"/>
        <v>41.18</v>
      </c>
      <c r="F8" s="7" t="s">
        <v>161</v>
      </c>
      <c r="G8" s="21">
        <v>3</v>
      </c>
      <c r="H8" s="20">
        <v>70.25</v>
      </c>
      <c r="I8" s="4">
        <f t="shared" si="1"/>
        <v>210.75</v>
      </c>
      <c r="J8" s="19"/>
      <c r="L8" s="23"/>
    </row>
    <row r="9" spans="1:18" ht="30" x14ac:dyDescent="0.25">
      <c r="A9" s="74" t="s">
        <v>15</v>
      </c>
      <c r="B9" s="75" t="s">
        <v>16</v>
      </c>
      <c r="C9" s="68"/>
      <c r="D9" s="69"/>
      <c r="E9" s="70">
        <f t="shared" si="0"/>
        <v>0</v>
      </c>
      <c r="F9" s="75"/>
      <c r="G9" s="71"/>
      <c r="H9" s="72"/>
      <c r="I9" s="70">
        <f t="shared" si="1"/>
        <v>0</v>
      </c>
      <c r="J9" s="77"/>
      <c r="K9" s="14"/>
      <c r="L9" s="14"/>
      <c r="M9" s="14"/>
      <c r="N9" s="14"/>
      <c r="O9" s="14"/>
    </row>
    <row r="10" spans="1:18" ht="30" x14ac:dyDescent="0.25">
      <c r="A10" s="74" t="s">
        <v>17</v>
      </c>
      <c r="B10" s="75" t="s">
        <v>18</v>
      </c>
      <c r="C10" s="68"/>
      <c r="D10" s="69"/>
      <c r="E10" s="70">
        <f t="shared" si="0"/>
        <v>0</v>
      </c>
      <c r="F10" s="75"/>
      <c r="G10" s="71"/>
      <c r="H10" s="72"/>
      <c r="I10" s="70">
        <f t="shared" si="1"/>
        <v>0</v>
      </c>
      <c r="J10" s="77"/>
      <c r="K10" s="14"/>
      <c r="L10" s="14"/>
      <c r="M10" s="14"/>
      <c r="N10" s="14"/>
      <c r="O10" s="14"/>
    </row>
    <row r="11" spans="1:18" ht="30" x14ac:dyDescent="0.25">
      <c r="A11" s="22" t="s">
        <v>19</v>
      </c>
      <c r="B11" s="7" t="s">
        <v>20</v>
      </c>
      <c r="C11" s="35">
        <v>19</v>
      </c>
      <c r="D11" s="50">
        <v>4.05</v>
      </c>
      <c r="E11" s="4">
        <f t="shared" si="0"/>
        <v>76.95</v>
      </c>
      <c r="F11" s="7"/>
      <c r="G11" s="21"/>
      <c r="H11" s="20"/>
      <c r="I11" s="4">
        <f t="shared" si="1"/>
        <v>0</v>
      </c>
      <c r="J11" s="19"/>
      <c r="K11" s="14"/>
      <c r="L11" s="23"/>
    </row>
    <row r="12" spans="1:18" x14ac:dyDescent="0.25">
      <c r="A12" s="22" t="s">
        <v>21</v>
      </c>
      <c r="B12" s="6" t="s">
        <v>22</v>
      </c>
      <c r="C12" s="35">
        <v>3</v>
      </c>
      <c r="D12" s="50">
        <v>72.430000000000007</v>
      </c>
      <c r="E12" s="4">
        <f t="shared" si="0"/>
        <v>217.29000000000002</v>
      </c>
      <c r="F12" s="6"/>
      <c r="G12" s="21"/>
      <c r="H12" s="20"/>
      <c r="I12" s="4">
        <f t="shared" si="1"/>
        <v>0</v>
      </c>
      <c r="J12" s="19"/>
      <c r="K12" s="14"/>
      <c r="L12" s="23"/>
    </row>
    <row r="13" spans="1:18" x14ac:dyDescent="0.25">
      <c r="A13" s="22" t="s">
        <v>23</v>
      </c>
      <c r="B13" s="7" t="s">
        <v>24</v>
      </c>
      <c r="C13" s="35">
        <v>3</v>
      </c>
      <c r="D13" s="50">
        <v>51.06</v>
      </c>
      <c r="E13" s="4">
        <f t="shared" si="0"/>
        <v>153.18</v>
      </c>
      <c r="F13" s="7"/>
      <c r="G13" s="21"/>
      <c r="H13" s="20"/>
      <c r="I13" s="4">
        <f t="shared" si="1"/>
        <v>0</v>
      </c>
      <c r="J13" s="19"/>
      <c r="K13" s="14"/>
      <c r="L13" s="23"/>
    </row>
    <row r="14" spans="1:18" x14ac:dyDescent="0.25">
      <c r="A14" s="66" t="s">
        <v>25</v>
      </c>
      <c r="B14" s="67" t="s">
        <v>26</v>
      </c>
      <c r="C14" s="68"/>
      <c r="D14" s="69"/>
      <c r="E14" s="70">
        <f t="shared" si="0"/>
        <v>0</v>
      </c>
      <c r="F14" s="67"/>
      <c r="G14" s="71"/>
      <c r="H14" s="72"/>
      <c r="I14" s="70">
        <f t="shared" si="1"/>
        <v>0</v>
      </c>
      <c r="J14" s="77"/>
      <c r="K14" s="14"/>
      <c r="L14" s="14"/>
      <c r="M14" s="14"/>
      <c r="N14" s="14"/>
      <c r="O14" s="14"/>
      <c r="P14" s="14"/>
      <c r="Q14" s="14"/>
      <c r="R14" s="14"/>
    </row>
    <row r="15" spans="1:18" x14ac:dyDescent="0.25">
      <c r="A15" s="66" t="s">
        <v>27</v>
      </c>
      <c r="B15" s="67" t="s">
        <v>28</v>
      </c>
      <c r="C15" s="68"/>
      <c r="D15" s="69"/>
      <c r="E15" s="70">
        <f t="shared" si="0"/>
        <v>0</v>
      </c>
      <c r="F15" s="67"/>
      <c r="G15" s="71"/>
      <c r="H15" s="72"/>
      <c r="I15" s="70">
        <f t="shared" si="1"/>
        <v>0</v>
      </c>
      <c r="J15" s="77"/>
      <c r="K15" s="14"/>
      <c r="L15" s="14"/>
      <c r="M15" s="14"/>
      <c r="N15" s="14"/>
      <c r="O15" s="14"/>
      <c r="P15" s="14"/>
      <c r="Q15" s="14"/>
      <c r="R15" s="14"/>
    </row>
    <row r="16" spans="1:18" x14ac:dyDescent="0.25">
      <c r="A16" s="66" t="s">
        <v>29</v>
      </c>
      <c r="B16" s="67" t="s">
        <v>30</v>
      </c>
      <c r="C16" s="68"/>
      <c r="D16" s="69"/>
      <c r="E16" s="70">
        <f t="shared" si="0"/>
        <v>0</v>
      </c>
      <c r="F16" s="67"/>
      <c r="G16" s="71"/>
      <c r="H16" s="72"/>
      <c r="I16" s="70">
        <f t="shared" si="1"/>
        <v>0</v>
      </c>
      <c r="J16" s="77"/>
      <c r="K16" s="14"/>
      <c r="L16" s="14"/>
      <c r="M16" s="14"/>
      <c r="N16" s="14"/>
      <c r="O16" s="14"/>
      <c r="P16" s="14"/>
      <c r="Q16" s="14"/>
      <c r="R16" s="14"/>
    </row>
    <row r="17" spans="1:21" x14ac:dyDescent="0.25">
      <c r="A17" s="18" t="s">
        <v>31</v>
      </c>
      <c r="B17" s="6" t="s">
        <v>32</v>
      </c>
      <c r="C17" s="35">
        <v>2</v>
      </c>
      <c r="D17" s="50">
        <v>7.33</v>
      </c>
      <c r="E17" s="4">
        <f t="shared" si="0"/>
        <v>14.66</v>
      </c>
      <c r="F17" s="6"/>
      <c r="G17" s="21"/>
      <c r="H17" s="20"/>
      <c r="I17" s="4">
        <f t="shared" si="1"/>
        <v>0</v>
      </c>
      <c r="J17" s="19"/>
      <c r="K17" s="14"/>
      <c r="L17" s="23"/>
      <c r="P17" s="14"/>
      <c r="Q17" s="14"/>
      <c r="R17" s="14"/>
    </row>
    <row r="18" spans="1:21" x14ac:dyDescent="0.25">
      <c r="A18" s="22" t="s">
        <v>33</v>
      </c>
      <c r="B18" s="7" t="s">
        <v>34</v>
      </c>
      <c r="C18" s="35">
        <v>13</v>
      </c>
      <c r="D18" s="50">
        <v>11.47</v>
      </c>
      <c r="E18" s="4">
        <f t="shared" si="0"/>
        <v>149.11000000000001</v>
      </c>
      <c r="F18" s="7"/>
      <c r="G18" s="21"/>
      <c r="H18" s="20"/>
      <c r="I18" s="4">
        <f t="shared" si="1"/>
        <v>0</v>
      </c>
      <c r="J18" s="3"/>
      <c r="K18" s="14"/>
      <c r="L18" s="23"/>
      <c r="P18" s="14"/>
      <c r="Q18" s="14"/>
      <c r="R18" s="14"/>
      <c r="S18" s="14"/>
      <c r="T18" s="14"/>
      <c r="U18" s="14"/>
    </row>
    <row r="19" spans="1:21" x14ac:dyDescent="0.25">
      <c r="A19" s="22" t="s">
        <v>35</v>
      </c>
      <c r="B19" s="7" t="s">
        <v>36</v>
      </c>
      <c r="C19" s="35">
        <v>71</v>
      </c>
      <c r="D19" s="50">
        <v>4.6100000000000003</v>
      </c>
      <c r="E19" s="4">
        <f t="shared" si="0"/>
        <v>327.31</v>
      </c>
      <c r="F19" s="7"/>
      <c r="G19" s="21"/>
      <c r="H19" s="20"/>
      <c r="I19" s="4">
        <f t="shared" si="1"/>
        <v>0</v>
      </c>
      <c r="J19" s="3"/>
      <c r="K19" s="14"/>
      <c r="L19" s="23"/>
      <c r="P19" s="14"/>
      <c r="Q19" s="14"/>
      <c r="R19" s="14"/>
      <c r="S19" s="14"/>
      <c r="T19" s="14"/>
      <c r="U19" s="14"/>
    </row>
    <row r="20" spans="1:21" x14ac:dyDescent="0.25">
      <c r="A20" s="22" t="s">
        <v>37</v>
      </c>
      <c r="B20" s="7" t="s">
        <v>38</v>
      </c>
      <c r="C20" s="36">
        <v>3</v>
      </c>
      <c r="D20" s="49">
        <v>123.42</v>
      </c>
      <c r="E20" s="4">
        <f t="shared" si="0"/>
        <v>370.26</v>
      </c>
      <c r="F20" s="7"/>
      <c r="G20" s="2"/>
      <c r="H20" s="5"/>
      <c r="I20" s="4">
        <f t="shared" si="1"/>
        <v>0</v>
      </c>
      <c r="J20" s="24"/>
      <c r="K20" s="14"/>
      <c r="L20" s="23"/>
      <c r="P20" s="14"/>
      <c r="Q20" s="14"/>
      <c r="R20" s="14"/>
      <c r="S20" s="14"/>
      <c r="T20" s="14"/>
      <c r="U20" s="14"/>
    </row>
    <row r="21" spans="1:21" x14ac:dyDescent="0.25">
      <c r="A21" s="22" t="s">
        <v>39</v>
      </c>
      <c r="B21" s="7" t="s">
        <v>40</v>
      </c>
      <c r="C21" s="35">
        <v>10</v>
      </c>
      <c r="D21" s="50">
        <v>4.6100000000000003</v>
      </c>
      <c r="E21" s="4">
        <f t="shared" si="0"/>
        <v>46.1</v>
      </c>
      <c r="F21" s="7"/>
      <c r="G21" s="21"/>
      <c r="H21" s="20"/>
      <c r="I21" s="4">
        <f t="shared" si="1"/>
        <v>0</v>
      </c>
      <c r="J21" s="3"/>
      <c r="K21" s="14"/>
      <c r="L21" s="23"/>
      <c r="P21" s="14"/>
      <c r="Q21" s="14"/>
      <c r="R21" s="14"/>
      <c r="S21" s="14"/>
      <c r="T21" s="14"/>
      <c r="U21" s="14"/>
    </row>
    <row r="22" spans="1:21" x14ac:dyDescent="0.25">
      <c r="A22" s="22" t="s">
        <v>41</v>
      </c>
      <c r="B22" s="7" t="s">
        <v>42</v>
      </c>
      <c r="C22" s="35">
        <v>10</v>
      </c>
      <c r="D22" s="50">
        <v>0.1</v>
      </c>
      <c r="E22" s="4">
        <f t="shared" si="0"/>
        <v>1</v>
      </c>
      <c r="F22" s="7"/>
      <c r="G22" s="21"/>
      <c r="H22" s="20"/>
      <c r="I22" s="4">
        <f t="shared" si="1"/>
        <v>0</v>
      </c>
      <c r="J22" s="3"/>
      <c r="K22" s="14"/>
      <c r="L22" s="23"/>
      <c r="P22" s="14"/>
      <c r="Q22" s="14"/>
      <c r="R22" s="14"/>
      <c r="S22" s="14"/>
      <c r="T22" s="14"/>
      <c r="U22" s="14"/>
    </row>
    <row r="23" spans="1:21" x14ac:dyDescent="0.25">
      <c r="A23" s="22" t="s">
        <v>43</v>
      </c>
      <c r="B23" s="7" t="s">
        <v>44</v>
      </c>
      <c r="C23" s="35">
        <v>10</v>
      </c>
      <c r="D23" s="50">
        <v>1.33</v>
      </c>
      <c r="E23" s="4">
        <f t="shared" si="0"/>
        <v>13.3</v>
      </c>
      <c r="F23" s="7"/>
      <c r="G23" s="21"/>
      <c r="H23" s="20"/>
      <c r="I23" s="4">
        <f t="shared" si="1"/>
        <v>0</v>
      </c>
      <c r="J23" s="3"/>
      <c r="K23" s="14"/>
      <c r="L23" s="23"/>
      <c r="P23" s="14"/>
      <c r="Q23" s="14"/>
      <c r="R23" s="14"/>
      <c r="S23" s="14"/>
      <c r="T23" s="14"/>
      <c r="U23" s="14"/>
    </row>
    <row r="24" spans="1:21" x14ac:dyDescent="0.25">
      <c r="A24" s="22" t="s">
        <v>45</v>
      </c>
      <c r="B24" s="7" t="s">
        <v>46</v>
      </c>
      <c r="C24" s="35">
        <v>10</v>
      </c>
      <c r="D24" s="50">
        <v>1.5</v>
      </c>
      <c r="E24" s="4">
        <f t="shared" si="0"/>
        <v>15</v>
      </c>
      <c r="F24" s="7"/>
      <c r="G24" s="21"/>
      <c r="H24" s="20"/>
      <c r="I24" s="4">
        <f t="shared" si="1"/>
        <v>0</v>
      </c>
      <c r="J24" s="3"/>
    </row>
    <row r="25" spans="1:21" x14ac:dyDescent="0.25">
      <c r="A25" s="18" t="s">
        <v>47</v>
      </c>
      <c r="B25" s="6" t="s">
        <v>48</v>
      </c>
      <c r="C25" s="36">
        <v>6</v>
      </c>
      <c r="D25" s="49">
        <v>4.12</v>
      </c>
      <c r="E25" s="4">
        <f t="shared" si="0"/>
        <v>24.72</v>
      </c>
      <c r="F25" s="6"/>
      <c r="G25" s="2"/>
      <c r="H25" s="5"/>
      <c r="I25" s="4">
        <f t="shared" si="1"/>
        <v>0</v>
      </c>
      <c r="J25" s="24"/>
    </row>
    <row r="26" spans="1:21" x14ac:dyDescent="0.25">
      <c r="A26" s="66" t="s">
        <v>49</v>
      </c>
      <c r="B26" s="67" t="s">
        <v>50</v>
      </c>
      <c r="C26" s="68"/>
      <c r="D26" s="69"/>
      <c r="E26" s="70">
        <f t="shared" si="0"/>
        <v>0</v>
      </c>
      <c r="F26" s="67"/>
      <c r="G26" s="71"/>
      <c r="H26" s="72"/>
      <c r="I26" s="70">
        <f t="shared" si="1"/>
        <v>0</v>
      </c>
      <c r="J26" s="77"/>
      <c r="K26" s="14"/>
      <c r="L26" s="14"/>
      <c r="M26" s="14"/>
      <c r="N26" s="14"/>
      <c r="O26" s="14"/>
      <c r="P26" s="14"/>
      <c r="Q26" s="14"/>
      <c r="R26" s="14"/>
    </row>
    <row r="27" spans="1:21" x14ac:dyDescent="0.25">
      <c r="A27" s="18" t="s">
        <v>51</v>
      </c>
      <c r="B27" s="6" t="s">
        <v>52</v>
      </c>
      <c r="C27" s="35">
        <v>100</v>
      </c>
      <c r="D27" s="50">
        <v>0.1</v>
      </c>
      <c r="E27" s="4">
        <f t="shared" si="0"/>
        <v>10</v>
      </c>
      <c r="F27" s="6"/>
      <c r="G27" s="21"/>
      <c r="H27" s="20"/>
      <c r="I27" s="4">
        <f t="shared" si="1"/>
        <v>0</v>
      </c>
      <c r="J27" s="1"/>
      <c r="K27" s="14"/>
      <c r="L27" s="23"/>
      <c r="P27" s="14"/>
      <c r="Q27" s="14"/>
      <c r="R27" s="14"/>
    </row>
    <row r="28" spans="1:21" ht="30" x14ac:dyDescent="0.25">
      <c r="A28" s="17" t="s">
        <v>1</v>
      </c>
      <c r="B28" s="63" t="s">
        <v>53</v>
      </c>
      <c r="C28" s="64">
        <v>5</v>
      </c>
      <c r="D28" s="59">
        <v>317</v>
      </c>
      <c r="E28" s="4">
        <f t="shared" si="0"/>
        <v>1585</v>
      </c>
      <c r="F28" s="63"/>
      <c r="G28" s="60"/>
      <c r="H28" s="61"/>
      <c r="I28" s="4">
        <f t="shared" si="1"/>
        <v>0</v>
      </c>
      <c r="J28" s="62"/>
      <c r="K28" s="14"/>
      <c r="L28" s="23"/>
    </row>
    <row r="29" spans="1:21" x14ac:dyDescent="0.25">
      <c r="A29" s="54" t="s">
        <v>54</v>
      </c>
      <c r="B29" s="55" t="s">
        <v>55</v>
      </c>
      <c r="C29" s="38">
        <v>13</v>
      </c>
      <c r="D29" s="49">
        <v>7.1</v>
      </c>
      <c r="E29" s="4">
        <f t="shared" si="0"/>
        <v>92.3</v>
      </c>
      <c r="F29" s="56"/>
      <c r="G29" s="2"/>
      <c r="H29" s="5"/>
      <c r="I29" s="4">
        <f t="shared" si="1"/>
        <v>0</v>
      </c>
      <c r="J29" s="2"/>
      <c r="K29" s="14"/>
      <c r="L29" s="23"/>
    </row>
    <row r="30" spans="1:21" x14ac:dyDescent="0.25">
      <c r="A30" s="57" t="s">
        <v>56</v>
      </c>
      <c r="B30" s="55" t="s">
        <v>57</v>
      </c>
      <c r="C30" s="58">
        <v>203</v>
      </c>
      <c r="D30" s="59">
        <v>0.2</v>
      </c>
      <c r="E30" s="4">
        <f t="shared" si="0"/>
        <v>40.6</v>
      </c>
      <c r="F30" s="55"/>
      <c r="G30" s="60"/>
      <c r="H30" s="61"/>
      <c r="I30" s="4">
        <f t="shared" si="1"/>
        <v>0</v>
      </c>
      <c r="J30" s="62"/>
      <c r="K30" s="14"/>
      <c r="L30" s="23"/>
    </row>
    <row r="31" spans="1:21" x14ac:dyDescent="0.25">
      <c r="A31" s="17" t="s">
        <v>58</v>
      </c>
      <c r="B31" s="6" t="s">
        <v>59</v>
      </c>
      <c r="C31" s="36">
        <v>24</v>
      </c>
      <c r="D31" s="49">
        <v>23.93</v>
      </c>
      <c r="E31" s="4">
        <f t="shared" si="0"/>
        <v>574.31999999999994</v>
      </c>
      <c r="F31" s="6"/>
      <c r="G31" s="1"/>
      <c r="H31" s="4"/>
      <c r="I31" s="4">
        <f t="shared" si="1"/>
        <v>0</v>
      </c>
      <c r="J31" s="19"/>
      <c r="K31" s="14"/>
      <c r="L31" s="23"/>
    </row>
    <row r="32" spans="1:21" x14ac:dyDescent="0.25">
      <c r="A32" s="18" t="s">
        <v>3</v>
      </c>
      <c r="B32" s="6" t="s">
        <v>60</v>
      </c>
      <c r="C32" s="38">
        <v>39</v>
      </c>
      <c r="D32" s="49">
        <v>7.21</v>
      </c>
      <c r="E32" s="4">
        <f t="shared" si="0"/>
        <v>281.19</v>
      </c>
      <c r="F32" s="6"/>
      <c r="G32" s="1"/>
      <c r="H32" s="4"/>
      <c r="I32" s="4">
        <f t="shared" si="1"/>
        <v>0</v>
      </c>
      <c r="J32" s="19"/>
      <c r="K32" s="14"/>
      <c r="L32" s="23"/>
    </row>
    <row r="33" spans="1:21" x14ac:dyDescent="0.25">
      <c r="A33" s="18" t="s">
        <v>5</v>
      </c>
      <c r="B33" s="6" t="s">
        <v>61</v>
      </c>
      <c r="C33" s="36">
        <v>20</v>
      </c>
      <c r="D33" s="49">
        <v>19.260000000000002</v>
      </c>
      <c r="E33" s="4">
        <f t="shared" si="0"/>
        <v>385.20000000000005</v>
      </c>
      <c r="F33" s="6"/>
      <c r="G33" s="1"/>
      <c r="H33" s="4"/>
      <c r="I33" s="4">
        <f t="shared" si="1"/>
        <v>0</v>
      </c>
      <c r="J33" s="19"/>
      <c r="K33" s="14"/>
      <c r="L33" s="23"/>
    </row>
    <row r="34" spans="1:21" x14ac:dyDescent="0.25">
      <c r="A34" s="18" t="s">
        <v>7</v>
      </c>
      <c r="B34" s="6" t="s">
        <v>62</v>
      </c>
      <c r="C34" s="35">
        <v>297</v>
      </c>
      <c r="D34" s="50">
        <v>0.17</v>
      </c>
      <c r="E34" s="4">
        <f t="shared" si="0"/>
        <v>50.49</v>
      </c>
      <c r="F34" s="6"/>
      <c r="G34" s="21"/>
      <c r="H34" s="20"/>
      <c r="I34" s="4">
        <f t="shared" si="1"/>
        <v>0</v>
      </c>
      <c r="J34" s="19"/>
      <c r="K34" s="14"/>
      <c r="L34" s="23"/>
    </row>
    <row r="35" spans="1:21" ht="30" x14ac:dyDescent="0.25">
      <c r="A35" s="22" t="s">
        <v>9</v>
      </c>
      <c r="B35" s="7" t="s">
        <v>63</v>
      </c>
      <c r="C35" s="35">
        <v>60</v>
      </c>
      <c r="D35" s="50">
        <v>4.4400000000000004</v>
      </c>
      <c r="E35" s="4">
        <f t="shared" si="0"/>
        <v>266.40000000000003</v>
      </c>
      <c r="F35" s="7"/>
      <c r="G35" s="21"/>
      <c r="H35" s="20"/>
      <c r="I35" s="4">
        <f t="shared" si="1"/>
        <v>0</v>
      </c>
      <c r="J35" s="1"/>
      <c r="K35" s="14"/>
      <c r="L35" s="23"/>
    </row>
    <row r="36" spans="1:21" ht="30" x14ac:dyDescent="0.25">
      <c r="A36" s="74" t="s">
        <v>11</v>
      </c>
      <c r="B36" s="75" t="s">
        <v>64</v>
      </c>
      <c r="C36" s="68"/>
      <c r="D36" s="69"/>
      <c r="E36" s="70">
        <f t="shared" si="0"/>
        <v>0</v>
      </c>
      <c r="F36" s="75"/>
      <c r="G36" s="71"/>
      <c r="H36" s="72"/>
      <c r="I36" s="70">
        <f t="shared" si="1"/>
        <v>0</v>
      </c>
      <c r="J36" s="76"/>
      <c r="K36" s="14"/>
      <c r="L36" s="14"/>
      <c r="M36" s="14"/>
      <c r="N36" s="14"/>
      <c r="O36" s="14"/>
      <c r="P36" s="14"/>
      <c r="Q36" s="14"/>
      <c r="R36" s="14"/>
    </row>
    <row r="37" spans="1:21" ht="30" x14ac:dyDescent="0.25">
      <c r="A37" s="74" t="s">
        <v>13</v>
      </c>
      <c r="B37" s="75" t="s">
        <v>65</v>
      </c>
      <c r="C37" s="68"/>
      <c r="D37" s="69"/>
      <c r="E37" s="70">
        <f t="shared" si="0"/>
        <v>0</v>
      </c>
      <c r="F37" s="75"/>
      <c r="G37" s="71"/>
      <c r="H37" s="72"/>
      <c r="I37" s="70">
        <f t="shared" si="1"/>
        <v>0</v>
      </c>
      <c r="J37" s="76"/>
      <c r="K37" s="14"/>
      <c r="L37" s="14"/>
      <c r="M37" s="14"/>
      <c r="N37" s="14"/>
      <c r="O37" s="14"/>
      <c r="P37" s="14"/>
      <c r="Q37" s="14"/>
      <c r="R37" s="14"/>
    </row>
    <row r="38" spans="1:21" ht="30" x14ac:dyDescent="0.25">
      <c r="A38" s="74" t="s">
        <v>15</v>
      </c>
      <c r="B38" s="75" t="s">
        <v>66</v>
      </c>
      <c r="C38" s="68"/>
      <c r="D38" s="69"/>
      <c r="E38" s="70">
        <f t="shared" si="0"/>
        <v>0</v>
      </c>
      <c r="F38" s="75"/>
      <c r="G38" s="71"/>
      <c r="H38" s="72"/>
      <c r="I38" s="70">
        <f t="shared" si="1"/>
        <v>0</v>
      </c>
      <c r="J38" s="76"/>
      <c r="K38" s="14"/>
      <c r="L38" s="14"/>
      <c r="M38" s="14"/>
      <c r="N38" s="14"/>
      <c r="O38" s="14"/>
      <c r="P38" s="14"/>
      <c r="Q38" s="14"/>
      <c r="R38" s="14"/>
    </row>
    <row r="39" spans="1:21" ht="30" x14ac:dyDescent="0.25">
      <c r="A39" s="74" t="s">
        <v>17</v>
      </c>
      <c r="B39" s="75" t="s">
        <v>67</v>
      </c>
      <c r="C39" s="68"/>
      <c r="D39" s="69"/>
      <c r="E39" s="70">
        <f t="shared" si="0"/>
        <v>0</v>
      </c>
      <c r="F39" s="75"/>
      <c r="G39" s="71"/>
      <c r="H39" s="72"/>
      <c r="I39" s="70">
        <f t="shared" si="1"/>
        <v>0</v>
      </c>
      <c r="J39" s="77"/>
      <c r="K39" s="14"/>
      <c r="L39" s="14"/>
      <c r="M39" s="14"/>
      <c r="N39" s="14"/>
      <c r="O39" s="14"/>
      <c r="P39" s="14"/>
      <c r="Q39" s="14"/>
      <c r="R39" s="14"/>
    </row>
    <row r="40" spans="1:21" ht="30" x14ac:dyDescent="0.25">
      <c r="A40" s="22" t="s">
        <v>19</v>
      </c>
      <c r="B40" s="7" t="s">
        <v>68</v>
      </c>
      <c r="C40" s="35">
        <v>48</v>
      </c>
      <c r="D40" s="50">
        <v>1.87</v>
      </c>
      <c r="E40" s="4">
        <f t="shared" si="0"/>
        <v>89.76</v>
      </c>
      <c r="F40" s="7"/>
      <c r="G40" s="21"/>
      <c r="H40" s="20"/>
      <c r="I40" s="4">
        <f t="shared" si="1"/>
        <v>0</v>
      </c>
      <c r="J40" s="19"/>
      <c r="K40" s="14"/>
      <c r="L40" s="23"/>
      <c r="P40" s="14"/>
      <c r="Q40" s="14"/>
      <c r="R40" s="14"/>
    </row>
    <row r="41" spans="1:21" ht="30" x14ac:dyDescent="0.25">
      <c r="A41" s="44" t="s">
        <v>21</v>
      </c>
      <c r="B41" s="47" t="s">
        <v>69</v>
      </c>
      <c r="C41" s="53">
        <v>2</v>
      </c>
      <c r="D41" s="52">
        <v>38.99</v>
      </c>
      <c r="E41" s="45">
        <f t="shared" si="0"/>
        <v>77.98</v>
      </c>
      <c r="F41" s="47"/>
      <c r="G41" s="40"/>
      <c r="H41" s="41"/>
      <c r="I41" s="45">
        <f t="shared" si="1"/>
        <v>0</v>
      </c>
      <c r="J41" s="46" t="s">
        <v>163</v>
      </c>
      <c r="K41" s="14"/>
      <c r="L41" s="23"/>
      <c r="P41" s="14"/>
      <c r="Q41" s="14"/>
      <c r="R41" s="14"/>
    </row>
    <row r="42" spans="1:21" x14ac:dyDescent="0.25">
      <c r="A42" s="22" t="s">
        <v>23</v>
      </c>
      <c r="B42" s="7" t="s">
        <v>70</v>
      </c>
      <c r="C42" s="35">
        <v>2</v>
      </c>
      <c r="D42" s="50">
        <v>26.88</v>
      </c>
      <c r="E42" s="4">
        <f t="shared" si="0"/>
        <v>53.76</v>
      </c>
      <c r="F42" s="7"/>
      <c r="G42" s="21"/>
      <c r="H42" s="20"/>
      <c r="I42" s="4">
        <f t="shared" si="1"/>
        <v>0</v>
      </c>
      <c r="J42" s="3"/>
      <c r="K42" s="14"/>
      <c r="L42" s="23"/>
      <c r="P42" s="14"/>
      <c r="Q42" s="14"/>
      <c r="R42" s="14"/>
    </row>
    <row r="43" spans="1:21" x14ac:dyDescent="0.25">
      <c r="A43" s="18" t="s">
        <v>25</v>
      </c>
      <c r="B43" s="6" t="s">
        <v>71</v>
      </c>
      <c r="C43" s="35">
        <v>2</v>
      </c>
      <c r="D43" s="50">
        <v>48.63</v>
      </c>
      <c r="E43" s="4">
        <f t="shared" si="0"/>
        <v>97.26</v>
      </c>
      <c r="F43" s="6"/>
      <c r="G43" s="21"/>
      <c r="H43" s="20"/>
      <c r="I43" s="4">
        <f t="shared" si="1"/>
        <v>0</v>
      </c>
      <c r="J43" s="1"/>
      <c r="K43" s="14"/>
      <c r="L43" s="23"/>
      <c r="P43" s="14"/>
      <c r="Q43" s="14"/>
      <c r="R43" s="14"/>
    </row>
    <row r="44" spans="1:21" x14ac:dyDescent="0.25">
      <c r="A44" s="18" t="s">
        <v>27</v>
      </c>
      <c r="B44" s="6" t="s">
        <v>72</v>
      </c>
      <c r="C44" s="35">
        <v>2</v>
      </c>
      <c r="D44" s="50">
        <v>42.06</v>
      </c>
      <c r="E44" s="4">
        <f t="shared" si="0"/>
        <v>84.12</v>
      </c>
      <c r="F44" s="6"/>
      <c r="G44" s="21"/>
      <c r="H44" s="20"/>
      <c r="I44" s="4">
        <f t="shared" si="1"/>
        <v>0</v>
      </c>
      <c r="J44" s="1"/>
      <c r="K44" s="14"/>
      <c r="L44" s="23"/>
      <c r="P44" s="14"/>
      <c r="Q44" s="14"/>
      <c r="R44" s="14"/>
      <c r="S44" s="14"/>
      <c r="T44" s="14"/>
      <c r="U44" s="14"/>
    </row>
    <row r="45" spans="1:21" x14ac:dyDescent="0.25">
      <c r="A45" s="18" t="s">
        <v>31</v>
      </c>
      <c r="B45" s="6" t="s">
        <v>73</v>
      </c>
      <c r="C45" s="35">
        <v>2</v>
      </c>
      <c r="D45" s="50">
        <v>1.75</v>
      </c>
      <c r="E45" s="4">
        <f t="shared" si="0"/>
        <v>3.5</v>
      </c>
      <c r="F45" s="6"/>
      <c r="G45" s="21"/>
      <c r="H45" s="20"/>
      <c r="I45" s="4">
        <f t="shared" si="1"/>
        <v>0</v>
      </c>
      <c r="J45" s="3"/>
      <c r="K45" s="14"/>
      <c r="L45" s="23"/>
      <c r="P45" s="14"/>
      <c r="Q45" s="14"/>
      <c r="R45" s="14"/>
      <c r="S45" s="14"/>
      <c r="T45" s="14"/>
      <c r="U45" s="14"/>
    </row>
    <row r="46" spans="1:21" x14ac:dyDescent="0.25">
      <c r="A46" s="18" t="s">
        <v>74</v>
      </c>
      <c r="B46" s="6" t="s">
        <v>75</v>
      </c>
      <c r="C46" s="38">
        <v>2</v>
      </c>
      <c r="D46" s="49">
        <v>1.45</v>
      </c>
      <c r="E46" s="4">
        <f t="shared" si="0"/>
        <v>2.9</v>
      </c>
      <c r="F46" s="6"/>
      <c r="G46" s="1"/>
      <c r="H46" s="4"/>
      <c r="I46" s="4">
        <f t="shared" si="1"/>
        <v>0</v>
      </c>
      <c r="J46" s="3"/>
      <c r="K46" s="14"/>
      <c r="L46" s="23"/>
      <c r="P46" s="14"/>
      <c r="Q46" s="14"/>
      <c r="R46" s="14"/>
      <c r="S46" s="14"/>
      <c r="T46" s="14"/>
      <c r="U46" s="14"/>
    </row>
    <row r="47" spans="1:21" x14ac:dyDescent="0.25">
      <c r="A47" s="22" t="s">
        <v>76</v>
      </c>
      <c r="B47" s="7" t="s">
        <v>77</v>
      </c>
      <c r="C47" s="38">
        <v>19</v>
      </c>
      <c r="D47" s="49">
        <v>8.64</v>
      </c>
      <c r="E47" s="4">
        <f t="shared" si="0"/>
        <v>164.16000000000003</v>
      </c>
      <c r="F47" s="7"/>
      <c r="G47" s="1"/>
      <c r="H47" s="4"/>
      <c r="I47" s="4">
        <f t="shared" si="1"/>
        <v>0</v>
      </c>
      <c r="J47" s="3"/>
      <c r="K47" s="14"/>
      <c r="L47" s="23"/>
      <c r="P47" s="14"/>
      <c r="Q47" s="14"/>
      <c r="R47" s="14"/>
      <c r="S47" s="14"/>
      <c r="T47" s="14"/>
      <c r="U47" s="14"/>
    </row>
    <row r="48" spans="1:21" x14ac:dyDescent="0.25">
      <c r="A48" s="22" t="s">
        <v>78</v>
      </c>
      <c r="B48" s="7" t="s">
        <v>79</v>
      </c>
      <c r="C48" s="35">
        <v>92</v>
      </c>
      <c r="D48" s="50">
        <v>1.38</v>
      </c>
      <c r="E48" s="4">
        <f t="shared" si="0"/>
        <v>126.96</v>
      </c>
      <c r="F48" s="7"/>
      <c r="G48" s="21"/>
      <c r="H48" s="20"/>
      <c r="I48" s="4">
        <f t="shared" si="1"/>
        <v>0</v>
      </c>
      <c r="J48" s="3"/>
      <c r="K48" s="14"/>
      <c r="L48" s="23"/>
      <c r="P48" s="14"/>
      <c r="Q48" s="14"/>
      <c r="R48" s="14"/>
      <c r="S48" s="14"/>
      <c r="T48" s="14"/>
      <c r="U48" s="14"/>
    </row>
    <row r="49" spans="1:21" x14ac:dyDescent="0.25">
      <c r="A49" s="22" t="s">
        <v>37</v>
      </c>
      <c r="B49" s="7" t="s">
        <v>80</v>
      </c>
      <c r="C49" s="36">
        <v>15</v>
      </c>
      <c r="D49" s="49">
        <v>12.78</v>
      </c>
      <c r="E49" s="4">
        <f t="shared" si="0"/>
        <v>191.7</v>
      </c>
      <c r="F49" s="7"/>
      <c r="G49" s="1"/>
      <c r="H49" s="4"/>
      <c r="I49" s="4">
        <f t="shared" si="1"/>
        <v>0</v>
      </c>
      <c r="J49" s="24"/>
      <c r="K49" s="14"/>
      <c r="L49" s="23"/>
      <c r="P49" s="14"/>
      <c r="Q49" s="14"/>
      <c r="R49" s="14"/>
      <c r="S49" s="14"/>
      <c r="T49" s="14"/>
      <c r="U49" s="14"/>
    </row>
    <row r="50" spans="1:21" x14ac:dyDescent="0.25">
      <c r="A50" s="22" t="s">
        <v>78</v>
      </c>
      <c r="B50" s="7" t="s">
        <v>81</v>
      </c>
      <c r="C50" s="35">
        <v>36</v>
      </c>
      <c r="D50" s="50">
        <v>1</v>
      </c>
      <c r="E50" s="4">
        <f t="shared" si="0"/>
        <v>36</v>
      </c>
      <c r="F50" s="7"/>
      <c r="G50" s="21"/>
      <c r="H50" s="20"/>
      <c r="I50" s="4">
        <f t="shared" si="1"/>
        <v>0</v>
      </c>
      <c r="J50" s="3"/>
      <c r="K50" s="14"/>
      <c r="L50" s="23"/>
      <c r="P50" s="14"/>
      <c r="Q50" s="14"/>
      <c r="R50" s="14"/>
      <c r="S50" s="14"/>
      <c r="T50" s="14"/>
      <c r="U50" s="14"/>
    </row>
    <row r="51" spans="1:21" x14ac:dyDescent="0.25">
      <c r="A51" s="22" t="s">
        <v>82</v>
      </c>
      <c r="B51" s="7" t="s">
        <v>83</v>
      </c>
      <c r="C51" s="35">
        <v>24</v>
      </c>
      <c r="D51" s="50">
        <v>0.1</v>
      </c>
      <c r="E51" s="4">
        <f t="shared" si="0"/>
        <v>2.4000000000000004</v>
      </c>
      <c r="F51" s="7"/>
      <c r="G51" s="21"/>
      <c r="H51" s="20"/>
      <c r="I51" s="4">
        <f t="shared" si="1"/>
        <v>0</v>
      </c>
      <c r="J51" s="3"/>
    </row>
    <row r="52" spans="1:21" x14ac:dyDescent="0.25">
      <c r="A52" s="22" t="s">
        <v>43</v>
      </c>
      <c r="B52" s="7" t="s">
        <v>84</v>
      </c>
      <c r="C52" s="35">
        <v>71</v>
      </c>
      <c r="D52" s="50">
        <v>1.08</v>
      </c>
      <c r="E52" s="4">
        <f t="shared" si="0"/>
        <v>76.680000000000007</v>
      </c>
      <c r="F52" s="7"/>
      <c r="G52" s="21"/>
      <c r="H52" s="20"/>
      <c r="I52" s="4">
        <f t="shared" si="1"/>
        <v>0</v>
      </c>
      <c r="J52" s="3"/>
    </row>
    <row r="53" spans="1:21" x14ac:dyDescent="0.25">
      <c r="A53" s="22" t="s">
        <v>45</v>
      </c>
      <c r="B53" s="7" t="s">
        <v>85</v>
      </c>
      <c r="C53" s="35">
        <v>71</v>
      </c>
      <c r="D53" s="50">
        <v>0.43</v>
      </c>
      <c r="E53" s="4">
        <f t="shared" si="0"/>
        <v>30.53</v>
      </c>
      <c r="F53" s="7"/>
      <c r="G53" s="21"/>
      <c r="H53" s="20"/>
      <c r="I53" s="4">
        <f t="shared" si="1"/>
        <v>0</v>
      </c>
      <c r="J53" s="3"/>
    </row>
    <row r="54" spans="1:21" x14ac:dyDescent="0.25">
      <c r="A54" s="17" t="s">
        <v>86</v>
      </c>
      <c r="B54" s="6" t="s">
        <v>87</v>
      </c>
      <c r="C54" s="36">
        <v>60</v>
      </c>
      <c r="D54" s="49">
        <v>22.47</v>
      </c>
      <c r="E54" s="4">
        <f t="shared" si="0"/>
        <v>1348.1999999999998</v>
      </c>
      <c r="F54" s="6"/>
      <c r="G54" s="1"/>
      <c r="H54" s="4"/>
      <c r="I54" s="4">
        <f t="shared" si="1"/>
        <v>0</v>
      </c>
      <c r="J54" s="3"/>
    </row>
    <row r="55" spans="1:21" x14ac:dyDescent="0.25">
      <c r="A55" s="18" t="s">
        <v>5</v>
      </c>
      <c r="B55" s="6" t="s">
        <v>88</v>
      </c>
      <c r="C55" s="36">
        <v>60</v>
      </c>
      <c r="D55" s="49">
        <v>10.82</v>
      </c>
      <c r="E55" s="4">
        <f t="shared" si="0"/>
        <v>649.20000000000005</v>
      </c>
      <c r="F55" s="6"/>
      <c r="G55" s="1"/>
      <c r="H55" s="4"/>
      <c r="I55" s="4">
        <f t="shared" si="1"/>
        <v>0</v>
      </c>
      <c r="J55" s="3"/>
    </row>
    <row r="56" spans="1:21" ht="30" x14ac:dyDescent="0.25">
      <c r="A56" s="54" t="s">
        <v>11</v>
      </c>
      <c r="B56" s="55" t="s">
        <v>89</v>
      </c>
      <c r="C56" s="58">
        <v>2</v>
      </c>
      <c r="D56" s="59">
        <v>23.58</v>
      </c>
      <c r="E56" s="4">
        <f t="shared" si="0"/>
        <v>47.16</v>
      </c>
      <c r="F56" s="55"/>
      <c r="G56" s="60"/>
      <c r="H56" s="61"/>
      <c r="I56" s="4">
        <f t="shared" si="1"/>
        <v>0</v>
      </c>
      <c r="J56" s="1"/>
    </row>
    <row r="57" spans="1:21" ht="30" x14ac:dyDescent="0.25">
      <c r="A57" s="54" t="s">
        <v>13</v>
      </c>
      <c r="B57" s="55" t="s">
        <v>90</v>
      </c>
      <c r="C57" s="58">
        <v>2</v>
      </c>
      <c r="D57" s="59">
        <v>7.85</v>
      </c>
      <c r="E57" s="4">
        <f t="shared" si="0"/>
        <v>15.7</v>
      </c>
      <c r="F57" s="55"/>
      <c r="G57" s="60"/>
      <c r="H57" s="61"/>
      <c r="I57" s="4">
        <f t="shared" si="1"/>
        <v>0</v>
      </c>
      <c r="J57" s="1"/>
    </row>
    <row r="58" spans="1:21" ht="30" x14ac:dyDescent="0.25">
      <c r="A58" s="54" t="s">
        <v>15</v>
      </c>
      <c r="B58" s="55" t="s">
        <v>91</v>
      </c>
      <c r="C58" s="58">
        <v>4</v>
      </c>
      <c r="D58" s="59">
        <v>18.37</v>
      </c>
      <c r="E58" s="4">
        <f t="shared" si="0"/>
        <v>73.48</v>
      </c>
      <c r="F58" s="55"/>
      <c r="G58" s="60"/>
      <c r="H58" s="61"/>
      <c r="I58" s="4">
        <f t="shared" si="1"/>
        <v>0</v>
      </c>
      <c r="J58" s="25"/>
    </row>
    <row r="59" spans="1:21" ht="30" x14ac:dyDescent="0.25">
      <c r="A59" s="54" t="s">
        <v>17</v>
      </c>
      <c r="B59" s="55" t="s">
        <v>92</v>
      </c>
      <c r="C59" s="58">
        <v>4</v>
      </c>
      <c r="D59" s="59">
        <v>10.67</v>
      </c>
      <c r="E59" s="4">
        <f t="shared" si="0"/>
        <v>42.68</v>
      </c>
      <c r="F59" s="55"/>
      <c r="G59" s="60"/>
      <c r="H59" s="61"/>
      <c r="I59" s="4">
        <f t="shared" si="1"/>
        <v>0</v>
      </c>
      <c r="J59" s="25"/>
    </row>
    <row r="60" spans="1:21" x14ac:dyDescent="0.25">
      <c r="A60" s="54" t="s">
        <v>21</v>
      </c>
      <c r="B60" s="63" t="s">
        <v>93</v>
      </c>
      <c r="C60" s="58">
        <v>11</v>
      </c>
      <c r="D60" s="59">
        <v>29.35</v>
      </c>
      <c r="E60" s="4">
        <f t="shared" si="0"/>
        <v>322.85000000000002</v>
      </c>
      <c r="F60" s="63"/>
      <c r="G60" s="60"/>
      <c r="H60" s="61"/>
      <c r="I60" s="4">
        <f t="shared" si="1"/>
        <v>0</v>
      </c>
      <c r="J60" s="1"/>
    </row>
    <row r="61" spans="1:21" x14ac:dyDescent="0.25">
      <c r="A61" s="54" t="s">
        <v>23</v>
      </c>
      <c r="B61" s="55" t="s">
        <v>94</v>
      </c>
      <c r="C61" s="58">
        <v>11</v>
      </c>
      <c r="D61" s="59">
        <v>13.71</v>
      </c>
      <c r="E61" s="4">
        <f t="shared" si="0"/>
        <v>150.81</v>
      </c>
      <c r="F61" s="55"/>
      <c r="G61" s="60"/>
      <c r="H61" s="61"/>
      <c r="I61" s="4">
        <f t="shared" si="1"/>
        <v>0</v>
      </c>
      <c r="J61" s="1"/>
    </row>
    <row r="62" spans="1:21" x14ac:dyDescent="0.25">
      <c r="A62" s="57" t="s">
        <v>25</v>
      </c>
      <c r="B62" s="63" t="s">
        <v>95</v>
      </c>
      <c r="C62" s="58">
        <v>1</v>
      </c>
      <c r="D62" s="59">
        <v>33.61</v>
      </c>
      <c r="E62" s="4">
        <f t="shared" si="0"/>
        <v>33.61</v>
      </c>
      <c r="F62" s="63"/>
      <c r="G62" s="60"/>
      <c r="H62" s="61"/>
      <c r="I62" s="4">
        <f t="shared" si="1"/>
        <v>0</v>
      </c>
      <c r="J62" s="1"/>
    </row>
    <row r="63" spans="1:21" x14ac:dyDescent="0.25">
      <c r="A63" s="57" t="s">
        <v>27</v>
      </c>
      <c r="B63" s="63" t="s">
        <v>96</v>
      </c>
      <c r="C63" s="58">
        <v>1</v>
      </c>
      <c r="D63" s="59">
        <v>18.440000000000001</v>
      </c>
      <c r="E63" s="4">
        <f t="shared" si="0"/>
        <v>18.440000000000001</v>
      </c>
      <c r="F63" s="63"/>
      <c r="G63" s="60"/>
      <c r="H63" s="61"/>
      <c r="I63" s="4">
        <f t="shared" si="1"/>
        <v>0</v>
      </c>
      <c r="J63" s="25"/>
      <c r="L63" s="23"/>
      <c r="P63" s="14"/>
      <c r="Q63" s="14"/>
      <c r="R63" s="14"/>
      <c r="S63" s="14"/>
      <c r="T63" s="14"/>
      <c r="U63" s="14"/>
    </row>
    <row r="64" spans="1:21" x14ac:dyDescent="0.25">
      <c r="A64" s="18" t="s">
        <v>31</v>
      </c>
      <c r="B64" s="6" t="s">
        <v>97</v>
      </c>
      <c r="C64" s="35">
        <v>5</v>
      </c>
      <c r="D64" s="50">
        <v>1.83</v>
      </c>
      <c r="E64" s="4">
        <f t="shared" si="0"/>
        <v>9.15</v>
      </c>
      <c r="F64" s="6"/>
      <c r="G64" s="21"/>
      <c r="H64" s="20"/>
      <c r="I64" s="4">
        <f t="shared" si="1"/>
        <v>0</v>
      </c>
      <c r="J64" s="3"/>
      <c r="L64" s="23"/>
      <c r="P64" s="14"/>
      <c r="Q64" s="14"/>
      <c r="R64" s="14"/>
      <c r="S64" s="14"/>
      <c r="T64" s="14"/>
      <c r="U64" s="14"/>
    </row>
    <row r="65" spans="1:21" x14ac:dyDescent="0.25">
      <c r="A65" s="22" t="s">
        <v>98</v>
      </c>
      <c r="B65" s="7" t="s">
        <v>99</v>
      </c>
      <c r="C65" s="35">
        <v>44</v>
      </c>
      <c r="D65" s="50">
        <v>10.18</v>
      </c>
      <c r="E65" s="4">
        <f t="shared" si="0"/>
        <v>447.91999999999996</v>
      </c>
      <c r="F65" s="7"/>
      <c r="G65" s="21"/>
      <c r="H65" s="20"/>
      <c r="I65" s="4">
        <f t="shared" si="1"/>
        <v>0</v>
      </c>
      <c r="J65" s="3"/>
    </row>
    <row r="66" spans="1:21" x14ac:dyDescent="0.25">
      <c r="A66" s="22" t="s">
        <v>100</v>
      </c>
      <c r="B66" s="7" t="s">
        <v>101</v>
      </c>
      <c r="C66" s="35">
        <v>4</v>
      </c>
      <c r="D66" s="50">
        <v>13.32</v>
      </c>
      <c r="E66" s="4">
        <f t="shared" si="0"/>
        <v>53.28</v>
      </c>
      <c r="F66" s="7"/>
      <c r="G66" s="21"/>
      <c r="H66" s="20"/>
      <c r="I66" s="4">
        <f t="shared" si="1"/>
        <v>0</v>
      </c>
      <c r="J66" s="3"/>
    </row>
    <row r="67" spans="1:21" x14ac:dyDescent="0.25">
      <c r="A67" s="22" t="s">
        <v>102</v>
      </c>
      <c r="B67" s="7" t="s">
        <v>103</v>
      </c>
      <c r="C67" s="35">
        <v>24</v>
      </c>
      <c r="D67" s="50">
        <v>15.1</v>
      </c>
      <c r="E67" s="4">
        <f t="shared" ref="E67:E91" si="2">C67*D67</f>
        <v>362.4</v>
      </c>
      <c r="F67" s="7"/>
      <c r="G67" s="21"/>
      <c r="H67" s="20"/>
      <c r="I67" s="4">
        <f t="shared" ref="I67:I91" si="3">G67*H67</f>
        <v>0</v>
      </c>
      <c r="J67" s="3"/>
    </row>
    <row r="68" spans="1:21" x14ac:dyDescent="0.25">
      <c r="A68" s="22" t="s">
        <v>104</v>
      </c>
      <c r="B68" s="7" t="s">
        <v>105</v>
      </c>
      <c r="C68" s="35">
        <v>48</v>
      </c>
      <c r="D68" s="50">
        <v>0.61</v>
      </c>
      <c r="E68" s="4">
        <f t="shared" si="2"/>
        <v>29.28</v>
      </c>
      <c r="F68" s="7"/>
      <c r="G68" s="21"/>
      <c r="H68" s="20"/>
      <c r="I68" s="4">
        <f t="shared" si="3"/>
        <v>0</v>
      </c>
      <c r="J68" s="3"/>
    </row>
    <row r="69" spans="1:21" x14ac:dyDescent="0.25">
      <c r="A69" s="22" t="s">
        <v>106</v>
      </c>
      <c r="B69" s="7" t="s">
        <v>107</v>
      </c>
      <c r="C69" s="35">
        <v>48</v>
      </c>
      <c r="D69" s="50">
        <v>0.05</v>
      </c>
      <c r="E69" s="4">
        <f t="shared" si="2"/>
        <v>2.4000000000000004</v>
      </c>
      <c r="F69" s="7"/>
      <c r="G69" s="21"/>
      <c r="H69" s="20"/>
      <c r="I69" s="4">
        <f t="shared" si="3"/>
        <v>0</v>
      </c>
      <c r="J69" s="3"/>
    </row>
    <row r="70" spans="1:21" x14ac:dyDescent="0.25">
      <c r="A70" s="22" t="s">
        <v>108</v>
      </c>
      <c r="B70" s="7" t="s">
        <v>109</v>
      </c>
      <c r="C70" s="35">
        <v>48</v>
      </c>
      <c r="D70" s="50">
        <v>0.15</v>
      </c>
      <c r="E70" s="4">
        <f t="shared" si="2"/>
        <v>7.1999999999999993</v>
      </c>
      <c r="F70" s="7"/>
      <c r="G70" s="21"/>
      <c r="H70" s="20"/>
      <c r="I70" s="4">
        <f t="shared" si="3"/>
        <v>0</v>
      </c>
      <c r="J70" s="3"/>
      <c r="L70" s="23"/>
      <c r="P70" s="14"/>
      <c r="Q70" s="14"/>
      <c r="R70" s="14"/>
      <c r="S70" s="14"/>
      <c r="T70" s="14"/>
      <c r="U70" s="14"/>
    </row>
    <row r="71" spans="1:21" x14ac:dyDescent="0.25">
      <c r="A71" s="22" t="s">
        <v>110</v>
      </c>
      <c r="B71" s="7" t="s">
        <v>111</v>
      </c>
      <c r="C71" s="35">
        <v>24</v>
      </c>
      <c r="D71" s="50">
        <v>6.43</v>
      </c>
      <c r="E71" s="4">
        <f t="shared" si="2"/>
        <v>154.32</v>
      </c>
      <c r="F71" s="7"/>
      <c r="G71" s="21"/>
      <c r="H71" s="20"/>
      <c r="I71" s="4">
        <f t="shared" si="3"/>
        <v>0</v>
      </c>
      <c r="J71" s="3"/>
      <c r="L71" s="23"/>
      <c r="P71" s="14"/>
      <c r="Q71" s="14"/>
      <c r="R71" s="14"/>
      <c r="S71" s="14"/>
      <c r="T71" s="14"/>
      <c r="U71" s="14"/>
    </row>
    <row r="72" spans="1:21" x14ac:dyDescent="0.25">
      <c r="A72" s="22" t="s">
        <v>112</v>
      </c>
      <c r="B72" s="7" t="s">
        <v>113</v>
      </c>
      <c r="C72" s="35">
        <v>4</v>
      </c>
      <c r="D72" s="50">
        <v>9.06</v>
      </c>
      <c r="E72" s="4">
        <f t="shared" si="2"/>
        <v>36.24</v>
      </c>
      <c r="F72" s="7"/>
      <c r="G72" s="21"/>
      <c r="H72" s="20"/>
      <c r="I72" s="4">
        <f t="shared" si="3"/>
        <v>0</v>
      </c>
      <c r="J72" s="3"/>
      <c r="L72" s="23"/>
      <c r="P72" s="14"/>
      <c r="Q72" s="14"/>
      <c r="R72" s="14"/>
      <c r="S72" s="14"/>
      <c r="T72" s="14"/>
      <c r="U72" s="14"/>
    </row>
    <row r="73" spans="1:21" x14ac:dyDescent="0.25">
      <c r="A73" s="57" t="s">
        <v>114</v>
      </c>
      <c r="B73" s="55" t="s">
        <v>115</v>
      </c>
      <c r="C73" s="36">
        <v>15</v>
      </c>
      <c r="D73" s="49">
        <v>60.2</v>
      </c>
      <c r="E73" s="4">
        <f t="shared" si="2"/>
        <v>903</v>
      </c>
      <c r="F73" s="55"/>
      <c r="G73" s="1"/>
      <c r="H73" s="4"/>
      <c r="I73" s="4">
        <f t="shared" si="3"/>
        <v>0</v>
      </c>
      <c r="J73" s="25"/>
      <c r="L73" s="23"/>
      <c r="P73" s="14"/>
      <c r="Q73" s="14"/>
      <c r="R73" s="14"/>
      <c r="S73" s="14"/>
      <c r="T73" s="14"/>
      <c r="U73" s="14"/>
    </row>
    <row r="74" spans="1:21" x14ac:dyDescent="0.25">
      <c r="A74" s="18" t="s">
        <v>5</v>
      </c>
      <c r="B74" s="7" t="s">
        <v>116</v>
      </c>
      <c r="C74" s="36">
        <v>14</v>
      </c>
      <c r="D74" s="49">
        <v>31.52</v>
      </c>
      <c r="E74" s="4">
        <f t="shared" si="2"/>
        <v>441.28</v>
      </c>
      <c r="F74" s="7"/>
      <c r="G74" s="1"/>
      <c r="H74" s="4"/>
      <c r="I74" s="4">
        <f t="shared" si="3"/>
        <v>0</v>
      </c>
      <c r="J74" s="3"/>
      <c r="L74" s="23"/>
      <c r="P74" s="14"/>
      <c r="Q74" s="14"/>
      <c r="R74" s="14"/>
      <c r="S74" s="14"/>
      <c r="T74" s="14"/>
      <c r="U74" s="14"/>
    </row>
    <row r="75" spans="1:21" ht="30" x14ac:dyDescent="0.25">
      <c r="A75" s="22" t="s">
        <v>9</v>
      </c>
      <c r="B75" s="7" t="s">
        <v>117</v>
      </c>
      <c r="C75" s="35">
        <v>12</v>
      </c>
      <c r="D75" s="50">
        <v>7.78</v>
      </c>
      <c r="E75" s="4">
        <f t="shared" si="2"/>
        <v>93.36</v>
      </c>
      <c r="F75" s="7"/>
      <c r="G75" s="21"/>
      <c r="H75" s="20"/>
      <c r="I75" s="4">
        <f t="shared" si="3"/>
        <v>0</v>
      </c>
      <c r="J75" s="3"/>
      <c r="K75" s="14"/>
      <c r="L75" s="23"/>
      <c r="P75" s="14"/>
      <c r="Q75" s="14"/>
      <c r="R75" s="14"/>
      <c r="S75" s="14"/>
      <c r="T75" s="14"/>
      <c r="U75" s="14"/>
    </row>
    <row r="76" spans="1:21" ht="30" x14ac:dyDescent="0.25">
      <c r="A76" s="22" t="s">
        <v>19</v>
      </c>
      <c r="B76" s="7" t="s">
        <v>118</v>
      </c>
      <c r="C76" s="35">
        <v>3</v>
      </c>
      <c r="D76" s="50">
        <v>3.25</v>
      </c>
      <c r="E76" s="4">
        <f t="shared" si="2"/>
        <v>9.75</v>
      </c>
      <c r="F76" s="7"/>
      <c r="G76" s="21"/>
      <c r="H76" s="20"/>
      <c r="I76" s="4">
        <f t="shared" si="3"/>
        <v>0</v>
      </c>
      <c r="J76" s="3"/>
      <c r="L76" s="23"/>
      <c r="P76" s="14"/>
      <c r="Q76" s="14"/>
      <c r="R76" s="14"/>
      <c r="S76" s="14"/>
      <c r="T76" s="14"/>
      <c r="U76" s="14"/>
    </row>
    <row r="77" spans="1:21" x14ac:dyDescent="0.25">
      <c r="A77" s="22" t="s">
        <v>119</v>
      </c>
      <c r="B77" s="7" t="s">
        <v>120</v>
      </c>
      <c r="C77" s="35">
        <v>27</v>
      </c>
      <c r="D77" s="50">
        <v>1.94</v>
      </c>
      <c r="E77" s="4">
        <f t="shared" si="2"/>
        <v>52.379999999999995</v>
      </c>
      <c r="F77" s="7"/>
      <c r="G77" s="21"/>
      <c r="H77" s="20"/>
      <c r="I77" s="4">
        <f t="shared" si="3"/>
        <v>0</v>
      </c>
      <c r="J77" s="3"/>
      <c r="L77" s="23"/>
      <c r="P77" s="14"/>
      <c r="Q77" s="14"/>
      <c r="R77" s="14"/>
      <c r="S77" s="14"/>
      <c r="T77" s="14"/>
      <c r="U77" s="14"/>
    </row>
    <row r="78" spans="1:21" x14ac:dyDescent="0.25">
      <c r="A78" s="54" t="s">
        <v>121</v>
      </c>
      <c r="B78" s="55" t="s">
        <v>122</v>
      </c>
      <c r="C78" s="58">
        <v>27</v>
      </c>
      <c r="D78" s="59">
        <v>1.27</v>
      </c>
      <c r="E78" s="4">
        <f t="shared" si="2"/>
        <v>34.29</v>
      </c>
      <c r="F78" s="55"/>
      <c r="G78" s="60"/>
      <c r="H78" s="61"/>
      <c r="I78" s="4">
        <f t="shared" si="3"/>
        <v>0</v>
      </c>
      <c r="J78" s="25"/>
      <c r="L78" s="23"/>
      <c r="P78" s="14"/>
      <c r="Q78" s="14"/>
      <c r="R78" s="14"/>
      <c r="S78" s="14"/>
      <c r="T78" s="14"/>
      <c r="U78" s="14"/>
    </row>
    <row r="79" spans="1:21" x14ac:dyDescent="0.25">
      <c r="A79" s="18" t="s">
        <v>123</v>
      </c>
      <c r="B79" s="7" t="s">
        <v>124</v>
      </c>
      <c r="C79" s="35">
        <v>2435</v>
      </c>
      <c r="D79" s="50">
        <v>0.15</v>
      </c>
      <c r="E79" s="4">
        <f t="shared" si="2"/>
        <v>365.25</v>
      </c>
      <c r="F79" s="7"/>
      <c r="G79" s="21"/>
      <c r="H79" s="20"/>
      <c r="I79" s="4">
        <f t="shared" si="3"/>
        <v>0</v>
      </c>
      <c r="J79" s="3"/>
      <c r="L79" s="23"/>
      <c r="P79" s="14"/>
      <c r="Q79" s="14"/>
      <c r="R79" s="14"/>
      <c r="S79" s="14"/>
      <c r="T79" s="14"/>
      <c r="U79" s="14"/>
    </row>
    <row r="80" spans="1:21" x14ac:dyDescent="0.25">
      <c r="A80" s="18" t="s">
        <v>125</v>
      </c>
      <c r="B80" s="7" t="s">
        <v>126</v>
      </c>
      <c r="C80" s="35">
        <v>896</v>
      </c>
      <c r="D80" s="50">
        <v>0.63</v>
      </c>
      <c r="E80" s="4">
        <f t="shared" si="2"/>
        <v>564.48</v>
      </c>
      <c r="F80" s="7"/>
      <c r="G80" s="21"/>
      <c r="H80" s="20"/>
      <c r="I80" s="4">
        <f t="shared" si="3"/>
        <v>0</v>
      </c>
      <c r="J80" s="3"/>
      <c r="L80" s="23"/>
      <c r="P80" s="14"/>
      <c r="Q80" s="14"/>
      <c r="R80" s="14"/>
      <c r="S80" s="14"/>
      <c r="T80" s="14"/>
      <c r="U80" s="14"/>
    </row>
    <row r="81" spans="1:18" x14ac:dyDescent="0.25">
      <c r="A81" s="18" t="s">
        <v>127</v>
      </c>
      <c r="B81" s="7" t="s">
        <v>128</v>
      </c>
      <c r="C81" s="35">
        <v>3</v>
      </c>
      <c r="D81" s="50">
        <v>3.39</v>
      </c>
      <c r="E81" s="4">
        <f t="shared" si="2"/>
        <v>10.17</v>
      </c>
      <c r="F81" s="7"/>
      <c r="G81" s="21"/>
      <c r="H81" s="20"/>
      <c r="I81" s="4">
        <f t="shared" si="3"/>
        <v>0</v>
      </c>
      <c r="J81" s="3"/>
    </row>
    <row r="82" spans="1:18" x14ac:dyDescent="0.25">
      <c r="A82" s="44" t="s">
        <v>129</v>
      </c>
      <c r="B82" s="39" t="s">
        <v>130</v>
      </c>
      <c r="C82" s="51">
        <v>38</v>
      </c>
      <c r="D82" s="52">
        <v>6.02</v>
      </c>
      <c r="E82" s="45">
        <f t="shared" si="2"/>
        <v>228.76</v>
      </c>
      <c r="F82" s="39"/>
      <c r="G82" s="40"/>
      <c r="H82" s="41"/>
      <c r="I82" s="45">
        <f t="shared" si="3"/>
        <v>0</v>
      </c>
      <c r="J82" s="65" t="s">
        <v>162</v>
      </c>
    </row>
    <row r="83" spans="1:18" x14ac:dyDescent="0.25">
      <c r="A83" s="22" t="s">
        <v>131</v>
      </c>
      <c r="B83" s="7" t="s">
        <v>132</v>
      </c>
      <c r="C83" s="35">
        <v>400</v>
      </c>
      <c r="D83" s="50">
        <v>1.85</v>
      </c>
      <c r="E83" s="4">
        <f t="shared" si="2"/>
        <v>740</v>
      </c>
      <c r="F83" s="7"/>
      <c r="G83" s="21"/>
      <c r="H83" s="20"/>
      <c r="I83" s="4">
        <f t="shared" si="3"/>
        <v>0</v>
      </c>
      <c r="J83" s="3"/>
      <c r="L83" s="23"/>
      <c r="P83" s="14"/>
      <c r="Q83" s="14"/>
      <c r="R83" s="14"/>
    </row>
    <row r="84" spans="1:18" x14ac:dyDescent="0.25">
      <c r="A84" s="22" t="s">
        <v>133</v>
      </c>
      <c r="B84" s="7" t="s">
        <v>134</v>
      </c>
      <c r="C84" s="35">
        <v>50</v>
      </c>
      <c r="D84" s="50">
        <v>2.02</v>
      </c>
      <c r="E84" s="4">
        <f t="shared" si="2"/>
        <v>101</v>
      </c>
      <c r="F84" s="7"/>
      <c r="G84" s="21"/>
      <c r="H84" s="20"/>
      <c r="I84" s="4">
        <f t="shared" si="3"/>
        <v>0</v>
      </c>
      <c r="J84" s="3"/>
    </row>
    <row r="85" spans="1:18" x14ac:dyDescent="0.25">
      <c r="A85" s="22" t="s">
        <v>135</v>
      </c>
      <c r="B85" s="7" t="s">
        <v>136</v>
      </c>
      <c r="C85" s="35">
        <v>100</v>
      </c>
      <c r="D85" s="50">
        <v>2.3199999999999998</v>
      </c>
      <c r="E85" s="4">
        <f t="shared" si="2"/>
        <v>231.99999999999997</v>
      </c>
      <c r="F85" s="7"/>
      <c r="G85" s="21"/>
      <c r="H85" s="20"/>
      <c r="I85" s="4">
        <f t="shared" si="3"/>
        <v>0</v>
      </c>
      <c r="J85" s="3"/>
      <c r="L85" s="23"/>
      <c r="P85" s="14"/>
      <c r="Q85" s="14"/>
      <c r="R85" s="14"/>
    </row>
    <row r="86" spans="1:18" x14ac:dyDescent="0.25">
      <c r="A86" s="66" t="s">
        <v>5</v>
      </c>
      <c r="B86" s="67" t="s">
        <v>137</v>
      </c>
      <c r="C86" s="68"/>
      <c r="D86" s="69"/>
      <c r="E86" s="70">
        <f t="shared" si="2"/>
        <v>0</v>
      </c>
      <c r="F86" s="67"/>
      <c r="G86" s="71"/>
      <c r="H86" s="72"/>
      <c r="I86" s="70">
        <f t="shared" si="3"/>
        <v>0</v>
      </c>
      <c r="J86" s="73"/>
      <c r="K86" s="14"/>
      <c r="L86" s="23"/>
    </row>
    <row r="87" spans="1:18" x14ac:dyDescent="0.25">
      <c r="A87" s="22" t="s">
        <v>76</v>
      </c>
      <c r="B87" s="7" t="s">
        <v>138</v>
      </c>
      <c r="C87" s="35">
        <v>12</v>
      </c>
      <c r="D87" s="50">
        <v>17.100000000000001</v>
      </c>
      <c r="E87" s="4">
        <f t="shared" si="2"/>
        <v>205.20000000000002</v>
      </c>
      <c r="F87" s="7"/>
      <c r="G87" s="21"/>
      <c r="H87" s="20"/>
      <c r="I87" s="4">
        <f t="shared" si="3"/>
        <v>0</v>
      </c>
      <c r="J87" s="25"/>
      <c r="L87" s="23"/>
    </row>
    <row r="88" spans="1:18" x14ac:dyDescent="0.25">
      <c r="A88" s="17" t="s">
        <v>139</v>
      </c>
      <c r="B88" s="63" t="s">
        <v>140</v>
      </c>
      <c r="C88" s="64">
        <v>9</v>
      </c>
      <c r="D88" s="59">
        <v>28.01</v>
      </c>
      <c r="E88" s="4">
        <f t="shared" si="2"/>
        <v>252.09</v>
      </c>
      <c r="F88" s="63"/>
      <c r="G88" s="60"/>
      <c r="H88" s="61"/>
      <c r="I88" s="4">
        <f t="shared" si="3"/>
        <v>0</v>
      </c>
      <c r="J88" s="25"/>
      <c r="L88" s="23"/>
    </row>
    <row r="89" spans="1:18" x14ac:dyDescent="0.25">
      <c r="A89" s="18" t="s">
        <v>5</v>
      </c>
      <c r="B89" s="6" t="s">
        <v>141</v>
      </c>
      <c r="C89" s="37">
        <v>10</v>
      </c>
      <c r="D89" s="50">
        <v>24.81</v>
      </c>
      <c r="E89" s="4">
        <f t="shared" si="2"/>
        <v>248.1</v>
      </c>
      <c r="F89" s="6"/>
      <c r="G89" s="21"/>
      <c r="H89" s="20"/>
      <c r="I89" s="4">
        <f t="shared" si="3"/>
        <v>0</v>
      </c>
      <c r="J89" s="25"/>
      <c r="L89" s="23"/>
    </row>
    <row r="90" spans="1:18" x14ac:dyDescent="0.25">
      <c r="A90" s="22" t="s">
        <v>142</v>
      </c>
      <c r="B90" s="7" t="s">
        <v>143</v>
      </c>
      <c r="C90" s="35">
        <v>5</v>
      </c>
      <c r="D90" s="50">
        <v>11.45</v>
      </c>
      <c r="E90" s="4">
        <f t="shared" si="2"/>
        <v>57.25</v>
      </c>
      <c r="F90" s="7"/>
      <c r="G90" s="21"/>
      <c r="H90" s="20"/>
      <c r="I90" s="4">
        <f t="shared" si="3"/>
        <v>0</v>
      </c>
      <c r="J90" s="25"/>
      <c r="L90" s="23"/>
    </row>
    <row r="91" spans="1:18" x14ac:dyDescent="0.25">
      <c r="A91" s="22" t="s">
        <v>144</v>
      </c>
      <c r="B91" s="7" t="s">
        <v>145</v>
      </c>
      <c r="C91" s="35">
        <v>2</v>
      </c>
      <c r="D91" s="50">
        <v>22.73</v>
      </c>
      <c r="E91" s="4">
        <f t="shared" si="2"/>
        <v>45.46</v>
      </c>
      <c r="F91" s="7"/>
      <c r="G91" s="21"/>
      <c r="H91" s="20"/>
      <c r="I91" s="4">
        <f t="shared" si="3"/>
        <v>0</v>
      </c>
      <c r="J91" s="25"/>
      <c r="L91" s="23"/>
    </row>
    <row r="92" spans="1:18" x14ac:dyDescent="0.25">
      <c r="A92" s="26"/>
      <c r="B92" s="14"/>
      <c r="C92" s="14"/>
      <c r="D92" s="27"/>
      <c r="E92" s="27"/>
      <c r="F92" s="14"/>
      <c r="G92" s="27"/>
      <c r="H92" s="27"/>
      <c r="I92" s="27"/>
      <c r="J92" s="14"/>
      <c r="K92" s="14"/>
      <c r="L92" s="23"/>
      <c r="N92" s="14"/>
      <c r="O92" s="14"/>
    </row>
    <row r="93" spans="1:18" x14ac:dyDescent="0.25">
      <c r="A93" s="26"/>
      <c r="B93" s="14"/>
      <c r="C93" s="14"/>
      <c r="D93" s="27"/>
      <c r="E93" s="27"/>
      <c r="F93" s="14"/>
      <c r="G93" s="27"/>
      <c r="H93" s="27"/>
      <c r="I93" s="27"/>
      <c r="J93" s="14"/>
      <c r="K93" s="14"/>
      <c r="L93" s="23"/>
      <c r="M93" s="23"/>
      <c r="N93" s="14"/>
      <c r="O93" s="14"/>
    </row>
    <row r="94" spans="1:18" x14ac:dyDescent="0.25">
      <c r="A94" s="42" t="s">
        <v>159</v>
      </c>
      <c r="B94" s="14"/>
      <c r="C94" s="14"/>
      <c r="D94" s="27"/>
      <c r="E94" s="43">
        <f>SUBTOTAL(9,E2:E91)</f>
        <v>20631.2</v>
      </c>
      <c r="F94" s="14"/>
      <c r="G94" s="27"/>
      <c r="H94" s="27"/>
      <c r="I94" s="43">
        <f>SUBTOTAL(9,I2:I91)</f>
        <v>4108.8600000000006</v>
      </c>
      <c r="J94" s="14"/>
      <c r="K94" s="14"/>
      <c r="L94" s="23"/>
      <c r="M94" s="28"/>
      <c r="N94" s="14"/>
      <c r="O94" s="14"/>
      <c r="P94" s="14"/>
      <c r="Q94" s="14"/>
      <c r="R94" s="14"/>
    </row>
    <row r="95" spans="1:18" x14ac:dyDescent="0.25">
      <c r="A95" s="26"/>
      <c r="B95" s="14"/>
      <c r="C95" s="14"/>
      <c r="D95" s="27"/>
      <c r="E95" s="27"/>
      <c r="F95" s="14"/>
      <c r="G95" s="27"/>
      <c r="H95" s="27"/>
      <c r="I95" s="27"/>
      <c r="J95" s="14"/>
      <c r="K95" s="14"/>
      <c r="L95" s="29"/>
      <c r="M95" s="29"/>
      <c r="N95" s="14"/>
      <c r="O95" s="14"/>
      <c r="P95" s="14"/>
      <c r="Q95" s="14"/>
      <c r="R95" s="14"/>
    </row>
    <row r="96" spans="1:18" x14ac:dyDescent="0.25">
      <c r="A96" s="26"/>
      <c r="B96" s="14"/>
      <c r="C96" s="14"/>
      <c r="D96" s="27"/>
      <c r="E96" s="27"/>
      <c r="F96" s="14"/>
      <c r="G96" s="27"/>
      <c r="H96" s="27"/>
      <c r="I96" s="27"/>
      <c r="J96" s="14"/>
      <c r="K96" s="14"/>
      <c r="L96" s="23"/>
      <c r="M96" s="23"/>
      <c r="N96" s="14"/>
      <c r="O96" s="14"/>
      <c r="P96" s="14"/>
      <c r="Q96" s="14"/>
      <c r="R96" s="14"/>
    </row>
    <row r="97" spans="1:21" x14ac:dyDescent="0.25">
      <c r="A97" s="26"/>
      <c r="B97" s="14"/>
      <c r="C97" s="14"/>
      <c r="D97" s="27"/>
      <c r="E97" s="27"/>
      <c r="F97" s="14"/>
      <c r="G97" s="27"/>
      <c r="H97" s="27"/>
      <c r="I97" s="27"/>
      <c r="J97" s="14"/>
      <c r="K97" s="14"/>
      <c r="L97" s="23"/>
      <c r="M97" s="23"/>
      <c r="N97" s="14"/>
      <c r="O97" s="14"/>
      <c r="P97" s="14"/>
      <c r="Q97" s="14"/>
      <c r="R97" s="14"/>
    </row>
    <row r="98" spans="1:21" x14ac:dyDescent="0.25">
      <c r="A98" s="26"/>
      <c r="B98" s="14"/>
      <c r="C98" s="14">
        <f>COUNTBLANK(C2:C91)</f>
        <v>11</v>
      </c>
      <c r="F98" s="14"/>
      <c r="K98" s="14"/>
      <c r="L98" s="23"/>
      <c r="M98" s="23"/>
      <c r="N98" s="14"/>
      <c r="O98" s="14"/>
      <c r="P98" s="14"/>
      <c r="Q98" s="14"/>
      <c r="R98" s="14"/>
      <c r="S98" s="14"/>
      <c r="T98" s="14"/>
      <c r="U98" s="14"/>
    </row>
    <row r="99" spans="1:21" x14ac:dyDescent="0.25">
      <c r="A99" s="26"/>
      <c r="B99" s="14"/>
      <c r="C99" s="14"/>
      <c r="F99" s="14"/>
      <c r="K99" s="14"/>
      <c r="L99" s="23"/>
      <c r="M99" s="23"/>
      <c r="N99" s="14"/>
      <c r="O99" s="14"/>
      <c r="P99" s="14"/>
      <c r="Q99" s="14"/>
      <c r="R99" s="14"/>
      <c r="S99" s="14"/>
      <c r="T99" s="14"/>
      <c r="U99" s="14"/>
    </row>
    <row r="100" spans="1:21" x14ac:dyDescent="0.25">
      <c r="A100" s="26"/>
      <c r="B100" s="14"/>
      <c r="C100" s="14"/>
      <c r="F100" s="14"/>
      <c r="K100" s="14"/>
      <c r="L100" s="23"/>
      <c r="M100" s="23"/>
      <c r="N100" s="14"/>
      <c r="O100" s="14"/>
      <c r="P100" s="14"/>
      <c r="Q100" s="14"/>
      <c r="R100" s="14"/>
      <c r="S100" s="14"/>
      <c r="T100" s="14"/>
      <c r="U100" s="14"/>
    </row>
    <row r="101" spans="1:21" x14ac:dyDescent="0.25">
      <c r="A101" s="26"/>
      <c r="B101" s="14"/>
      <c r="C101" s="14"/>
      <c r="F101" s="14"/>
      <c r="K101" s="14"/>
      <c r="L101" s="23"/>
      <c r="M101" s="23"/>
      <c r="N101" s="14"/>
      <c r="O101" s="14"/>
      <c r="P101" s="14"/>
      <c r="Q101" s="14"/>
      <c r="R101" s="14"/>
      <c r="S101" s="14"/>
      <c r="T101" s="14"/>
      <c r="U101" s="14"/>
    </row>
    <row r="102" spans="1:21" x14ac:dyDescent="0.25">
      <c r="A102" s="26"/>
      <c r="B102" s="14"/>
      <c r="C102" s="14"/>
      <c r="F102" s="14"/>
      <c r="K102" s="14"/>
      <c r="L102" s="23"/>
      <c r="M102" s="23"/>
      <c r="N102" s="14"/>
      <c r="O102" s="14"/>
      <c r="P102" s="14"/>
      <c r="Q102" s="14"/>
      <c r="R102" s="14"/>
      <c r="S102" s="14"/>
      <c r="T102" s="14"/>
      <c r="U102" s="14"/>
    </row>
    <row r="103" spans="1:21" x14ac:dyDescent="0.25">
      <c r="A103" s="26"/>
      <c r="B103" s="14"/>
      <c r="C103" s="14"/>
      <c r="F103" s="14"/>
      <c r="K103" s="14"/>
      <c r="L103" s="23"/>
      <c r="M103" s="23"/>
      <c r="N103" s="14"/>
      <c r="O103" s="14"/>
      <c r="P103" s="14"/>
      <c r="Q103" s="14"/>
      <c r="R103" s="14"/>
      <c r="S103" s="14"/>
      <c r="T103" s="14"/>
      <c r="U103" s="14"/>
    </row>
    <row r="104" spans="1:21" x14ac:dyDescent="0.25">
      <c r="A104" s="26"/>
      <c r="B104" s="14"/>
      <c r="C104" s="14"/>
      <c r="F104" s="14"/>
      <c r="K104" s="14"/>
      <c r="L104" s="23"/>
      <c r="M104" s="23"/>
      <c r="N104" s="14"/>
      <c r="O104" s="14"/>
      <c r="P104" s="14"/>
      <c r="Q104" s="14"/>
      <c r="R104" s="14"/>
      <c r="S104" s="14"/>
      <c r="T104" s="14"/>
      <c r="U104" s="14"/>
    </row>
    <row r="105" spans="1:21" x14ac:dyDescent="0.25">
      <c r="A105" s="26"/>
      <c r="B105" s="14"/>
      <c r="C105" s="14"/>
      <c r="F105" s="14"/>
    </row>
    <row r="106" spans="1:21" x14ac:dyDescent="0.25">
      <c r="A106" s="26"/>
      <c r="B106" s="14"/>
      <c r="C106" s="14"/>
      <c r="F106" s="14"/>
    </row>
    <row r="107" spans="1:21" x14ac:dyDescent="0.25">
      <c r="A107" s="26"/>
      <c r="B107" s="14"/>
      <c r="C107" s="14"/>
      <c r="F107" s="14"/>
    </row>
    <row r="108" spans="1:21" x14ac:dyDescent="0.25">
      <c r="A108" s="26"/>
      <c r="B108" s="14"/>
      <c r="C108" s="14"/>
      <c r="D108" s="27"/>
      <c r="E108" s="27"/>
      <c r="F108" s="14"/>
      <c r="G108" s="27"/>
      <c r="H108" s="27"/>
      <c r="I108" s="27"/>
      <c r="J108" s="14"/>
      <c r="K108" s="14"/>
      <c r="L108" s="23"/>
      <c r="M108" s="23"/>
      <c r="N108" s="14"/>
      <c r="O108" s="14"/>
      <c r="P108" s="14"/>
      <c r="Q108" s="14"/>
      <c r="R108" s="14"/>
    </row>
    <row r="109" spans="1:21" x14ac:dyDescent="0.25">
      <c r="A109" s="26"/>
      <c r="B109" s="14"/>
      <c r="C109" s="14"/>
      <c r="D109" s="27"/>
      <c r="E109" s="27"/>
      <c r="F109" s="14"/>
      <c r="G109" s="27"/>
      <c r="H109" s="27"/>
      <c r="I109" s="27"/>
      <c r="J109" s="14"/>
      <c r="K109" s="14"/>
      <c r="L109" s="23"/>
      <c r="M109" s="23"/>
      <c r="N109" s="14"/>
      <c r="O109" s="14"/>
      <c r="P109" s="14"/>
      <c r="Q109" s="14"/>
      <c r="R109" s="14"/>
    </row>
    <row r="110" spans="1:21" x14ac:dyDescent="0.25">
      <c r="A110" s="26"/>
      <c r="B110" s="14"/>
      <c r="C110" s="14"/>
      <c r="D110" s="27"/>
      <c r="E110" s="27"/>
      <c r="F110" s="14"/>
      <c r="G110" s="27"/>
      <c r="H110" s="27"/>
      <c r="I110" s="27"/>
      <c r="J110" s="14"/>
      <c r="K110" s="14"/>
      <c r="L110" s="23"/>
      <c r="M110" s="23"/>
      <c r="N110" s="14"/>
      <c r="O110" s="14"/>
    </row>
    <row r="111" spans="1:21" x14ac:dyDescent="0.25">
      <c r="A111" s="26"/>
      <c r="B111" s="14"/>
      <c r="C111" s="14"/>
      <c r="D111" s="27"/>
      <c r="E111" s="27"/>
      <c r="F111" s="14"/>
      <c r="G111" s="27"/>
      <c r="H111" s="27"/>
      <c r="I111" s="27"/>
      <c r="J111" s="14"/>
      <c r="K111" s="14"/>
      <c r="L111" s="23"/>
      <c r="M111" s="23"/>
      <c r="N111" s="14"/>
      <c r="O111" s="14"/>
    </row>
    <row r="112" spans="1:21" x14ac:dyDescent="0.25">
      <c r="A112" s="26"/>
      <c r="B112" s="14"/>
      <c r="C112" s="14"/>
      <c r="D112" s="27"/>
      <c r="E112" s="27"/>
      <c r="F112" s="14"/>
      <c r="G112" s="27"/>
      <c r="H112" s="27"/>
      <c r="I112" s="27"/>
      <c r="J112" s="14"/>
      <c r="K112" s="14"/>
      <c r="L112" s="23"/>
      <c r="M112" s="23"/>
      <c r="N112" s="14"/>
      <c r="O112" s="14"/>
    </row>
    <row r="113" spans="1:21" x14ac:dyDescent="0.25">
      <c r="A113" s="26"/>
      <c r="B113" s="14"/>
      <c r="C113" s="14"/>
      <c r="D113" s="27"/>
      <c r="E113" s="27"/>
      <c r="F113" s="14"/>
      <c r="G113" s="27"/>
      <c r="H113" s="27"/>
      <c r="I113" s="27"/>
      <c r="J113" s="14"/>
      <c r="K113" s="14"/>
      <c r="L113" s="23"/>
      <c r="M113" s="23"/>
      <c r="N113" s="14"/>
      <c r="O113" s="14"/>
    </row>
    <row r="114" spans="1:21" x14ac:dyDescent="0.25">
      <c r="A114" s="26"/>
      <c r="B114" s="14"/>
      <c r="C114" s="14"/>
      <c r="D114" s="27"/>
      <c r="E114" s="27"/>
      <c r="F114" s="14"/>
      <c r="G114" s="27"/>
      <c r="H114" s="27"/>
      <c r="I114" s="27"/>
      <c r="J114" s="14"/>
      <c r="K114" s="14"/>
      <c r="L114" s="23"/>
      <c r="M114" s="23"/>
      <c r="N114" s="14"/>
      <c r="O114" s="14"/>
    </row>
    <row r="115" spans="1:21" x14ac:dyDescent="0.25">
      <c r="A115" s="26"/>
      <c r="B115" s="14"/>
      <c r="C115" s="14"/>
      <c r="D115" s="27"/>
      <c r="E115" s="27"/>
      <c r="F115" s="14"/>
      <c r="G115" s="27"/>
      <c r="H115" s="27"/>
      <c r="I115" s="27"/>
      <c r="J115" s="14"/>
      <c r="K115" s="14"/>
      <c r="L115" s="23"/>
      <c r="M115" s="23"/>
      <c r="N115" s="14"/>
      <c r="O115" s="14"/>
    </row>
    <row r="116" spans="1:21" x14ac:dyDescent="0.25">
      <c r="A116" s="26"/>
      <c r="B116" s="14"/>
      <c r="C116" s="14"/>
      <c r="D116" s="27"/>
      <c r="E116" s="27"/>
      <c r="F116" s="14"/>
      <c r="G116" s="27"/>
      <c r="H116" s="27"/>
      <c r="I116" s="27"/>
      <c r="J116" s="14"/>
      <c r="K116" s="14"/>
      <c r="L116" s="23"/>
      <c r="M116" s="23"/>
      <c r="N116" s="14"/>
      <c r="O116" s="14"/>
    </row>
    <row r="117" spans="1:21" x14ac:dyDescent="0.25">
      <c r="A117" s="26"/>
      <c r="B117" s="14"/>
      <c r="C117" s="14"/>
      <c r="D117" s="27"/>
      <c r="E117" s="27"/>
      <c r="F117" s="14"/>
      <c r="G117" s="27"/>
      <c r="H117" s="27"/>
      <c r="I117" s="27"/>
      <c r="J117" s="14"/>
      <c r="K117" s="14"/>
      <c r="L117" s="23"/>
      <c r="M117" s="23"/>
      <c r="N117" s="14"/>
      <c r="O117" s="14"/>
    </row>
    <row r="118" spans="1:21" x14ac:dyDescent="0.25">
      <c r="A118" s="26"/>
      <c r="B118" s="14"/>
      <c r="C118" s="14"/>
      <c r="D118" s="27"/>
      <c r="E118" s="27"/>
      <c r="F118" s="14"/>
      <c r="G118" s="27"/>
      <c r="H118" s="27"/>
      <c r="I118" s="27"/>
      <c r="J118" s="14"/>
      <c r="K118" s="14"/>
      <c r="L118" s="23"/>
      <c r="M118" s="23"/>
      <c r="N118" s="14"/>
      <c r="O118" s="14"/>
      <c r="P118" s="14"/>
      <c r="Q118" s="14"/>
      <c r="R118" s="14"/>
    </row>
    <row r="119" spans="1:21" x14ac:dyDescent="0.25">
      <c r="A119" s="26"/>
      <c r="B119" s="14"/>
      <c r="C119" s="14"/>
      <c r="D119" s="27"/>
      <c r="E119" s="27"/>
      <c r="F119" s="14"/>
      <c r="G119" s="27"/>
      <c r="H119" s="27"/>
      <c r="I119" s="27"/>
      <c r="J119" s="14"/>
      <c r="K119" s="14"/>
      <c r="L119" s="23"/>
      <c r="M119" s="23"/>
      <c r="N119" s="14"/>
      <c r="O119" s="14"/>
      <c r="P119" s="14"/>
      <c r="Q119" s="14"/>
      <c r="R119" s="14"/>
    </row>
    <row r="120" spans="1:21" x14ac:dyDescent="0.25">
      <c r="A120" s="26"/>
      <c r="B120" s="14"/>
      <c r="C120" s="14"/>
      <c r="D120" s="27"/>
      <c r="E120" s="27"/>
      <c r="F120" s="14"/>
      <c r="G120" s="27"/>
      <c r="H120" s="27"/>
      <c r="I120" s="27"/>
      <c r="J120" s="14"/>
      <c r="K120" s="14"/>
      <c r="L120" s="23"/>
      <c r="M120" s="23"/>
      <c r="N120" s="14"/>
      <c r="O120" s="14"/>
      <c r="P120" s="14"/>
      <c r="Q120" s="14"/>
      <c r="R120" s="14"/>
    </row>
    <row r="121" spans="1:21" x14ac:dyDescent="0.25">
      <c r="A121" s="26"/>
      <c r="B121" s="14"/>
      <c r="C121" s="14"/>
      <c r="D121" s="27"/>
      <c r="E121" s="27"/>
      <c r="F121" s="14"/>
      <c r="G121" s="27"/>
      <c r="H121" s="27"/>
      <c r="I121" s="27"/>
      <c r="J121" s="14"/>
      <c r="K121" s="14"/>
      <c r="L121" s="23"/>
      <c r="M121" s="23"/>
      <c r="N121" s="14"/>
      <c r="O121" s="14"/>
      <c r="P121" s="14"/>
      <c r="Q121" s="14"/>
      <c r="R121" s="14"/>
    </row>
    <row r="122" spans="1:21" x14ac:dyDescent="0.25">
      <c r="A122" s="26"/>
      <c r="B122" s="14"/>
      <c r="C122" s="14"/>
      <c r="F122" s="14"/>
      <c r="K122" s="14"/>
      <c r="L122" s="23"/>
      <c r="M122" s="23"/>
      <c r="N122" s="14"/>
      <c r="O122" s="14"/>
      <c r="P122" s="14"/>
      <c r="Q122" s="14"/>
      <c r="R122" s="14"/>
      <c r="S122" s="14"/>
      <c r="T122" s="14"/>
      <c r="U122" s="14"/>
    </row>
    <row r="123" spans="1:21" x14ac:dyDescent="0.25">
      <c r="A123" s="26"/>
      <c r="B123" s="14"/>
      <c r="C123" s="14"/>
      <c r="F123" s="14"/>
      <c r="K123" s="14"/>
      <c r="L123" s="23"/>
      <c r="M123" s="23"/>
      <c r="N123" s="14"/>
      <c r="O123" s="14"/>
      <c r="P123" s="14"/>
      <c r="Q123" s="14"/>
      <c r="R123" s="14"/>
      <c r="S123" s="14"/>
      <c r="T123" s="14"/>
      <c r="U123" s="14"/>
    </row>
    <row r="124" spans="1:21" x14ac:dyDescent="0.25">
      <c r="A124" s="26"/>
      <c r="B124" s="14"/>
      <c r="C124" s="14"/>
      <c r="F124" s="14"/>
      <c r="K124" s="14"/>
      <c r="L124" s="23"/>
      <c r="M124" s="23"/>
      <c r="N124" s="14"/>
      <c r="O124" s="14"/>
      <c r="P124" s="14"/>
      <c r="Q124" s="14"/>
      <c r="R124" s="14"/>
      <c r="S124" s="14"/>
      <c r="T124" s="14"/>
      <c r="U124" s="14"/>
    </row>
    <row r="125" spans="1:21" x14ac:dyDescent="0.25">
      <c r="A125" s="26"/>
      <c r="B125" s="14"/>
      <c r="C125" s="14"/>
      <c r="F125" s="14"/>
      <c r="K125" s="14"/>
      <c r="L125" s="23"/>
      <c r="M125" s="23"/>
      <c r="N125" s="14"/>
      <c r="O125" s="14"/>
      <c r="P125" s="14"/>
      <c r="Q125" s="14"/>
      <c r="R125" s="14"/>
      <c r="S125" s="14"/>
      <c r="T125" s="14"/>
      <c r="U125" s="14"/>
    </row>
    <row r="126" spans="1:21" x14ac:dyDescent="0.25">
      <c r="A126" s="26"/>
      <c r="B126" s="14"/>
      <c r="C126" s="14"/>
      <c r="F126" s="14"/>
      <c r="K126" s="14"/>
      <c r="L126" s="23"/>
      <c r="M126" s="23"/>
      <c r="N126" s="14"/>
      <c r="O126" s="14"/>
      <c r="P126" s="14"/>
      <c r="Q126" s="14"/>
      <c r="R126" s="14"/>
      <c r="S126" s="14"/>
      <c r="T126" s="14"/>
      <c r="U126" s="14"/>
    </row>
    <row r="127" spans="1:21" x14ac:dyDescent="0.25">
      <c r="A127" s="26"/>
      <c r="B127" s="14"/>
      <c r="C127" s="14"/>
      <c r="F127" s="14"/>
      <c r="K127" s="14"/>
      <c r="L127" s="23"/>
      <c r="M127" s="23"/>
      <c r="N127" s="14"/>
      <c r="O127" s="14"/>
      <c r="P127" s="14"/>
      <c r="Q127" s="14"/>
      <c r="R127" s="14"/>
      <c r="S127" s="14"/>
      <c r="T127" s="14"/>
      <c r="U127" s="14"/>
    </row>
    <row r="128" spans="1:21" x14ac:dyDescent="0.25">
      <c r="A128" s="26"/>
      <c r="B128" s="14"/>
      <c r="C128" s="14"/>
      <c r="F128" s="14"/>
      <c r="K128" s="14"/>
      <c r="L128" s="23"/>
      <c r="M128" s="23"/>
      <c r="N128" s="14"/>
      <c r="O128" s="14"/>
      <c r="P128" s="14"/>
      <c r="Q128" s="14"/>
      <c r="R128" s="14"/>
      <c r="S128" s="14"/>
      <c r="T128" s="14"/>
      <c r="U128" s="14"/>
    </row>
    <row r="129" spans="1:21" x14ac:dyDescent="0.25">
      <c r="A129" s="26"/>
      <c r="B129" s="14"/>
      <c r="C129" s="14"/>
      <c r="F129" s="14"/>
      <c r="K129" s="14"/>
      <c r="L129" s="23"/>
      <c r="M129" s="23"/>
      <c r="N129" s="14"/>
      <c r="O129" s="14"/>
      <c r="P129" s="14"/>
      <c r="Q129" s="14"/>
      <c r="R129" s="14"/>
      <c r="S129" s="14"/>
      <c r="T129" s="14"/>
      <c r="U129" s="14"/>
    </row>
    <row r="130" spans="1:21" x14ac:dyDescent="0.25">
      <c r="A130" s="26"/>
      <c r="B130" s="14"/>
      <c r="C130" s="14"/>
      <c r="F130" s="14"/>
      <c r="K130" s="14"/>
      <c r="L130" s="23"/>
      <c r="M130" s="23"/>
      <c r="N130" s="14"/>
      <c r="O130" s="14"/>
      <c r="P130" s="14"/>
      <c r="Q130" s="14"/>
      <c r="R130" s="14"/>
      <c r="S130" s="14"/>
      <c r="T130" s="14"/>
      <c r="U130" s="14"/>
    </row>
    <row r="131" spans="1:21" x14ac:dyDescent="0.25">
      <c r="A131" s="26"/>
      <c r="B131" s="14"/>
      <c r="C131" s="14"/>
      <c r="F131" s="14"/>
      <c r="K131" s="14"/>
      <c r="L131" s="23"/>
      <c r="M131" s="23"/>
      <c r="N131" s="14"/>
      <c r="O131" s="14"/>
      <c r="P131" s="14"/>
      <c r="Q131" s="14"/>
      <c r="R131" s="14"/>
      <c r="S131" s="14"/>
      <c r="T131" s="14"/>
      <c r="U131" s="14"/>
    </row>
    <row r="132" spans="1:21" x14ac:dyDescent="0.25">
      <c r="A132" s="26"/>
      <c r="B132" s="14"/>
      <c r="C132" s="14"/>
      <c r="F132" s="14"/>
      <c r="K132" s="14"/>
      <c r="L132" s="23"/>
      <c r="M132" s="23"/>
      <c r="N132" s="14"/>
      <c r="O132" s="14"/>
      <c r="P132" s="14"/>
      <c r="Q132" s="14"/>
      <c r="R132" s="14"/>
      <c r="S132" s="14"/>
      <c r="T132" s="14"/>
      <c r="U132" s="14"/>
    </row>
    <row r="133" spans="1:21" x14ac:dyDescent="0.25">
      <c r="A133" s="26"/>
      <c r="B133" s="14"/>
      <c r="C133" s="14"/>
      <c r="F133" s="14"/>
    </row>
    <row r="134" spans="1:21" x14ac:dyDescent="0.25">
      <c r="A134" s="26"/>
      <c r="B134" s="14"/>
      <c r="C134" s="14"/>
      <c r="F134" s="14"/>
    </row>
    <row r="135" spans="1:21" x14ac:dyDescent="0.25">
      <c r="A135" s="26"/>
      <c r="B135" s="14"/>
      <c r="C135" s="14"/>
      <c r="F135" s="14"/>
    </row>
    <row r="136" spans="1:21" x14ac:dyDescent="0.25">
      <c r="A136" s="26"/>
      <c r="B136" s="14"/>
      <c r="C136" s="14"/>
      <c r="D136" s="27"/>
      <c r="E136" s="27"/>
      <c r="F136" s="14"/>
      <c r="G136" s="27"/>
      <c r="H136" s="27"/>
      <c r="I136" s="27"/>
      <c r="J136" s="14"/>
      <c r="K136" s="14"/>
      <c r="L136" s="23"/>
      <c r="M136" s="23"/>
      <c r="N136" s="14"/>
      <c r="O136" s="14"/>
      <c r="P136" s="14"/>
      <c r="Q136" s="14"/>
      <c r="R136" s="14"/>
    </row>
    <row r="137" spans="1:21" x14ac:dyDescent="0.25">
      <c r="A137" s="26"/>
      <c r="B137" s="14"/>
      <c r="C137" s="14"/>
      <c r="D137" s="27"/>
      <c r="E137" s="27"/>
      <c r="F137" s="14"/>
      <c r="G137" s="27"/>
      <c r="H137" s="27"/>
      <c r="I137" s="27"/>
      <c r="J137" s="14"/>
      <c r="K137" s="14"/>
      <c r="L137" s="23"/>
      <c r="M137" s="23"/>
      <c r="N137" s="14"/>
      <c r="O137" s="14"/>
      <c r="P137" s="14"/>
      <c r="Q137" s="14"/>
      <c r="R137" s="14"/>
    </row>
    <row r="138" spans="1:21" x14ac:dyDescent="0.25">
      <c r="A138" s="26"/>
      <c r="B138" s="14"/>
      <c r="C138" s="14"/>
      <c r="D138" s="27"/>
      <c r="E138" s="27"/>
      <c r="F138" s="14"/>
      <c r="G138" s="27"/>
      <c r="H138" s="27"/>
      <c r="I138" s="27"/>
      <c r="J138" s="14"/>
      <c r="K138" s="14"/>
      <c r="L138" s="23"/>
      <c r="M138" s="23"/>
      <c r="N138" s="14"/>
      <c r="O138" s="14"/>
    </row>
    <row r="139" spans="1:21" x14ac:dyDescent="0.25">
      <c r="A139" s="26"/>
      <c r="B139" s="14"/>
      <c r="C139" s="14"/>
      <c r="D139" s="27"/>
      <c r="E139" s="27"/>
      <c r="F139" s="14"/>
      <c r="G139" s="27"/>
      <c r="H139" s="27"/>
      <c r="I139" s="27"/>
      <c r="J139" s="14"/>
      <c r="K139" s="14"/>
      <c r="L139" s="23"/>
      <c r="M139" s="23"/>
      <c r="N139" s="14"/>
      <c r="O139" s="14"/>
    </row>
    <row r="140" spans="1:21" x14ac:dyDescent="0.25">
      <c r="A140" s="26"/>
      <c r="B140" s="14"/>
      <c r="C140" s="14"/>
      <c r="D140" s="27"/>
      <c r="E140" s="27"/>
      <c r="F140" s="14"/>
      <c r="G140" s="27"/>
      <c r="H140" s="27"/>
      <c r="I140" s="27"/>
      <c r="J140" s="14"/>
      <c r="K140" s="14"/>
      <c r="L140" s="23"/>
      <c r="M140" s="23"/>
      <c r="N140" s="14"/>
      <c r="O140" s="14"/>
    </row>
    <row r="141" spans="1:21" x14ac:dyDescent="0.25">
      <c r="A141" s="26"/>
      <c r="B141" s="14"/>
      <c r="C141" s="14"/>
      <c r="D141" s="27"/>
      <c r="E141" s="27"/>
      <c r="F141" s="14"/>
      <c r="G141" s="27"/>
      <c r="H141" s="27"/>
      <c r="I141" s="27"/>
      <c r="J141" s="14"/>
      <c r="K141" s="14"/>
      <c r="L141" s="23"/>
      <c r="M141" s="23"/>
      <c r="N141" s="14"/>
      <c r="O141" s="14"/>
    </row>
    <row r="142" spans="1:21" x14ac:dyDescent="0.25">
      <c r="A142" s="26"/>
      <c r="B142" s="14"/>
      <c r="C142" s="14"/>
      <c r="D142" s="27"/>
      <c r="E142" s="27"/>
      <c r="F142" s="14"/>
      <c r="G142" s="27"/>
      <c r="H142" s="27"/>
      <c r="I142" s="27"/>
      <c r="J142" s="14"/>
      <c r="K142" s="14"/>
      <c r="L142" s="23"/>
      <c r="M142" s="23"/>
      <c r="N142" s="14"/>
      <c r="O142" s="14"/>
    </row>
    <row r="143" spans="1:21" x14ac:dyDescent="0.25">
      <c r="A143" s="26"/>
      <c r="B143" s="14"/>
      <c r="C143" s="14"/>
      <c r="D143" s="27"/>
      <c r="E143" s="27"/>
      <c r="F143" s="14"/>
      <c r="G143" s="27"/>
      <c r="H143" s="27"/>
      <c r="I143" s="27"/>
      <c r="J143" s="14"/>
      <c r="K143" s="14"/>
      <c r="L143" s="23"/>
      <c r="M143" s="23"/>
      <c r="N143" s="14"/>
      <c r="O143" s="14"/>
    </row>
    <row r="144" spans="1:21" x14ac:dyDescent="0.25">
      <c r="A144" s="26"/>
      <c r="B144" s="14"/>
      <c r="C144" s="14"/>
      <c r="D144" s="27"/>
      <c r="E144" s="27"/>
      <c r="F144" s="14"/>
      <c r="G144" s="27"/>
      <c r="H144" s="27"/>
      <c r="I144" s="27"/>
      <c r="J144" s="14"/>
      <c r="K144" s="14"/>
      <c r="L144" s="23"/>
      <c r="M144" s="23"/>
      <c r="N144" s="14"/>
      <c r="O144" s="14"/>
    </row>
    <row r="145" spans="1:21" x14ac:dyDescent="0.25">
      <c r="A145" s="26"/>
      <c r="B145" s="14"/>
      <c r="C145" s="14"/>
      <c r="D145" s="27"/>
      <c r="E145" s="27"/>
      <c r="F145" s="14"/>
      <c r="G145" s="27"/>
      <c r="H145" s="27"/>
      <c r="I145" s="27"/>
      <c r="J145" s="14"/>
      <c r="K145" s="14"/>
      <c r="L145" s="23"/>
      <c r="M145" s="23"/>
      <c r="N145" s="14"/>
      <c r="O145" s="14"/>
    </row>
    <row r="146" spans="1:21" x14ac:dyDescent="0.25">
      <c r="A146" s="26"/>
      <c r="B146" s="14"/>
      <c r="C146" s="14"/>
      <c r="D146" s="27"/>
      <c r="E146" s="27"/>
      <c r="F146" s="14"/>
      <c r="G146" s="27"/>
      <c r="H146" s="27"/>
      <c r="I146" s="27"/>
      <c r="J146" s="14"/>
      <c r="K146" s="14"/>
      <c r="L146" s="23"/>
      <c r="M146" s="23"/>
      <c r="N146" s="14"/>
      <c r="O146" s="14"/>
      <c r="P146" s="14"/>
      <c r="Q146" s="14"/>
      <c r="R146" s="14"/>
    </row>
    <row r="147" spans="1:21" x14ac:dyDescent="0.25">
      <c r="A147" s="26"/>
      <c r="B147" s="14"/>
      <c r="C147" s="14"/>
      <c r="D147" s="27"/>
      <c r="E147" s="27"/>
      <c r="F147" s="14"/>
      <c r="G147" s="27"/>
      <c r="H147" s="27"/>
      <c r="I147" s="27"/>
      <c r="J147" s="14"/>
      <c r="K147" s="14"/>
      <c r="L147" s="23"/>
      <c r="M147" s="23"/>
      <c r="N147" s="14"/>
      <c r="O147" s="14"/>
      <c r="P147" s="14"/>
      <c r="Q147" s="14"/>
      <c r="R147" s="14"/>
    </row>
    <row r="148" spans="1:21" x14ac:dyDescent="0.25">
      <c r="A148" s="26"/>
      <c r="B148" s="14"/>
      <c r="C148" s="14"/>
      <c r="D148" s="27"/>
      <c r="E148" s="27"/>
      <c r="F148" s="14"/>
      <c r="G148" s="27"/>
      <c r="H148" s="27"/>
      <c r="I148" s="27"/>
      <c r="J148" s="14"/>
      <c r="K148" s="14"/>
      <c r="L148" s="23"/>
      <c r="M148" s="23"/>
      <c r="N148" s="14"/>
      <c r="O148" s="14"/>
      <c r="P148" s="14"/>
      <c r="Q148" s="14"/>
      <c r="R148" s="14"/>
    </row>
    <row r="149" spans="1:21" x14ac:dyDescent="0.25">
      <c r="A149" s="26"/>
      <c r="B149" s="14"/>
      <c r="C149" s="14"/>
      <c r="D149" s="27"/>
      <c r="E149" s="27"/>
      <c r="F149" s="14"/>
      <c r="G149" s="27"/>
      <c r="H149" s="27"/>
      <c r="I149" s="27"/>
      <c r="J149" s="14"/>
      <c r="K149" s="14"/>
      <c r="L149" s="23"/>
      <c r="M149" s="23"/>
      <c r="N149" s="14"/>
      <c r="O149" s="14"/>
      <c r="P149" s="14"/>
      <c r="Q149" s="14"/>
      <c r="R149" s="14"/>
    </row>
    <row r="150" spans="1:21" x14ac:dyDescent="0.25">
      <c r="A150" s="26"/>
      <c r="B150" s="14"/>
      <c r="C150" s="14"/>
      <c r="D150" s="27"/>
      <c r="E150" s="27"/>
      <c r="F150" s="14"/>
      <c r="G150" s="27"/>
      <c r="H150" s="27"/>
      <c r="I150" s="27"/>
      <c r="J150" s="14"/>
      <c r="K150" s="14"/>
      <c r="L150" s="23"/>
      <c r="M150" s="23"/>
      <c r="N150" s="14"/>
      <c r="O150" s="14"/>
      <c r="P150" s="14"/>
      <c r="Q150" s="14"/>
      <c r="R150" s="14"/>
    </row>
    <row r="151" spans="1:21" x14ac:dyDescent="0.25">
      <c r="A151" s="26"/>
      <c r="B151" s="14"/>
      <c r="C151" s="14"/>
      <c r="F151" s="14"/>
      <c r="K151" s="14"/>
      <c r="L151" s="23"/>
      <c r="M151" s="23"/>
      <c r="N151" s="14"/>
      <c r="O151" s="14"/>
      <c r="P151" s="14"/>
      <c r="Q151" s="14"/>
      <c r="R151" s="14"/>
      <c r="S151" s="14"/>
      <c r="T151" s="14"/>
      <c r="U151" s="14"/>
    </row>
    <row r="152" spans="1:21" x14ac:dyDescent="0.25">
      <c r="A152" s="26"/>
      <c r="B152" s="14"/>
      <c r="C152" s="14"/>
      <c r="F152" s="14"/>
      <c r="K152" s="14"/>
      <c r="L152" s="23"/>
      <c r="M152" s="23"/>
      <c r="N152" s="14"/>
      <c r="O152" s="14"/>
      <c r="P152" s="14"/>
      <c r="Q152" s="14"/>
      <c r="R152" s="14"/>
      <c r="S152" s="14"/>
      <c r="T152" s="14"/>
      <c r="U152" s="14"/>
    </row>
    <row r="153" spans="1:21" x14ac:dyDescent="0.25">
      <c r="A153" s="26"/>
      <c r="B153" s="14"/>
      <c r="C153" s="14"/>
      <c r="F153" s="14"/>
      <c r="K153" s="14"/>
      <c r="L153" s="23"/>
      <c r="M153" s="23"/>
      <c r="N153" s="14"/>
      <c r="O153" s="14"/>
      <c r="P153" s="14"/>
      <c r="Q153" s="14"/>
      <c r="R153" s="14"/>
      <c r="S153" s="14"/>
      <c r="T153" s="14"/>
      <c r="U153" s="14"/>
    </row>
    <row r="154" spans="1:21" x14ac:dyDescent="0.25">
      <c r="A154" s="26"/>
      <c r="B154" s="14"/>
      <c r="C154" s="14"/>
      <c r="F154" s="14"/>
      <c r="K154" s="14"/>
      <c r="L154" s="23"/>
      <c r="M154" s="23"/>
      <c r="N154" s="14"/>
      <c r="O154" s="14"/>
      <c r="P154" s="14"/>
      <c r="Q154" s="14"/>
      <c r="R154" s="14"/>
      <c r="S154" s="14"/>
      <c r="T154" s="14"/>
      <c r="U154" s="14"/>
    </row>
    <row r="155" spans="1:21" x14ac:dyDescent="0.25">
      <c r="A155" s="26"/>
      <c r="B155" s="14"/>
      <c r="C155" s="14"/>
      <c r="F155" s="14"/>
      <c r="K155" s="14"/>
      <c r="L155" s="23"/>
      <c r="M155" s="23"/>
      <c r="N155" s="14"/>
      <c r="O155" s="14"/>
      <c r="P155" s="14"/>
      <c r="Q155" s="14"/>
      <c r="R155" s="14"/>
      <c r="S155" s="14"/>
      <c r="T155" s="14"/>
      <c r="U155" s="14"/>
    </row>
    <row r="156" spans="1:21" x14ac:dyDescent="0.25">
      <c r="A156" s="26"/>
      <c r="B156" s="14"/>
      <c r="C156" s="14"/>
      <c r="F156" s="14"/>
      <c r="K156" s="14"/>
      <c r="L156" s="23"/>
      <c r="M156" s="23"/>
      <c r="N156" s="14"/>
      <c r="O156" s="14"/>
      <c r="P156" s="14"/>
      <c r="Q156" s="14"/>
      <c r="R156" s="14"/>
      <c r="S156" s="14"/>
      <c r="T156" s="14"/>
      <c r="U156" s="14"/>
    </row>
    <row r="157" spans="1:21" x14ac:dyDescent="0.25">
      <c r="A157" s="26"/>
      <c r="B157" s="14"/>
      <c r="C157" s="14"/>
      <c r="F157" s="14"/>
      <c r="K157" s="14"/>
      <c r="L157" s="23"/>
      <c r="M157" s="23"/>
      <c r="N157" s="14"/>
      <c r="O157" s="14"/>
      <c r="P157" s="14"/>
      <c r="Q157" s="14"/>
      <c r="R157" s="14"/>
      <c r="S157" s="14"/>
      <c r="T157" s="14"/>
      <c r="U157" s="14"/>
    </row>
    <row r="158" spans="1:21" x14ac:dyDescent="0.25">
      <c r="A158" s="26"/>
      <c r="B158" s="14"/>
      <c r="C158" s="14"/>
      <c r="F158" s="14"/>
      <c r="K158" s="14"/>
      <c r="L158" s="23"/>
      <c r="M158" s="23"/>
      <c r="N158" s="14"/>
      <c r="O158" s="14"/>
      <c r="P158" s="14"/>
      <c r="Q158" s="14"/>
      <c r="R158" s="14"/>
      <c r="S158" s="14"/>
      <c r="T158" s="14"/>
      <c r="U158" s="14"/>
    </row>
    <row r="159" spans="1:21" x14ac:dyDescent="0.25">
      <c r="A159" s="26"/>
      <c r="B159" s="14"/>
      <c r="C159" s="14"/>
      <c r="F159" s="14"/>
      <c r="K159" s="14"/>
      <c r="L159" s="23"/>
      <c r="M159" s="23"/>
      <c r="N159" s="14"/>
      <c r="O159" s="14"/>
      <c r="P159" s="14"/>
      <c r="Q159" s="14"/>
      <c r="R159" s="14"/>
      <c r="S159" s="14"/>
      <c r="T159" s="14"/>
      <c r="U159" s="14"/>
    </row>
    <row r="160" spans="1:21" x14ac:dyDescent="0.25">
      <c r="A160" s="26"/>
      <c r="B160" s="14"/>
      <c r="C160" s="14"/>
      <c r="F160" s="14"/>
      <c r="K160" s="14"/>
      <c r="L160" s="23"/>
      <c r="M160" s="23"/>
      <c r="N160" s="14"/>
      <c r="O160" s="14"/>
      <c r="P160" s="14"/>
      <c r="Q160" s="14"/>
      <c r="R160" s="14"/>
      <c r="S160" s="14"/>
      <c r="T160" s="14"/>
      <c r="U160" s="14"/>
    </row>
    <row r="161" spans="1:21" x14ac:dyDescent="0.25">
      <c r="A161" s="26"/>
      <c r="B161" s="14"/>
      <c r="C161" s="14"/>
      <c r="F161" s="14"/>
      <c r="K161" s="14"/>
      <c r="L161" s="23"/>
      <c r="M161" s="23"/>
      <c r="N161" s="14"/>
      <c r="O161" s="14"/>
      <c r="P161" s="14"/>
      <c r="Q161" s="14"/>
      <c r="R161" s="14"/>
      <c r="S161" s="14"/>
      <c r="T161" s="14"/>
      <c r="U161" s="14"/>
    </row>
    <row r="162" spans="1:21" x14ac:dyDescent="0.25">
      <c r="A162" s="26"/>
      <c r="B162" s="14"/>
      <c r="C162" s="14"/>
      <c r="F162" s="14"/>
      <c r="K162" s="14"/>
      <c r="L162" s="23"/>
      <c r="M162" s="23"/>
      <c r="N162" s="14"/>
      <c r="O162" s="14"/>
      <c r="P162" s="14"/>
      <c r="Q162" s="14"/>
      <c r="R162" s="14"/>
      <c r="S162" s="14"/>
      <c r="T162" s="14"/>
      <c r="U162" s="14"/>
    </row>
    <row r="163" spans="1:21" x14ac:dyDescent="0.25">
      <c r="A163" s="26"/>
      <c r="B163" s="14"/>
      <c r="C163" s="14"/>
      <c r="F163" s="14"/>
    </row>
    <row r="164" spans="1:21" x14ac:dyDescent="0.25">
      <c r="A164" s="26"/>
      <c r="B164" s="14"/>
      <c r="C164" s="14"/>
      <c r="F164" s="14"/>
    </row>
    <row r="165" spans="1:21" x14ac:dyDescent="0.25">
      <c r="A165" s="26"/>
      <c r="B165" s="14"/>
      <c r="C165" s="14"/>
      <c r="F165" s="14"/>
    </row>
    <row r="166" spans="1:21" x14ac:dyDescent="0.25">
      <c r="A166" s="26"/>
      <c r="B166" s="14"/>
      <c r="C166" s="14"/>
      <c r="D166" s="27"/>
      <c r="E166" s="27"/>
      <c r="F166" s="14"/>
      <c r="G166" s="27"/>
      <c r="H166" s="27"/>
      <c r="I166" s="27"/>
      <c r="J166" s="14"/>
      <c r="K166" s="14"/>
      <c r="L166" s="23"/>
      <c r="M166" s="23"/>
      <c r="N166" s="14"/>
      <c r="O166" s="14"/>
      <c r="P166" s="14"/>
      <c r="Q166" s="14"/>
      <c r="R166" s="14"/>
    </row>
    <row r="167" spans="1:21" x14ac:dyDescent="0.25">
      <c r="A167" s="26"/>
      <c r="B167" s="14"/>
      <c r="C167" s="14"/>
      <c r="D167" s="27"/>
      <c r="E167" s="27"/>
      <c r="F167" s="14"/>
      <c r="G167" s="27"/>
      <c r="H167" s="27"/>
      <c r="I167" s="27"/>
      <c r="J167" s="14"/>
      <c r="K167" s="14"/>
      <c r="L167" s="23"/>
      <c r="M167" s="23"/>
      <c r="N167" s="14"/>
      <c r="O167" s="14"/>
      <c r="P167" s="14"/>
      <c r="Q167" s="14"/>
      <c r="R167" s="14"/>
    </row>
    <row r="168" spans="1:21" x14ac:dyDescent="0.25">
      <c r="A168" s="26"/>
      <c r="B168" s="14"/>
      <c r="C168" s="14"/>
      <c r="D168" s="27"/>
      <c r="E168" s="27"/>
      <c r="F168" s="14"/>
      <c r="G168" s="27"/>
      <c r="H168" s="27"/>
      <c r="I168" s="27"/>
      <c r="J168" s="14"/>
      <c r="K168" s="14"/>
      <c r="L168" s="23"/>
      <c r="M168" s="23"/>
      <c r="N168" s="14"/>
      <c r="O168" s="14"/>
    </row>
    <row r="169" spans="1:21" x14ac:dyDescent="0.25">
      <c r="A169" s="26"/>
      <c r="B169" s="14"/>
      <c r="C169" s="14"/>
      <c r="D169" s="27"/>
      <c r="E169" s="27"/>
      <c r="F169" s="14"/>
      <c r="G169" s="27"/>
      <c r="H169" s="27"/>
      <c r="I169" s="27"/>
      <c r="J169" s="14"/>
      <c r="K169" s="14"/>
      <c r="L169" s="23"/>
      <c r="M169" s="23"/>
      <c r="N169" s="14"/>
      <c r="O169" s="14"/>
    </row>
    <row r="170" spans="1:21" x14ac:dyDescent="0.25">
      <c r="A170" s="26"/>
      <c r="B170" s="14"/>
      <c r="C170" s="14"/>
      <c r="D170" s="27"/>
      <c r="E170" s="27"/>
      <c r="F170" s="14"/>
      <c r="G170" s="27"/>
      <c r="H170" s="27"/>
      <c r="I170" s="27"/>
      <c r="J170" s="14"/>
      <c r="K170" s="14"/>
      <c r="L170" s="23"/>
      <c r="M170" s="23"/>
      <c r="N170" s="14"/>
      <c r="O170" s="14"/>
    </row>
    <row r="171" spans="1:21" x14ac:dyDescent="0.25">
      <c r="A171" s="26"/>
      <c r="B171" s="14"/>
      <c r="C171" s="14"/>
      <c r="D171" s="27"/>
      <c r="E171" s="27"/>
      <c r="F171" s="14"/>
      <c r="G171" s="27"/>
      <c r="H171" s="27"/>
      <c r="I171" s="27"/>
      <c r="J171" s="14"/>
      <c r="K171" s="14"/>
      <c r="L171" s="23"/>
      <c r="M171" s="23"/>
      <c r="N171" s="14"/>
      <c r="O171" s="14"/>
    </row>
    <row r="172" spans="1:21" x14ac:dyDescent="0.25">
      <c r="A172" s="26"/>
      <c r="B172" s="14"/>
      <c r="C172" s="14"/>
      <c r="D172" s="27"/>
      <c r="E172" s="27"/>
      <c r="F172" s="14"/>
      <c r="G172" s="27"/>
      <c r="H172" s="27"/>
      <c r="I172" s="27"/>
      <c r="J172" s="14"/>
      <c r="K172" s="14"/>
      <c r="L172" s="23"/>
      <c r="M172" s="23"/>
      <c r="N172" s="14"/>
      <c r="O172" s="14"/>
    </row>
    <row r="173" spans="1:21" x14ac:dyDescent="0.25">
      <c r="A173" s="26"/>
      <c r="B173" s="14"/>
      <c r="C173" s="14"/>
      <c r="D173" s="27"/>
      <c r="E173" s="27"/>
      <c r="F173" s="14"/>
      <c r="G173" s="27"/>
      <c r="H173" s="27"/>
      <c r="I173" s="27"/>
      <c r="J173" s="14"/>
      <c r="K173" s="14"/>
      <c r="L173" s="23"/>
      <c r="M173" s="23"/>
      <c r="N173" s="14"/>
      <c r="O173" s="14"/>
    </row>
    <row r="174" spans="1:21" x14ac:dyDescent="0.25">
      <c r="A174" s="26"/>
      <c r="B174" s="14"/>
      <c r="C174" s="14"/>
      <c r="D174" s="27"/>
      <c r="E174" s="27"/>
      <c r="F174" s="14"/>
      <c r="G174" s="27"/>
      <c r="H174" s="27"/>
      <c r="I174" s="27"/>
      <c r="J174" s="14"/>
      <c r="K174" s="14"/>
      <c r="L174" s="23"/>
      <c r="M174" s="23"/>
      <c r="N174" s="14"/>
      <c r="O174" s="14"/>
    </row>
    <row r="175" spans="1:21" x14ac:dyDescent="0.25">
      <c r="A175" s="26"/>
      <c r="B175" s="14"/>
      <c r="C175" s="14"/>
      <c r="D175" s="27"/>
      <c r="E175" s="27"/>
      <c r="F175" s="14"/>
      <c r="G175" s="27"/>
      <c r="H175" s="27"/>
      <c r="I175" s="27"/>
      <c r="J175" s="14"/>
      <c r="K175" s="14"/>
      <c r="L175" s="23"/>
      <c r="M175" s="23"/>
      <c r="N175" s="14"/>
      <c r="O175" s="14"/>
    </row>
    <row r="176" spans="1:21" x14ac:dyDescent="0.25">
      <c r="A176" s="26"/>
      <c r="B176" s="14"/>
      <c r="C176" s="14"/>
      <c r="D176" s="27"/>
      <c r="E176" s="27"/>
      <c r="F176" s="14"/>
      <c r="G176" s="27"/>
      <c r="H176" s="27"/>
      <c r="I176" s="27"/>
      <c r="J176" s="14"/>
      <c r="K176" s="14"/>
      <c r="L176" s="23"/>
      <c r="M176" s="23"/>
      <c r="N176" s="14"/>
      <c r="O176" s="14"/>
      <c r="P176" s="14"/>
      <c r="Q176" s="14"/>
      <c r="R176" s="14"/>
    </row>
    <row r="177" spans="1:21" x14ac:dyDescent="0.25">
      <c r="A177" s="26"/>
      <c r="B177" s="14"/>
      <c r="C177" s="14"/>
      <c r="D177" s="27"/>
      <c r="E177" s="27"/>
      <c r="F177" s="14"/>
      <c r="G177" s="27"/>
      <c r="H177" s="27"/>
      <c r="I177" s="27"/>
      <c r="J177" s="14"/>
      <c r="K177" s="14"/>
      <c r="L177" s="23"/>
      <c r="M177" s="23"/>
      <c r="N177" s="14"/>
      <c r="O177" s="14"/>
      <c r="P177" s="14"/>
      <c r="Q177" s="14"/>
      <c r="R177" s="14"/>
    </row>
    <row r="178" spans="1:21" x14ac:dyDescent="0.25">
      <c r="A178" s="26"/>
      <c r="B178" s="14"/>
      <c r="C178" s="14"/>
      <c r="D178" s="27"/>
      <c r="E178" s="27"/>
      <c r="F178" s="14"/>
      <c r="G178" s="27"/>
      <c r="H178" s="27"/>
      <c r="I178" s="27"/>
      <c r="J178" s="14"/>
      <c r="K178" s="14"/>
      <c r="L178" s="23"/>
      <c r="M178" s="23"/>
      <c r="N178" s="14"/>
      <c r="O178" s="14"/>
      <c r="P178" s="14"/>
      <c r="Q178" s="14"/>
      <c r="R178" s="14"/>
    </row>
    <row r="179" spans="1:21" x14ac:dyDescent="0.25">
      <c r="A179" s="26"/>
      <c r="B179" s="14"/>
      <c r="C179" s="14"/>
      <c r="D179" s="27"/>
      <c r="E179" s="27"/>
      <c r="F179" s="14"/>
      <c r="G179" s="27"/>
      <c r="H179" s="27"/>
      <c r="I179" s="27"/>
      <c r="J179" s="14"/>
      <c r="K179" s="14"/>
      <c r="L179" s="23"/>
      <c r="M179" s="23"/>
      <c r="N179" s="14"/>
      <c r="O179" s="14"/>
      <c r="P179" s="14"/>
      <c r="Q179" s="14"/>
      <c r="R179" s="14"/>
    </row>
    <row r="180" spans="1:21" x14ac:dyDescent="0.25">
      <c r="A180" s="26"/>
      <c r="B180" s="14"/>
      <c r="C180" s="14"/>
      <c r="D180" s="27"/>
      <c r="E180" s="27"/>
      <c r="F180" s="14"/>
      <c r="G180" s="27"/>
      <c r="H180" s="27"/>
      <c r="I180" s="27"/>
      <c r="J180" s="14"/>
      <c r="K180" s="14"/>
      <c r="L180" s="23"/>
      <c r="M180" s="23"/>
      <c r="N180" s="14"/>
      <c r="O180" s="14"/>
      <c r="P180" s="14"/>
      <c r="Q180" s="14"/>
      <c r="R180" s="14"/>
    </row>
    <row r="181" spans="1:21" x14ac:dyDescent="0.25">
      <c r="A181" s="26"/>
      <c r="B181" s="14"/>
      <c r="C181" s="14"/>
      <c r="D181" s="27"/>
      <c r="E181" s="27"/>
      <c r="F181" s="14"/>
      <c r="G181" s="27"/>
      <c r="H181" s="27"/>
      <c r="I181" s="27"/>
      <c r="J181" s="14"/>
      <c r="K181" s="14"/>
      <c r="L181" s="23"/>
      <c r="M181" s="23"/>
      <c r="N181" s="14"/>
      <c r="O181" s="14"/>
      <c r="P181" s="14"/>
      <c r="Q181" s="14"/>
      <c r="R181" s="14"/>
    </row>
    <row r="182" spans="1:21" x14ac:dyDescent="0.25">
      <c r="A182" s="26"/>
      <c r="B182" s="14"/>
      <c r="C182" s="14"/>
      <c r="F182" s="14"/>
      <c r="K182" s="14"/>
      <c r="L182" s="23"/>
      <c r="M182" s="23"/>
      <c r="N182" s="14"/>
      <c r="O182" s="14"/>
      <c r="P182" s="14"/>
      <c r="Q182" s="14"/>
      <c r="R182" s="14"/>
      <c r="S182" s="14"/>
      <c r="T182" s="14"/>
      <c r="U182" s="14"/>
    </row>
    <row r="183" spans="1:21" x14ac:dyDescent="0.25">
      <c r="A183" s="26"/>
      <c r="B183" s="14"/>
      <c r="C183" s="14"/>
      <c r="F183" s="14"/>
      <c r="K183" s="14"/>
      <c r="L183" s="23"/>
      <c r="M183" s="23"/>
      <c r="N183" s="14"/>
      <c r="O183" s="14"/>
      <c r="P183" s="14"/>
      <c r="Q183" s="14"/>
      <c r="R183" s="14"/>
      <c r="S183" s="14"/>
      <c r="T183" s="14"/>
      <c r="U183" s="14"/>
    </row>
    <row r="184" spans="1:21" x14ac:dyDescent="0.25">
      <c r="A184" s="26"/>
      <c r="B184" s="14"/>
      <c r="C184" s="14"/>
      <c r="F184" s="14"/>
      <c r="K184" s="14"/>
      <c r="L184" s="23"/>
      <c r="M184" s="23"/>
      <c r="N184" s="14"/>
      <c r="O184" s="14"/>
      <c r="P184" s="14"/>
      <c r="Q184" s="14"/>
      <c r="R184" s="14"/>
      <c r="S184" s="14"/>
      <c r="T184" s="14"/>
      <c r="U184" s="14"/>
    </row>
    <row r="185" spans="1:21" x14ac:dyDescent="0.25">
      <c r="A185" s="26"/>
      <c r="B185" s="14"/>
      <c r="C185" s="14"/>
      <c r="F185" s="14"/>
      <c r="K185" s="14"/>
      <c r="L185" s="23"/>
      <c r="M185" s="23"/>
      <c r="N185" s="14"/>
      <c r="O185" s="14"/>
      <c r="P185" s="14"/>
      <c r="Q185" s="14"/>
      <c r="R185" s="14"/>
      <c r="S185" s="14"/>
      <c r="T185" s="14"/>
      <c r="U185" s="14"/>
    </row>
    <row r="186" spans="1:21" x14ac:dyDescent="0.25">
      <c r="A186" s="26"/>
      <c r="B186" s="14"/>
      <c r="C186" s="14"/>
      <c r="F186" s="14"/>
      <c r="K186" s="14"/>
      <c r="L186" s="23"/>
      <c r="M186" s="23"/>
      <c r="N186" s="14"/>
      <c r="O186" s="14"/>
      <c r="P186" s="14"/>
      <c r="Q186" s="14"/>
      <c r="R186" s="14"/>
      <c r="S186" s="14"/>
      <c r="T186" s="14"/>
      <c r="U186" s="14"/>
    </row>
    <row r="187" spans="1:21" x14ac:dyDescent="0.25">
      <c r="A187" s="26"/>
      <c r="B187" s="14"/>
      <c r="C187" s="14"/>
      <c r="F187" s="14"/>
      <c r="K187" s="14"/>
      <c r="L187" s="23"/>
      <c r="M187" s="23"/>
      <c r="N187" s="14"/>
      <c r="O187" s="14"/>
      <c r="P187" s="14"/>
      <c r="Q187" s="14"/>
      <c r="R187" s="14"/>
      <c r="S187" s="14"/>
      <c r="T187" s="14"/>
      <c r="U187" s="14"/>
    </row>
    <row r="188" spans="1:21" x14ac:dyDescent="0.25">
      <c r="A188" s="26"/>
      <c r="B188" s="14"/>
      <c r="C188" s="14"/>
      <c r="F188" s="14"/>
      <c r="K188" s="14"/>
      <c r="L188" s="23"/>
      <c r="M188" s="23"/>
      <c r="N188" s="14"/>
      <c r="O188" s="14"/>
      <c r="P188" s="14"/>
      <c r="Q188" s="14"/>
      <c r="R188" s="14"/>
      <c r="S188" s="14"/>
      <c r="T188" s="14"/>
      <c r="U188" s="14"/>
    </row>
    <row r="189" spans="1:21" x14ac:dyDescent="0.25">
      <c r="A189" s="26"/>
      <c r="B189" s="14"/>
      <c r="C189" s="14"/>
      <c r="F189" s="14"/>
      <c r="K189" s="14"/>
      <c r="L189" s="23"/>
      <c r="M189" s="23"/>
      <c r="N189" s="14"/>
      <c r="O189" s="14"/>
      <c r="P189" s="14"/>
      <c r="Q189" s="14"/>
      <c r="R189" s="14"/>
      <c r="S189" s="14"/>
      <c r="T189" s="14"/>
      <c r="U189" s="14"/>
    </row>
    <row r="190" spans="1:21" x14ac:dyDescent="0.25">
      <c r="A190" s="26"/>
      <c r="B190" s="14"/>
      <c r="C190" s="14"/>
      <c r="F190" s="14"/>
      <c r="K190" s="14"/>
      <c r="L190" s="23"/>
      <c r="M190" s="23"/>
      <c r="N190" s="14"/>
      <c r="O190" s="14"/>
      <c r="P190" s="14"/>
      <c r="Q190" s="14"/>
      <c r="R190" s="14"/>
      <c r="S190" s="14"/>
      <c r="T190" s="14"/>
      <c r="U190" s="14"/>
    </row>
    <row r="191" spans="1:21" x14ac:dyDescent="0.25">
      <c r="A191" s="26"/>
      <c r="B191" s="14"/>
      <c r="C191" s="14"/>
      <c r="F191" s="14"/>
      <c r="K191" s="14"/>
      <c r="L191" s="23"/>
      <c r="M191" s="23"/>
      <c r="N191" s="14"/>
      <c r="O191" s="14"/>
      <c r="P191" s="14"/>
      <c r="Q191" s="14"/>
      <c r="R191" s="14"/>
      <c r="S191" s="14"/>
      <c r="T191" s="14"/>
      <c r="U191" s="14"/>
    </row>
    <row r="192" spans="1:21" x14ac:dyDescent="0.25">
      <c r="A192" s="26"/>
      <c r="B192" s="14"/>
      <c r="C192" s="14"/>
      <c r="F192" s="14"/>
      <c r="K192" s="14"/>
      <c r="L192" s="23"/>
      <c r="M192" s="23"/>
      <c r="N192" s="14"/>
      <c r="O192" s="14"/>
      <c r="P192" s="14"/>
      <c r="Q192" s="14"/>
      <c r="R192" s="14"/>
      <c r="S192" s="14"/>
      <c r="T192" s="14"/>
      <c r="U192" s="14"/>
    </row>
    <row r="193" spans="1:21" x14ac:dyDescent="0.25">
      <c r="A193" s="26"/>
      <c r="B193" s="14"/>
      <c r="C193" s="14"/>
      <c r="F193" s="14"/>
      <c r="K193" s="14"/>
      <c r="L193" s="23"/>
      <c r="M193" s="23"/>
      <c r="N193" s="14"/>
      <c r="O193" s="14"/>
      <c r="P193" s="14"/>
      <c r="Q193" s="14"/>
      <c r="R193" s="14"/>
      <c r="S193" s="14"/>
      <c r="T193" s="14"/>
      <c r="U193" s="14"/>
    </row>
    <row r="194" spans="1:21" x14ac:dyDescent="0.25">
      <c r="A194" s="26"/>
      <c r="B194" s="14"/>
      <c r="C194" s="14"/>
      <c r="F194" s="14"/>
    </row>
    <row r="195" spans="1:21" x14ac:dyDescent="0.25">
      <c r="A195" s="26"/>
      <c r="B195" s="14"/>
      <c r="C195" s="14"/>
      <c r="F195" s="14"/>
    </row>
    <row r="196" spans="1:21" x14ac:dyDescent="0.25">
      <c r="A196" s="26"/>
      <c r="B196" s="14"/>
      <c r="C196" s="14"/>
      <c r="F196" s="14"/>
    </row>
    <row r="197" spans="1:21" x14ac:dyDescent="0.25">
      <c r="A197" s="26"/>
      <c r="B197" s="14"/>
      <c r="C197" s="14"/>
      <c r="D197" s="27"/>
      <c r="E197" s="27"/>
      <c r="F197" s="14"/>
      <c r="G197" s="27"/>
      <c r="H197" s="27"/>
      <c r="I197" s="27"/>
      <c r="J197" s="14"/>
      <c r="K197" s="14"/>
      <c r="L197" s="23"/>
      <c r="M197" s="23"/>
      <c r="N197" s="14"/>
      <c r="O197" s="14"/>
      <c r="P197" s="14"/>
      <c r="Q197" s="14"/>
      <c r="R197" s="14"/>
    </row>
    <row r="198" spans="1:21" x14ac:dyDescent="0.25">
      <c r="A198" s="26"/>
      <c r="B198" s="14"/>
      <c r="C198" s="14"/>
      <c r="D198" s="27"/>
      <c r="E198" s="27"/>
      <c r="F198" s="14"/>
      <c r="G198" s="27"/>
      <c r="H198" s="27"/>
      <c r="I198" s="27"/>
      <c r="J198" s="14"/>
      <c r="K198" s="14"/>
      <c r="L198" s="23"/>
      <c r="M198" s="23"/>
      <c r="N198" s="14"/>
      <c r="O198" s="14"/>
      <c r="P198" s="14"/>
      <c r="Q198" s="14"/>
      <c r="R198" s="14"/>
    </row>
    <row r="199" spans="1:21" x14ac:dyDescent="0.25">
      <c r="A199" s="26"/>
      <c r="B199" s="14"/>
      <c r="C199" s="14"/>
      <c r="D199" s="27"/>
      <c r="E199" s="27"/>
      <c r="F199" s="14"/>
      <c r="G199" s="27"/>
      <c r="H199" s="27"/>
      <c r="I199" s="27"/>
      <c r="J199" s="14"/>
      <c r="K199" s="14"/>
      <c r="L199" s="23"/>
      <c r="M199" s="23"/>
      <c r="N199" s="14"/>
      <c r="O199" s="14"/>
    </row>
    <row r="200" spans="1:21" x14ac:dyDescent="0.25">
      <c r="A200" s="26"/>
      <c r="B200" s="14"/>
      <c r="C200" s="14"/>
      <c r="D200" s="27"/>
      <c r="E200" s="27"/>
      <c r="F200" s="14"/>
      <c r="G200" s="27"/>
      <c r="H200" s="27"/>
      <c r="I200" s="27"/>
      <c r="J200" s="14"/>
      <c r="K200" s="14"/>
      <c r="L200" s="23"/>
      <c r="M200" s="23"/>
      <c r="N200" s="14"/>
      <c r="O200" s="14"/>
    </row>
    <row r="201" spans="1:21" x14ac:dyDescent="0.25">
      <c r="A201" s="26"/>
      <c r="B201" s="14"/>
      <c r="C201" s="14"/>
      <c r="D201" s="27"/>
      <c r="E201" s="27"/>
      <c r="F201" s="14"/>
      <c r="G201" s="27"/>
      <c r="H201" s="27"/>
      <c r="I201" s="27"/>
      <c r="J201" s="14"/>
      <c r="K201" s="14"/>
      <c r="L201" s="23"/>
      <c r="M201" s="23"/>
      <c r="N201" s="14"/>
      <c r="O201" s="14"/>
    </row>
    <row r="202" spans="1:21" x14ac:dyDescent="0.25">
      <c r="A202" s="26"/>
      <c r="B202" s="14"/>
      <c r="C202" s="14"/>
      <c r="D202" s="27"/>
      <c r="E202" s="27"/>
      <c r="F202" s="14"/>
      <c r="G202" s="27"/>
      <c r="H202" s="27"/>
      <c r="I202" s="27"/>
      <c r="J202" s="14"/>
      <c r="K202" s="14"/>
      <c r="L202" s="23"/>
      <c r="M202" s="23"/>
      <c r="N202" s="14"/>
      <c r="O202" s="14"/>
    </row>
    <row r="203" spans="1:21" x14ac:dyDescent="0.25">
      <c r="A203" s="26"/>
      <c r="B203" s="14"/>
      <c r="C203" s="14"/>
      <c r="D203" s="27"/>
      <c r="E203" s="27"/>
      <c r="F203" s="14"/>
      <c r="G203" s="27"/>
      <c r="H203" s="27"/>
      <c r="I203" s="27"/>
      <c r="J203" s="14"/>
      <c r="K203" s="14"/>
      <c r="L203" s="23"/>
      <c r="M203" s="23"/>
      <c r="N203" s="14"/>
      <c r="O203" s="14"/>
    </row>
    <row r="204" spans="1:21" x14ac:dyDescent="0.25">
      <c r="A204" s="26"/>
      <c r="B204" s="14"/>
      <c r="C204" s="14"/>
      <c r="D204" s="27"/>
      <c r="E204" s="27"/>
      <c r="F204" s="14"/>
      <c r="G204" s="27"/>
      <c r="H204" s="27"/>
      <c r="I204" s="27"/>
      <c r="J204" s="14"/>
      <c r="K204" s="14"/>
      <c r="L204" s="23"/>
      <c r="M204" s="23"/>
      <c r="N204" s="14"/>
      <c r="O204" s="14"/>
    </row>
    <row r="205" spans="1:21" x14ac:dyDescent="0.25">
      <c r="A205" s="26"/>
      <c r="B205" s="14"/>
      <c r="C205" s="14"/>
      <c r="D205" s="27"/>
      <c r="E205" s="27"/>
      <c r="F205" s="14"/>
      <c r="G205" s="27"/>
      <c r="H205" s="27"/>
      <c r="I205" s="27"/>
      <c r="J205" s="14"/>
      <c r="K205" s="14"/>
      <c r="L205" s="23"/>
      <c r="M205" s="23"/>
      <c r="N205" s="14"/>
      <c r="O205" s="14"/>
    </row>
    <row r="206" spans="1:21" x14ac:dyDescent="0.25">
      <c r="A206" s="26"/>
      <c r="B206" s="14"/>
      <c r="C206" s="14"/>
      <c r="D206" s="27"/>
      <c r="E206" s="27"/>
      <c r="F206" s="14"/>
      <c r="G206" s="27"/>
      <c r="H206" s="27"/>
      <c r="I206" s="27"/>
      <c r="J206" s="14"/>
      <c r="K206" s="14"/>
      <c r="L206" s="23"/>
      <c r="M206" s="23"/>
      <c r="N206" s="14"/>
      <c r="O206" s="14"/>
    </row>
    <row r="207" spans="1:21" x14ac:dyDescent="0.25">
      <c r="A207" s="26"/>
      <c r="B207" s="14"/>
      <c r="C207" s="14"/>
      <c r="D207" s="27"/>
      <c r="E207" s="27"/>
      <c r="F207" s="14"/>
      <c r="G207" s="27"/>
      <c r="H207" s="27"/>
      <c r="I207" s="27"/>
      <c r="J207" s="14"/>
      <c r="K207" s="14"/>
      <c r="L207" s="23"/>
      <c r="M207" s="23"/>
      <c r="N207" s="14"/>
      <c r="O207" s="14"/>
      <c r="P207" s="14"/>
      <c r="Q207" s="14"/>
      <c r="R207" s="14"/>
    </row>
    <row r="208" spans="1:21" x14ac:dyDescent="0.25">
      <c r="A208" s="26"/>
      <c r="B208" s="14"/>
      <c r="C208" s="14"/>
      <c r="D208" s="27"/>
      <c r="E208" s="27"/>
      <c r="F208" s="14"/>
      <c r="G208" s="27"/>
      <c r="H208" s="27"/>
      <c r="I208" s="27"/>
      <c r="J208" s="14"/>
      <c r="K208" s="14"/>
      <c r="L208" s="23"/>
      <c r="M208" s="23"/>
      <c r="N208" s="14"/>
      <c r="O208" s="14"/>
      <c r="P208" s="14"/>
      <c r="Q208" s="14"/>
      <c r="R208" s="14"/>
    </row>
    <row r="209" spans="1:21" x14ac:dyDescent="0.25">
      <c r="A209" s="26"/>
      <c r="B209" s="14"/>
      <c r="C209" s="14"/>
      <c r="D209" s="27"/>
      <c r="E209" s="27"/>
      <c r="F209" s="14"/>
      <c r="G209" s="27"/>
      <c r="H209" s="27"/>
      <c r="I209" s="27"/>
      <c r="J209" s="14"/>
      <c r="K209" s="14"/>
      <c r="L209" s="23"/>
      <c r="M209" s="23"/>
      <c r="N209" s="14"/>
      <c r="O209" s="14"/>
      <c r="P209" s="14"/>
      <c r="Q209" s="14"/>
      <c r="R209" s="14"/>
    </row>
    <row r="210" spans="1:21" x14ac:dyDescent="0.25">
      <c r="A210" s="26"/>
      <c r="B210" s="14"/>
      <c r="C210" s="14"/>
      <c r="D210" s="27"/>
      <c r="E210" s="27"/>
      <c r="F210" s="14"/>
      <c r="G210" s="27"/>
      <c r="H210" s="27"/>
      <c r="I210" s="27"/>
      <c r="J210" s="14"/>
      <c r="K210" s="14"/>
      <c r="L210" s="23"/>
      <c r="M210" s="23"/>
      <c r="N210" s="14"/>
      <c r="O210" s="14"/>
      <c r="P210" s="14"/>
      <c r="Q210" s="14"/>
      <c r="R210" s="14"/>
    </row>
    <row r="211" spans="1:21" x14ac:dyDescent="0.25">
      <c r="A211" s="26"/>
      <c r="B211" s="14"/>
      <c r="C211" s="14"/>
      <c r="F211" s="14"/>
      <c r="K211" s="14"/>
      <c r="L211" s="23"/>
      <c r="M211" s="23"/>
      <c r="N211" s="14"/>
      <c r="O211" s="14"/>
      <c r="P211" s="14"/>
      <c r="Q211" s="14"/>
      <c r="R211" s="14"/>
      <c r="S211" s="14"/>
      <c r="T211" s="14"/>
      <c r="U211" s="14"/>
    </row>
    <row r="212" spans="1:21" x14ac:dyDescent="0.25">
      <c r="A212" s="26"/>
      <c r="B212" s="14"/>
      <c r="C212" s="14"/>
      <c r="F212" s="14"/>
      <c r="K212" s="14"/>
      <c r="L212" s="23"/>
      <c r="M212" s="23"/>
      <c r="N212" s="14"/>
      <c r="O212" s="14"/>
      <c r="P212" s="14"/>
      <c r="Q212" s="14"/>
      <c r="R212" s="14"/>
      <c r="S212" s="14"/>
      <c r="T212" s="14"/>
      <c r="U212" s="14"/>
    </row>
    <row r="213" spans="1:21" x14ac:dyDescent="0.25">
      <c r="A213" s="26"/>
      <c r="B213" s="14"/>
      <c r="C213" s="14"/>
      <c r="F213" s="14"/>
      <c r="K213" s="14"/>
      <c r="L213" s="23"/>
      <c r="M213" s="23"/>
      <c r="N213" s="14"/>
      <c r="O213" s="14"/>
      <c r="P213" s="14"/>
      <c r="Q213" s="14"/>
      <c r="R213" s="14"/>
      <c r="S213" s="14"/>
      <c r="T213" s="14"/>
      <c r="U213" s="14"/>
    </row>
    <row r="214" spans="1:21" x14ac:dyDescent="0.25">
      <c r="A214" s="26"/>
      <c r="B214" s="14"/>
      <c r="C214" s="14"/>
      <c r="F214" s="14"/>
      <c r="K214" s="14"/>
      <c r="L214" s="23"/>
      <c r="M214" s="23"/>
      <c r="N214" s="14"/>
      <c r="O214" s="14"/>
      <c r="P214" s="14"/>
      <c r="Q214" s="14"/>
      <c r="R214" s="14"/>
      <c r="S214" s="14"/>
      <c r="T214" s="14"/>
      <c r="U214" s="14"/>
    </row>
    <row r="215" spans="1:21" x14ac:dyDescent="0.25">
      <c r="A215" s="26"/>
      <c r="B215" s="14"/>
      <c r="C215" s="14"/>
      <c r="F215" s="14"/>
      <c r="K215" s="14"/>
      <c r="L215" s="23"/>
      <c r="M215" s="23"/>
      <c r="N215" s="14"/>
      <c r="O215" s="14"/>
      <c r="P215" s="14"/>
      <c r="Q215" s="14"/>
      <c r="R215" s="14"/>
      <c r="S215" s="14"/>
      <c r="T215" s="14"/>
      <c r="U215" s="14"/>
    </row>
    <row r="216" spans="1:21" x14ac:dyDescent="0.25">
      <c r="A216" s="26"/>
      <c r="B216" s="14"/>
      <c r="C216" s="14"/>
      <c r="F216" s="14"/>
      <c r="K216" s="14"/>
      <c r="L216" s="23"/>
      <c r="M216" s="23"/>
      <c r="N216" s="14"/>
      <c r="O216" s="14"/>
      <c r="P216" s="14"/>
      <c r="Q216" s="14"/>
      <c r="R216" s="14"/>
      <c r="S216" s="14"/>
      <c r="T216" s="14"/>
      <c r="U216" s="14"/>
    </row>
    <row r="217" spans="1:21" x14ac:dyDescent="0.25">
      <c r="A217" s="26"/>
      <c r="B217" s="14"/>
      <c r="C217" s="14"/>
      <c r="F217" s="14"/>
      <c r="K217" s="14"/>
      <c r="L217" s="23"/>
      <c r="M217" s="23"/>
      <c r="N217" s="14"/>
      <c r="O217" s="14"/>
      <c r="P217" s="14"/>
      <c r="Q217" s="14"/>
      <c r="R217" s="14"/>
      <c r="S217" s="14"/>
      <c r="T217" s="14"/>
      <c r="U217" s="14"/>
    </row>
    <row r="218" spans="1:21" x14ac:dyDescent="0.25">
      <c r="A218" s="26"/>
      <c r="B218" s="14"/>
      <c r="C218" s="14"/>
      <c r="F218" s="14"/>
      <c r="K218" s="14"/>
      <c r="L218" s="23"/>
      <c r="M218" s="23"/>
      <c r="N218" s="14"/>
      <c r="O218" s="14"/>
      <c r="P218" s="14"/>
      <c r="Q218" s="14"/>
      <c r="R218" s="14"/>
      <c r="S218" s="14"/>
      <c r="T218" s="14"/>
      <c r="U218" s="14"/>
    </row>
    <row r="219" spans="1:21" x14ac:dyDescent="0.25">
      <c r="A219" s="26"/>
      <c r="B219" s="14"/>
      <c r="C219" s="14"/>
      <c r="F219" s="14"/>
      <c r="K219" s="14"/>
      <c r="L219" s="23"/>
      <c r="M219" s="23"/>
      <c r="N219" s="14"/>
      <c r="O219" s="14"/>
      <c r="P219" s="14"/>
      <c r="Q219" s="14"/>
      <c r="R219" s="14"/>
      <c r="S219" s="14"/>
      <c r="T219" s="14"/>
      <c r="U219" s="14"/>
    </row>
    <row r="220" spans="1:21" x14ac:dyDescent="0.25">
      <c r="A220" s="26"/>
      <c r="B220" s="14"/>
      <c r="C220" s="14"/>
      <c r="F220" s="14"/>
      <c r="K220" s="14"/>
      <c r="L220" s="23"/>
      <c r="M220" s="23"/>
      <c r="N220" s="14"/>
      <c r="O220" s="14"/>
      <c r="P220" s="14"/>
      <c r="Q220" s="14"/>
      <c r="R220" s="14"/>
      <c r="S220" s="14"/>
      <c r="T220" s="14"/>
      <c r="U220" s="14"/>
    </row>
    <row r="221" spans="1:21" x14ac:dyDescent="0.25">
      <c r="A221" s="26"/>
      <c r="B221" s="14"/>
      <c r="C221" s="14"/>
      <c r="F221" s="14"/>
      <c r="K221" s="14"/>
      <c r="L221" s="23"/>
      <c r="M221" s="23"/>
      <c r="N221" s="14"/>
      <c r="O221" s="14"/>
      <c r="P221" s="14"/>
      <c r="Q221" s="14"/>
      <c r="R221" s="14"/>
      <c r="S221" s="14"/>
      <c r="T221" s="14"/>
      <c r="U221" s="14"/>
    </row>
    <row r="222" spans="1:21" x14ac:dyDescent="0.25">
      <c r="A222" s="26"/>
      <c r="B222" s="14"/>
      <c r="C222" s="14"/>
      <c r="F222" s="14"/>
    </row>
    <row r="223" spans="1:21" x14ac:dyDescent="0.25">
      <c r="A223" s="26"/>
      <c r="B223" s="14"/>
      <c r="C223" s="14"/>
      <c r="F223" s="14"/>
    </row>
    <row r="224" spans="1:21" x14ac:dyDescent="0.25">
      <c r="A224" s="26"/>
      <c r="B224" s="14"/>
      <c r="C224" s="14"/>
      <c r="F224" s="14"/>
    </row>
    <row r="225" spans="1:21" x14ac:dyDescent="0.25">
      <c r="A225" s="26"/>
      <c r="B225" s="14"/>
      <c r="C225" s="14"/>
      <c r="F225" s="14"/>
    </row>
    <row r="226" spans="1:21" x14ac:dyDescent="0.25">
      <c r="A226" s="26"/>
      <c r="B226" s="14"/>
      <c r="C226" s="14"/>
      <c r="F226" s="14"/>
    </row>
    <row r="227" spans="1:21" x14ac:dyDescent="0.25">
      <c r="A227" s="26"/>
      <c r="B227" s="14"/>
      <c r="C227" s="14"/>
      <c r="F227" s="14"/>
    </row>
    <row r="228" spans="1:21" x14ac:dyDescent="0.25">
      <c r="A228" s="26"/>
      <c r="B228" s="14"/>
      <c r="C228" s="14"/>
      <c r="F228" s="14"/>
    </row>
    <row r="229" spans="1:21" x14ac:dyDescent="0.25">
      <c r="A229" s="26"/>
      <c r="B229" s="14"/>
      <c r="C229" s="14"/>
      <c r="F229" s="14"/>
    </row>
    <row r="230" spans="1:21" x14ac:dyDescent="0.25">
      <c r="A230" s="26"/>
      <c r="B230" s="14"/>
      <c r="C230" s="14"/>
      <c r="F230" s="14"/>
    </row>
    <row r="231" spans="1:21" x14ac:dyDescent="0.25">
      <c r="A231" s="26"/>
      <c r="B231" s="14"/>
      <c r="C231" s="14"/>
      <c r="F231" s="14"/>
    </row>
    <row r="232" spans="1:21" x14ac:dyDescent="0.25">
      <c r="A232" s="26"/>
      <c r="B232" s="14"/>
      <c r="C232" s="14"/>
      <c r="F232" s="14"/>
      <c r="K232" s="14"/>
      <c r="L232" s="23"/>
      <c r="M232" s="23"/>
      <c r="N232" s="14"/>
      <c r="O232" s="14"/>
      <c r="P232" s="14"/>
      <c r="Q232" s="14"/>
      <c r="R232" s="14"/>
      <c r="S232" s="14"/>
      <c r="T232" s="14"/>
      <c r="U232" s="14"/>
    </row>
    <row r="233" spans="1:21" x14ac:dyDescent="0.25">
      <c r="A233" s="26"/>
      <c r="B233" s="14"/>
      <c r="C233" s="14"/>
      <c r="F233" s="14"/>
      <c r="K233" s="14"/>
      <c r="L233" s="23"/>
      <c r="M233" s="23"/>
      <c r="N233" s="14"/>
      <c r="O233" s="14"/>
      <c r="P233" s="14"/>
      <c r="Q233" s="14"/>
      <c r="R233" s="14"/>
      <c r="S233" s="14"/>
      <c r="T233" s="14"/>
      <c r="U233" s="14"/>
    </row>
    <row r="234" spans="1:21" x14ac:dyDescent="0.25">
      <c r="A234" s="26"/>
      <c r="B234" s="14"/>
      <c r="C234" s="14"/>
      <c r="F234" s="14"/>
    </row>
    <row r="235" spans="1:21" x14ac:dyDescent="0.25">
      <c r="A235" s="26"/>
      <c r="B235" s="14"/>
      <c r="C235" s="14"/>
      <c r="F235" s="14"/>
    </row>
    <row r="236" spans="1:21" x14ac:dyDescent="0.25">
      <c r="A236" s="26"/>
      <c r="B236" s="14"/>
      <c r="C236" s="14"/>
      <c r="F236" s="14"/>
    </row>
    <row r="237" spans="1:21" x14ac:dyDescent="0.25">
      <c r="A237" s="26"/>
      <c r="B237" s="14"/>
      <c r="C237" s="14"/>
      <c r="F237" s="14"/>
    </row>
    <row r="238" spans="1:21" x14ac:dyDescent="0.25">
      <c r="A238" s="26"/>
      <c r="B238" s="14"/>
      <c r="C238" s="14"/>
      <c r="F238" s="14"/>
    </row>
    <row r="239" spans="1:21" x14ac:dyDescent="0.25">
      <c r="A239" s="26"/>
      <c r="B239" s="14"/>
      <c r="C239" s="14"/>
      <c r="F239" s="14"/>
    </row>
    <row r="240" spans="1:21" x14ac:dyDescent="0.25">
      <c r="A240" s="26"/>
      <c r="B240" s="14"/>
      <c r="C240" s="14"/>
      <c r="F240" s="14"/>
    </row>
    <row r="241" spans="1:21" x14ac:dyDescent="0.25">
      <c r="A241" s="26"/>
      <c r="B241" s="14"/>
      <c r="C241" s="14"/>
      <c r="F241" s="14"/>
    </row>
    <row r="242" spans="1:21" x14ac:dyDescent="0.25">
      <c r="A242" s="26"/>
      <c r="B242" s="14"/>
      <c r="C242" s="14"/>
      <c r="F242" s="14"/>
    </row>
    <row r="243" spans="1:21" x14ac:dyDescent="0.25">
      <c r="A243" s="26"/>
      <c r="B243" s="14"/>
      <c r="C243" s="14"/>
      <c r="F243" s="14"/>
    </row>
    <row r="244" spans="1:21" x14ac:dyDescent="0.25">
      <c r="A244" s="26"/>
      <c r="B244" s="14"/>
      <c r="C244" s="14"/>
      <c r="F244" s="14"/>
      <c r="K244" s="14"/>
      <c r="L244" s="23"/>
      <c r="M244" s="23"/>
      <c r="N244" s="14"/>
      <c r="O244" s="14"/>
      <c r="P244" s="14"/>
      <c r="Q244" s="14"/>
      <c r="R244" s="14"/>
      <c r="S244" s="14"/>
      <c r="T244" s="14"/>
      <c r="U244" s="14"/>
    </row>
    <row r="245" spans="1:21" x14ac:dyDescent="0.25">
      <c r="A245" s="26"/>
      <c r="B245" s="14"/>
      <c r="C245" s="14"/>
      <c r="F245" s="14"/>
      <c r="K245" s="14"/>
      <c r="L245" s="23"/>
      <c r="M245" s="23"/>
      <c r="N245" s="14"/>
      <c r="O245" s="14"/>
      <c r="P245" s="14"/>
      <c r="Q245" s="14"/>
      <c r="R245" s="14"/>
      <c r="S245" s="14"/>
      <c r="T245" s="14"/>
      <c r="U245" s="14"/>
    </row>
    <row r="246" spans="1:21" x14ac:dyDescent="0.25">
      <c r="A246" s="26"/>
      <c r="B246" s="14"/>
      <c r="C246" s="14"/>
      <c r="F246" s="14"/>
    </row>
    <row r="247" spans="1:21" x14ac:dyDescent="0.25">
      <c r="A247" s="26"/>
      <c r="B247" s="14"/>
      <c r="C247" s="14"/>
      <c r="F247" s="14"/>
    </row>
    <row r="248" spans="1:21" x14ac:dyDescent="0.25">
      <c r="A248" s="26"/>
      <c r="B248" s="14"/>
      <c r="C248" s="14"/>
      <c r="F248" s="14"/>
    </row>
    <row r="249" spans="1:21" x14ac:dyDescent="0.25">
      <c r="A249" s="26"/>
      <c r="B249" s="14"/>
      <c r="C249" s="14"/>
      <c r="F249" s="14"/>
    </row>
    <row r="250" spans="1:21" x14ac:dyDescent="0.25">
      <c r="A250" s="26"/>
      <c r="B250" s="14"/>
      <c r="C250" s="14"/>
      <c r="F250" s="14"/>
    </row>
    <row r="251" spans="1:21" x14ac:dyDescent="0.25">
      <c r="A251" s="26"/>
      <c r="B251" s="14"/>
      <c r="C251" s="14"/>
      <c r="F251" s="14"/>
    </row>
    <row r="252" spans="1:21" x14ac:dyDescent="0.25">
      <c r="A252" s="26"/>
      <c r="B252" s="14"/>
      <c r="C252" s="14"/>
      <c r="F252" s="14"/>
    </row>
    <row r="253" spans="1:21" x14ac:dyDescent="0.25">
      <c r="A253" s="26"/>
      <c r="B253" s="14"/>
      <c r="C253" s="14"/>
      <c r="F253" s="14"/>
    </row>
    <row r="254" spans="1:21" x14ac:dyDescent="0.25">
      <c r="A254" s="26"/>
      <c r="B254" s="14"/>
      <c r="C254" s="14"/>
      <c r="F254" s="14"/>
    </row>
    <row r="255" spans="1:21" x14ac:dyDescent="0.25">
      <c r="A255" s="26"/>
      <c r="B255" s="14"/>
      <c r="C255" s="14"/>
      <c r="F255" s="14"/>
    </row>
    <row r="256" spans="1:21" x14ac:dyDescent="0.25">
      <c r="A256" s="26"/>
      <c r="B256" s="14"/>
      <c r="C256" s="14"/>
      <c r="F256" s="14"/>
    </row>
    <row r="257" spans="1:21" x14ac:dyDescent="0.25">
      <c r="A257" s="26"/>
      <c r="B257" s="14"/>
      <c r="C257" s="14"/>
      <c r="F257" s="14"/>
      <c r="K257" s="14"/>
      <c r="L257" s="23"/>
      <c r="M257" s="23"/>
      <c r="N257" s="14"/>
      <c r="O257" s="14"/>
      <c r="P257" s="14"/>
      <c r="Q257" s="14"/>
      <c r="R257" s="14"/>
      <c r="S257" s="14"/>
      <c r="T257" s="14"/>
      <c r="U257" s="14"/>
    </row>
    <row r="258" spans="1:21" x14ac:dyDescent="0.25">
      <c r="A258" s="26"/>
      <c r="B258" s="14"/>
      <c r="C258" s="14"/>
      <c r="F258" s="14"/>
      <c r="K258" s="14"/>
      <c r="L258" s="23"/>
      <c r="M258" s="23"/>
      <c r="N258" s="14"/>
      <c r="O258" s="14"/>
      <c r="P258" s="14"/>
      <c r="Q258" s="14"/>
      <c r="R258" s="14"/>
      <c r="S258" s="14"/>
      <c r="T258" s="14"/>
      <c r="U258" s="14"/>
    </row>
    <row r="259" spans="1:21" x14ac:dyDescent="0.25">
      <c r="A259" s="26"/>
      <c r="B259" s="14"/>
      <c r="C259" s="14"/>
      <c r="F259" s="14"/>
    </row>
    <row r="260" spans="1:21" x14ac:dyDescent="0.25">
      <c r="A260" s="26"/>
      <c r="B260" s="14"/>
      <c r="C260" s="14"/>
      <c r="F260" s="14"/>
    </row>
    <row r="261" spans="1:21" x14ac:dyDescent="0.25">
      <c r="A261" s="26"/>
      <c r="B261" s="14"/>
      <c r="C261" s="14"/>
      <c r="F261" s="14"/>
    </row>
    <row r="262" spans="1:21" x14ac:dyDescent="0.25">
      <c r="A262" s="26"/>
      <c r="B262" s="14"/>
      <c r="C262" s="14"/>
      <c r="F262" s="14"/>
    </row>
    <row r="263" spans="1:21" x14ac:dyDescent="0.25">
      <c r="A263" s="26"/>
      <c r="B263" s="14"/>
      <c r="C263" s="14"/>
      <c r="F263" s="14"/>
    </row>
    <row r="264" spans="1:21" x14ac:dyDescent="0.25">
      <c r="A264" s="26"/>
      <c r="B264" s="14"/>
      <c r="C264" s="14"/>
      <c r="F264" s="14"/>
    </row>
    <row r="265" spans="1:21" x14ac:dyDescent="0.25">
      <c r="A265" s="26"/>
      <c r="B265" s="14"/>
      <c r="C265" s="14"/>
      <c r="F265" s="14"/>
    </row>
    <row r="266" spans="1:21" x14ac:dyDescent="0.25">
      <c r="A266" s="26"/>
      <c r="B266" s="14"/>
      <c r="C266" s="14"/>
      <c r="F266" s="14"/>
    </row>
    <row r="267" spans="1:21" x14ac:dyDescent="0.25">
      <c r="A267" s="26"/>
      <c r="B267" s="14"/>
      <c r="C267" s="14"/>
      <c r="F267" s="14"/>
    </row>
    <row r="268" spans="1:21" x14ac:dyDescent="0.25">
      <c r="A268" s="26"/>
      <c r="B268" s="14"/>
      <c r="C268" s="14"/>
      <c r="F268" s="14"/>
    </row>
    <row r="269" spans="1:21" x14ac:dyDescent="0.25">
      <c r="A269" s="26"/>
      <c r="B269" s="14"/>
      <c r="C269" s="14"/>
      <c r="F269" s="14"/>
      <c r="K269" s="14"/>
      <c r="L269" s="23"/>
      <c r="M269" s="23"/>
      <c r="N269" s="14"/>
      <c r="O269" s="14"/>
      <c r="P269" s="14"/>
      <c r="Q269" s="14"/>
      <c r="R269" s="14"/>
      <c r="S269" s="14"/>
      <c r="T269" s="14"/>
      <c r="U269" s="14"/>
    </row>
    <row r="270" spans="1:21" x14ac:dyDescent="0.25">
      <c r="A270" s="26"/>
      <c r="B270" s="14"/>
      <c r="C270" s="14"/>
      <c r="F270" s="14"/>
      <c r="K270" s="14"/>
      <c r="L270" s="23"/>
      <c r="M270" s="23"/>
      <c r="N270" s="14"/>
      <c r="O270" s="14"/>
      <c r="P270" s="14"/>
      <c r="Q270" s="14"/>
      <c r="R270" s="14"/>
      <c r="S270" s="14"/>
      <c r="T270" s="14"/>
      <c r="U270" s="14"/>
    </row>
    <row r="271" spans="1:21" x14ac:dyDescent="0.25">
      <c r="A271" s="26"/>
      <c r="B271" s="14"/>
      <c r="C271" s="14"/>
      <c r="F271" s="14"/>
    </row>
    <row r="272" spans="1:21" x14ac:dyDescent="0.25">
      <c r="A272" s="26"/>
      <c r="B272" s="14"/>
      <c r="C272" s="14"/>
      <c r="F272" s="14"/>
    </row>
    <row r="273" spans="1:21" x14ac:dyDescent="0.25">
      <c r="A273" s="26"/>
      <c r="B273" s="14"/>
      <c r="C273" s="14"/>
      <c r="F273" s="14"/>
    </row>
    <row r="274" spans="1:21" x14ac:dyDescent="0.25">
      <c r="A274" s="26"/>
      <c r="B274" s="14"/>
      <c r="C274" s="14"/>
      <c r="D274" s="27"/>
      <c r="E274" s="27"/>
      <c r="F274" s="14"/>
      <c r="G274" s="27"/>
      <c r="H274" s="27"/>
      <c r="I274" s="27"/>
      <c r="J274" s="14"/>
      <c r="K274" s="14"/>
      <c r="L274" s="23"/>
      <c r="M274" s="23"/>
      <c r="N274" s="14"/>
      <c r="O274" s="14"/>
      <c r="P274" s="14"/>
      <c r="Q274" s="14"/>
      <c r="R274" s="14"/>
    </row>
    <row r="275" spans="1:21" x14ac:dyDescent="0.25">
      <c r="A275" s="26"/>
      <c r="B275" s="14"/>
      <c r="C275" s="14"/>
      <c r="D275" s="27"/>
      <c r="E275" s="27"/>
      <c r="F275" s="14"/>
      <c r="G275" s="27"/>
      <c r="H275" s="27"/>
      <c r="I275" s="27"/>
      <c r="J275" s="14"/>
      <c r="K275" s="14"/>
      <c r="L275" s="23"/>
      <c r="M275" s="23"/>
      <c r="N275" s="14"/>
      <c r="O275" s="14"/>
      <c r="P275" s="14"/>
      <c r="Q275" s="14"/>
      <c r="R275" s="14"/>
    </row>
    <row r="276" spans="1:21" x14ac:dyDescent="0.25">
      <c r="A276" s="26"/>
      <c r="B276" s="14"/>
      <c r="C276" s="14"/>
      <c r="D276" s="27"/>
      <c r="E276" s="27"/>
      <c r="F276" s="14"/>
      <c r="G276" s="27"/>
      <c r="H276" s="27"/>
      <c r="I276" s="27"/>
      <c r="J276" s="14"/>
      <c r="K276" s="14"/>
      <c r="L276" s="23"/>
      <c r="M276" s="23"/>
      <c r="N276" s="14"/>
      <c r="O276" s="14"/>
    </row>
    <row r="277" spans="1:21" x14ac:dyDescent="0.25">
      <c r="A277" s="26"/>
      <c r="B277" s="14"/>
      <c r="C277" s="14"/>
      <c r="D277" s="27"/>
      <c r="E277" s="27"/>
      <c r="F277" s="14"/>
      <c r="G277" s="27"/>
      <c r="H277" s="27"/>
      <c r="I277" s="27"/>
      <c r="J277" s="14"/>
      <c r="K277" s="14"/>
      <c r="L277" s="23"/>
      <c r="M277" s="23"/>
      <c r="N277" s="14"/>
      <c r="O277" s="14"/>
    </row>
    <row r="278" spans="1:21" x14ac:dyDescent="0.25">
      <c r="A278" s="26"/>
      <c r="B278" s="14"/>
      <c r="C278" s="14"/>
      <c r="D278" s="27"/>
      <c r="E278" s="27"/>
      <c r="F278" s="14"/>
      <c r="G278" s="27"/>
      <c r="H278" s="27"/>
      <c r="I278" s="27"/>
      <c r="J278" s="14"/>
      <c r="K278" s="14"/>
      <c r="L278" s="23"/>
      <c r="M278" s="23"/>
      <c r="N278" s="14"/>
      <c r="O278" s="14"/>
    </row>
    <row r="279" spans="1:21" x14ac:dyDescent="0.25">
      <c r="A279" s="26"/>
      <c r="B279" s="14"/>
      <c r="C279" s="14"/>
      <c r="D279" s="27"/>
      <c r="E279" s="27"/>
      <c r="F279" s="14"/>
      <c r="G279" s="27"/>
      <c r="H279" s="27"/>
      <c r="I279" s="27"/>
      <c r="J279" s="14"/>
      <c r="K279" s="14"/>
      <c r="L279" s="23"/>
      <c r="M279" s="23"/>
      <c r="N279" s="14"/>
      <c r="O279" s="14"/>
    </row>
    <row r="280" spans="1:21" x14ac:dyDescent="0.25">
      <c r="A280" s="26"/>
      <c r="B280" s="14"/>
      <c r="C280" s="14"/>
      <c r="D280" s="27"/>
      <c r="E280" s="27"/>
      <c r="F280" s="14"/>
      <c r="G280" s="27"/>
      <c r="H280" s="27"/>
      <c r="I280" s="27"/>
      <c r="J280" s="14"/>
      <c r="K280" s="14"/>
      <c r="L280" s="23"/>
      <c r="M280" s="23"/>
      <c r="N280" s="14"/>
      <c r="O280" s="14"/>
    </row>
    <row r="281" spans="1:21" x14ac:dyDescent="0.25">
      <c r="A281" s="26"/>
      <c r="B281" s="14"/>
      <c r="C281" s="14"/>
      <c r="D281" s="27"/>
      <c r="E281" s="27"/>
      <c r="F281" s="14"/>
      <c r="G281" s="27"/>
      <c r="H281" s="27"/>
      <c r="I281" s="27"/>
      <c r="J281" s="14"/>
      <c r="K281" s="14"/>
      <c r="L281" s="23"/>
      <c r="M281" s="23"/>
      <c r="N281" s="14"/>
      <c r="O281" s="14"/>
    </row>
    <row r="282" spans="1:21" x14ac:dyDescent="0.25">
      <c r="A282" s="26"/>
      <c r="B282" s="14"/>
      <c r="C282" s="14"/>
      <c r="D282" s="27"/>
      <c r="E282" s="27"/>
      <c r="F282" s="14"/>
      <c r="G282" s="27"/>
      <c r="H282" s="27"/>
      <c r="I282" s="27"/>
      <c r="J282" s="14"/>
      <c r="K282" s="14"/>
      <c r="L282" s="23"/>
      <c r="M282" s="23"/>
      <c r="N282" s="14"/>
      <c r="O282" s="14"/>
    </row>
    <row r="283" spans="1:21" x14ac:dyDescent="0.25">
      <c r="A283" s="26"/>
      <c r="B283" s="14"/>
      <c r="C283" s="14"/>
      <c r="D283" s="27"/>
      <c r="E283" s="27"/>
      <c r="F283" s="14"/>
      <c r="G283" s="27"/>
      <c r="H283" s="27"/>
      <c r="I283" s="27"/>
      <c r="J283" s="14"/>
      <c r="K283" s="14"/>
      <c r="L283" s="23"/>
      <c r="M283" s="23"/>
      <c r="N283" s="14"/>
      <c r="O283" s="14"/>
    </row>
    <row r="284" spans="1:21" x14ac:dyDescent="0.25">
      <c r="A284" s="26"/>
      <c r="B284" s="14"/>
      <c r="C284" s="14"/>
      <c r="D284" s="27"/>
      <c r="E284" s="27"/>
      <c r="F284" s="14"/>
      <c r="G284" s="27"/>
      <c r="H284" s="27"/>
      <c r="I284" s="27"/>
      <c r="J284" s="14"/>
      <c r="K284" s="14"/>
      <c r="L284" s="23"/>
      <c r="M284" s="23"/>
      <c r="N284" s="14"/>
      <c r="O284" s="14"/>
      <c r="P284" s="14"/>
      <c r="Q284" s="14"/>
      <c r="R284" s="14"/>
    </row>
    <row r="285" spans="1:21" x14ac:dyDescent="0.25">
      <c r="A285" s="26"/>
      <c r="B285" s="14"/>
      <c r="C285" s="14"/>
      <c r="D285" s="27"/>
      <c r="E285" s="27"/>
      <c r="F285" s="14"/>
      <c r="G285" s="27"/>
      <c r="H285" s="27"/>
      <c r="I285" s="27"/>
      <c r="J285" s="14"/>
      <c r="K285" s="14"/>
      <c r="L285" s="23"/>
      <c r="M285" s="23"/>
      <c r="N285" s="14"/>
      <c r="O285" s="14"/>
      <c r="P285" s="14"/>
      <c r="Q285" s="14"/>
      <c r="R285" s="14"/>
    </row>
    <row r="286" spans="1:21" x14ac:dyDescent="0.25">
      <c r="A286" s="26"/>
      <c r="B286" s="14"/>
      <c r="C286" s="14"/>
      <c r="D286" s="27"/>
      <c r="E286" s="27"/>
      <c r="F286" s="14"/>
      <c r="G286" s="27"/>
      <c r="H286" s="27"/>
      <c r="I286" s="27"/>
      <c r="J286" s="14"/>
      <c r="K286" s="14"/>
      <c r="L286" s="23"/>
      <c r="M286" s="23"/>
      <c r="N286" s="14"/>
      <c r="O286" s="14"/>
      <c r="P286" s="14"/>
      <c r="Q286" s="14"/>
      <c r="R286" s="14"/>
    </row>
    <row r="287" spans="1:21" x14ac:dyDescent="0.25">
      <c r="A287" s="26"/>
      <c r="B287" s="14"/>
      <c r="C287" s="14"/>
      <c r="D287" s="27"/>
      <c r="E287" s="27"/>
      <c r="F287" s="14"/>
      <c r="G287" s="27"/>
      <c r="H287" s="27"/>
      <c r="I287" s="27"/>
      <c r="J287" s="14"/>
      <c r="K287" s="14"/>
      <c r="L287" s="23"/>
      <c r="M287" s="23"/>
      <c r="N287" s="14"/>
      <c r="O287" s="14"/>
      <c r="P287" s="14"/>
      <c r="Q287" s="14"/>
      <c r="R287" s="14"/>
    </row>
    <row r="288" spans="1:21" x14ac:dyDescent="0.25">
      <c r="A288" s="26"/>
      <c r="B288" s="14"/>
      <c r="C288" s="14"/>
      <c r="F288" s="14"/>
      <c r="K288" s="14"/>
      <c r="L288" s="23"/>
      <c r="M288" s="23"/>
      <c r="N288" s="14"/>
      <c r="O288" s="14"/>
      <c r="P288" s="14"/>
      <c r="Q288" s="14"/>
      <c r="R288" s="14"/>
      <c r="S288" s="14"/>
      <c r="T288" s="14"/>
      <c r="U288" s="14"/>
    </row>
    <row r="289" spans="1:21" x14ac:dyDescent="0.25">
      <c r="A289" s="26"/>
      <c r="B289" s="14"/>
      <c r="C289" s="14"/>
      <c r="F289" s="14"/>
      <c r="K289" s="14"/>
      <c r="L289" s="23"/>
      <c r="M289" s="23"/>
      <c r="N289" s="14"/>
      <c r="O289" s="14"/>
      <c r="P289" s="14"/>
      <c r="Q289" s="14"/>
      <c r="R289" s="14"/>
      <c r="S289" s="14"/>
      <c r="T289" s="14"/>
      <c r="U289" s="14"/>
    </row>
    <row r="290" spans="1:21" x14ac:dyDescent="0.25">
      <c r="A290" s="26"/>
      <c r="B290" s="14"/>
      <c r="C290" s="14"/>
      <c r="F290" s="14"/>
      <c r="K290" s="14"/>
      <c r="L290" s="23"/>
      <c r="M290" s="23"/>
      <c r="N290" s="14"/>
      <c r="O290" s="14"/>
      <c r="P290" s="14"/>
      <c r="Q290" s="14"/>
      <c r="R290" s="14"/>
      <c r="S290" s="14"/>
      <c r="T290" s="14"/>
      <c r="U290" s="14"/>
    </row>
    <row r="291" spans="1:21" x14ac:dyDescent="0.25">
      <c r="A291" s="26"/>
      <c r="B291" s="14"/>
      <c r="C291" s="14"/>
      <c r="F291" s="14"/>
      <c r="K291" s="14"/>
      <c r="L291" s="23"/>
      <c r="M291" s="23"/>
      <c r="N291" s="14"/>
      <c r="O291" s="14"/>
      <c r="P291" s="14"/>
      <c r="Q291" s="14"/>
      <c r="R291" s="14"/>
      <c r="S291" s="14"/>
      <c r="T291" s="14"/>
      <c r="U291" s="14"/>
    </row>
    <row r="292" spans="1:21" x14ac:dyDescent="0.25">
      <c r="A292" s="26"/>
      <c r="B292" s="14"/>
      <c r="C292" s="14"/>
      <c r="F292" s="14"/>
      <c r="K292" s="14"/>
      <c r="L292" s="23"/>
      <c r="M292" s="23"/>
      <c r="N292" s="14"/>
      <c r="O292" s="14"/>
      <c r="P292" s="14"/>
      <c r="Q292" s="14"/>
      <c r="R292" s="14"/>
      <c r="S292" s="14"/>
      <c r="T292" s="14"/>
      <c r="U292" s="14"/>
    </row>
    <row r="293" spans="1:21" x14ac:dyDescent="0.25">
      <c r="A293" s="26"/>
      <c r="B293" s="14"/>
      <c r="C293" s="14"/>
      <c r="F293" s="14"/>
      <c r="K293" s="14"/>
      <c r="L293" s="23"/>
      <c r="M293" s="23"/>
      <c r="N293" s="14"/>
      <c r="O293" s="14"/>
      <c r="P293" s="14"/>
      <c r="Q293" s="14"/>
      <c r="R293" s="14"/>
      <c r="S293" s="14"/>
      <c r="T293" s="14"/>
      <c r="U293" s="14"/>
    </row>
    <row r="294" spans="1:21" x14ac:dyDescent="0.25">
      <c r="A294" s="26"/>
      <c r="B294" s="14"/>
      <c r="C294" s="14"/>
      <c r="F294" s="14"/>
      <c r="K294" s="14"/>
      <c r="L294" s="23"/>
      <c r="M294" s="23"/>
      <c r="N294" s="14"/>
      <c r="O294" s="14"/>
      <c r="P294" s="14"/>
      <c r="Q294" s="14"/>
      <c r="R294" s="14"/>
      <c r="S294" s="14"/>
      <c r="T294" s="14"/>
      <c r="U294" s="14"/>
    </row>
    <row r="295" spans="1:21" x14ac:dyDescent="0.25">
      <c r="A295" s="26"/>
      <c r="B295" s="14"/>
      <c r="C295" s="14"/>
      <c r="F295" s="14"/>
    </row>
    <row r="296" spans="1:21" x14ac:dyDescent="0.25">
      <c r="A296" s="26"/>
      <c r="B296" s="14"/>
      <c r="C296" s="14"/>
      <c r="F296" s="14"/>
    </row>
    <row r="297" spans="1:21" x14ac:dyDescent="0.25">
      <c r="A297" s="26"/>
      <c r="B297" s="14"/>
      <c r="C297" s="14"/>
      <c r="F297" s="14"/>
    </row>
    <row r="298" spans="1:21" x14ac:dyDescent="0.25">
      <c r="A298" s="26"/>
      <c r="B298" s="14"/>
      <c r="C298" s="14"/>
      <c r="F298" s="14"/>
    </row>
    <row r="299" spans="1:21" x14ac:dyDescent="0.25">
      <c r="A299" s="26"/>
      <c r="B299" s="14"/>
      <c r="C299" s="14"/>
      <c r="F299" s="14"/>
    </row>
    <row r="300" spans="1:21" x14ac:dyDescent="0.25">
      <c r="A300" s="26"/>
      <c r="B300" s="14"/>
      <c r="C300" s="14"/>
      <c r="F300" s="14"/>
    </row>
    <row r="301" spans="1:21" x14ac:dyDescent="0.25">
      <c r="A301" s="26"/>
      <c r="B301" s="14"/>
      <c r="C301" s="14"/>
      <c r="F301" s="14"/>
    </row>
    <row r="302" spans="1:21" x14ac:dyDescent="0.25">
      <c r="A302" s="26"/>
      <c r="B302" s="14"/>
      <c r="C302" s="14"/>
      <c r="F302" s="14"/>
    </row>
    <row r="303" spans="1:21" x14ac:dyDescent="0.25">
      <c r="A303" s="26"/>
      <c r="B303" s="14"/>
      <c r="C303" s="14"/>
      <c r="F303" s="14"/>
    </row>
    <row r="304" spans="1:21" x14ac:dyDescent="0.25">
      <c r="A304" s="26"/>
      <c r="B304" s="14"/>
      <c r="C304" s="14"/>
      <c r="F304" s="14"/>
    </row>
    <row r="305" spans="1:21" x14ac:dyDescent="0.25">
      <c r="A305" s="26"/>
      <c r="B305" s="14"/>
      <c r="C305" s="14"/>
      <c r="F305" s="14"/>
      <c r="K305" s="14"/>
      <c r="L305" s="23"/>
      <c r="M305" s="23"/>
      <c r="N305" s="14"/>
      <c r="O305" s="14"/>
      <c r="P305" s="14"/>
      <c r="Q305" s="14"/>
      <c r="R305" s="14"/>
      <c r="S305" s="14"/>
      <c r="T305" s="14"/>
      <c r="U305" s="14"/>
    </row>
    <row r="306" spans="1:21" x14ac:dyDescent="0.25">
      <c r="A306" s="26"/>
      <c r="B306" s="14"/>
      <c r="C306" s="14"/>
      <c r="F306" s="14"/>
      <c r="K306" s="14"/>
      <c r="L306" s="23"/>
      <c r="M306" s="23"/>
      <c r="N306" s="14"/>
      <c r="O306" s="14"/>
      <c r="P306" s="14"/>
      <c r="Q306" s="14"/>
      <c r="R306" s="14"/>
      <c r="S306" s="14"/>
      <c r="T306" s="14"/>
      <c r="U306" s="14"/>
    </row>
    <row r="307" spans="1:21" x14ac:dyDescent="0.25">
      <c r="A307" s="26"/>
      <c r="B307" s="14"/>
      <c r="C307" s="14"/>
      <c r="F307" s="14"/>
    </row>
    <row r="308" spans="1:21" x14ac:dyDescent="0.25">
      <c r="A308" s="26"/>
      <c r="B308" s="14"/>
      <c r="C308" s="14"/>
      <c r="F308" s="14"/>
    </row>
    <row r="309" spans="1:21" x14ac:dyDescent="0.25">
      <c r="A309" s="26"/>
      <c r="B309" s="14"/>
      <c r="C309" s="14"/>
      <c r="F309" s="14"/>
    </row>
    <row r="310" spans="1:21" x14ac:dyDescent="0.25">
      <c r="A310" s="26"/>
      <c r="B310" s="14"/>
      <c r="C310" s="14"/>
      <c r="F310" s="14"/>
    </row>
    <row r="311" spans="1:21" x14ac:dyDescent="0.25">
      <c r="A311" s="26"/>
      <c r="B311" s="14"/>
      <c r="C311" s="14"/>
      <c r="F311" s="14"/>
    </row>
    <row r="312" spans="1:21" x14ac:dyDescent="0.25">
      <c r="A312" s="26"/>
      <c r="B312" s="14"/>
      <c r="C312" s="14"/>
      <c r="F312" s="14"/>
    </row>
    <row r="313" spans="1:21" x14ac:dyDescent="0.25">
      <c r="A313" s="26"/>
      <c r="B313" s="14"/>
      <c r="C313" s="14"/>
      <c r="F313" s="14"/>
    </row>
    <row r="314" spans="1:21" x14ac:dyDescent="0.25">
      <c r="A314" s="26"/>
      <c r="B314" s="14"/>
      <c r="C314" s="14"/>
      <c r="F314" s="14"/>
    </row>
    <row r="315" spans="1:21" x14ac:dyDescent="0.25">
      <c r="A315" s="26"/>
      <c r="B315" s="14"/>
      <c r="C315" s="14"/>
      <c r="F315" s="14"/>
    </row>
    <row r="316" spans="1:21" x14ac:dyDescent="0.25">
      <c r="A316" s="26"/>
      <c r="B316" s="14"/>
      <c r="C316" s="14"/>
      <c r="F316" s="14"/>
    </row>
    <row r="317" spans="1:21" x14ac:dyDescent="0.25">
      <c r="A317" s="26"/>
      <c r="B317" s="14"/>
      <c r="C317" s="14"/>
      <c r="F317" s="14"/>
    </row>
    <row r="318" spans="1:21" x14ac:dyDescent="0.25">
      <c r="A318" s="26"/>
      <c r="B318" s="14"/>
      <c r="C318" s="14"/>
      <c r="F318" s="14"/>
    </row>
    <row r="319" spans="1:21" x14ac:dyDescent="0.25">
      <c r="A319" s="26"/>
      <c r="B319" s="14"/>
      <c r="C319" s="14"/>
      <c r="F319" s="14"/>
    </row>
    <row r="320" spans="1:21" x14ac:dyDescent="0.25">
      <c r="A320" s="26"/>
      <c r="B320" s="14"/>
      <c r="C320" s="14"/>
      <c r="F320" s="14"/>
    </row>
    <row r="321" spans="1:31" x14ac:dyDescent="0.25">
      <c r="A321" s="26"/>
      <c r="B321" s="14"/>
      <c r="C321" s="14"/>
      <c r="F321" s="14"/>
    </row>
    <row r="322" spans="1:31" x14ac:dyDescent="0.25">
      <c r="A322" s="26"/>
      <c r="B322" s="14"/>
      <c r="C322" s="14"/>
      <c r="F322" s="14"/>
    </row>
    <row r="323" spans="1:31" x14ac:dyDescent="0.25">
      <c r="A323" s="26"/>
      <c r="B323" s="14"/>
      <c r="C323" s="14"/>
      <c r="F323" s="14"/>
    </row>
    <row r="324" spans="1:31" x14ac:dyDescent="0.25">
      <c r="A324" s="26"/>
      <c r="B324" s="14"/>
      <c r="C324" s="14"/>
      <c r="F324" s="14"/>
    </row>
    <row r="325" spans="1:31" x14ac:dyDescent="0.25">
      <c r="A325" s="26"/>
      <c r="B325" s="14"/>
      <c r="C325" s="14"/>
      <c r="F325" s="14"/>
    </row>
    <row r="326" spans="1:31" x14ac:dyDescent="0.25">
      <c r="A326" s="26"/>
      <c r="B326" s="14"/>
      <c r="C326" s="14"/>
      <c r="F326" s="14"/>
    </row>
    <row r="327" spans="1:31" x14ac:dyDescent="0.25">
      <c r="A327" s="26"/>
      <c r="B327" s="14"/>
      <c r="C327" s="14"/>
      <c r="F327" s="14"/>
    </row>
    <row r="328" spans="1:31" x14ac:dyDescent="0.25">
      <c r="A328" s="26"/>
      <c r="B328" s="14"/>
      <c r="C328" s="14"/>
      <c r="F328" s="14"/>
    </row>
    <row r="329" spans="1:31" x14ac:dyDescent="0.25">
      <c r="A329" s="26"/>
      <c r="B329" s="14"/>
      <c r="C329" s="14"/>
      <c r="F329" s="14"/>
    </row>
    <row r="330" spans="1:31" x14ac:dyDescent="0.25">
      <c r="A330" s="26"/>
      <c r="B330" s="14"/>
      <c r="C330" s="14"/>
      <c r="F330" s="14"/>
    </row>
    <row r="331" spans="1:31" x14ac:dyDescent="0.25">
      <c r="A331" s="26"/>
      <c r="B331" s="14"/>
      <c r="C331" s="14"/>
      <c r="F331" s="14"/>
    </row>
    <row r="332" spans="1:31" s="31" customFormat="1" x14ac:dyDescent="0.25">
      <c r="A332" s="26"/>
      <c r="B332" s="14"/>
      <c r="C332" s="14"/>
      <c r="D332" s="30"/>
      <c r="E332" s="30"/>
      <c r="F332" s="14"/>
      <c r="G332" s="30"/>
      <c r="H332" s="30"/>
      <c r="I332" s="30"/>
      <c r="J332" s="15"/>
      <c r="K332" s="15"/>
      <c r="L332" s="16"/>
      <c r="M332" s="16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</row>
    <row r="333" spans="1:31" s="31" customFormat="1" x14ac:dyDescent="0.25">
      <c r="A333" s="26"/>
      <c r="B333" s="14"/>
      <c r="C333" s="14"/>
      <c r="D333" s="30"/>
      <c r="E333" s="30"/>
      <c r="F333" s="14"/>
      <c r="G333" s="30"/>
      <c r="H333" s="30"/>
      <c r="I333" s="30"/>
      <c r="J333" s="15"/>
      <c r="K333" s="15"/>
      <c r="L333" s="16"/>
      <c r="M333" s="16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</row>
    <row r="334" spans="1:31" s="32" customFormat="1" x14ac:dyDescent="0.25">
      <c r="A334" s="26"/>
      <c r="B334" s="14"/>
      <c r="C334" s="14"/>
      <c r="D334" s="30"/>
      <c r="E334" s="30"/>
      <c r="F334" s="14"/>
      <c r="G334" s="30"/>
      <c r="H334" s="30"/>
      <c r="I334" s="30"/>
      <c r="J334" s="15"/>
      <c r="K334" s="15"/>
      <c r="L334" s="16"/>
      <c r="M334" s="16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</row>
    <row r="335" spans="1:31" s="32" customFormat="1" x14ac:dyDescent="0.25">
      <c r="A335" s="26"/>
      <c r="B335" s="14"/>
      <c r="C335" s="14"/>
      <c r="D335" s="30"/>
      <c r="E335" s="30"/>
      <c r="F335" s="14"/>
      <c r="G335" s="30"/>
      <c r="H335" s="30"/>
      <c r="I335" s="30"/>
      <c r="J335" s="15"/>
      <c r="K335" s="15"/>
      <c r="L335" s="16"/>
      <c r="M335" s="16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</row>
    <row r="336" spans="1:31" s="32" customFormat="1" x14ac:dyDescent="0.25">
      <c r="A336" s="26"/>
      <c r="B336" s="14"/>
      <c r="C336" s="14"/>
      <c r="D336" s="30"/>
      <c r="E336" s="30"/>
      <c r="F336" s="14"/>
      <c r="G336" s="30"/>
      <c r="H336" s="30"/>
      <c r="I336" s="30"/>
      <c r="J336" s="15"/>
      <c r="K336" s="15"/>
      <c r="L336" s="16"/>
      <c r="M336" s="16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</row>
    <row r="337" spans="1:31" s="32" customFormat="1" x14ac:dyDescent="0.25">
      <c r="A337" s="26"/>
      <c r="B337" s="14"/>
      <c r="C337" s="14"/>
      <c r="D337" s="30"/>
      <c r="E337" s="30"/>
      <c r="F337" s="14"/>
      <c r="G337" s="30"/>
      <c r="H337" s="30"/>
      <c r="I337" s="30"/>
      <c r="J337" s="15"/>
      <c r="K337" s="15"/>
      <c r="L337" s="16"/>
      <c r="M337" s="16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</row>
    <row r="338" spans="1:31" s="32" customFormat="1" x14ac:dyDescent="0.25">
      <c r="A338" s="26"/>
      <c r="B338" s="14"/>
      <c r="C338" s="14"/>
      <c r="D338" s="30"/>
      <c r="E338" s="30"/>
      <c r="F338" s="14"/>
      <c r="G338" s="30"/>
      <c r="H338" s="30"/>
      <c r="I338" s="30"/>
      <c r="J338" s="15"/>
      <c r="K338" s="15"/>
      <c r="L338" s="16"/>
      <c r="M338" s="16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</row>
    <row r="339" spans="1:31" s="32" customFormat="1" x14ac:dyDescent="0.25">
      <c r="A339" s="26"/>
      <c r="B339" s="14"/>
      <c r="C339" s="14"/>
      <c r="D339" s="30"/>
      <c r="E339" s="30"/>
      <c r="F339" s="14"/>
      <c r="G339" s="30"/>
      <c r="H339" s="30"/>
      <c r="I339" s="30"/>
      <c r="J339" s="15"/>
      <c r="K339" s="15"/>
      <c r="L339" s="16"/>
      <c r="M339" s="16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</row>
    <row r="340" spans="1:31" s="32" customFormat="1" x14ac:dyDescent="0.25">
      <c r="A340" s="26"/>
      <c r="B340" s="14"/>
      <c r="C340" s="14"/>
      <c r="D340" s="30"/>
      <c r="E340" s="30"/>
      <c r="F340" s="14"/>
      <c r="G340" s="30"/>
      <c r="H340" s="30"/>
      <c r="I340" s="30"/>
      <c r="J340" s="15"/>
      <c r="K340" s="15"/>
      <c r="L340" s="16"/>
      <c r="M340" s="16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</row>
    <row r="341" spans="1:31" s="32" customFormat="1" x14ac:dyDescent="0.25">
      <c r="A341" s="26"/>
      <c r="B341" s="14"/>
      <c r="C341" s="14"/>
      <c r="D341" s="30"/>
      <c r="E341" s="30"/>
      <c r="F341" s="14"/>
      <c r="G341" s="30"/>
      <c r="H341" s="30"/>
      <c r="I341" s="30"/>
      <c r="J341" s="15"/>
      <c r="K341" s="15"/>
      <c r="L341" s="16"/>
      <c r="M341" s="16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</row>
    <row r="342" spans="1:31" s="32" customFormat="1" x14ac:dyDescent="0.25">
      <c r="A342" s="26"/>
      <c r="B342" s="14"/>
      <c r="C342" s="14"/>
      <c r="D342" s="30"/>
      <c r="E342" s="30"/>
      <c r="F342" s="14"/>
      <c r="G342" s="30"/>
      <c r="H342" s="30"/>
      <c r="I342" s="30"/>
      <c r="J342" s="15"/>
      <c r="K342" s="15"/>
      <c r="L342" s="16"/>
      <c r="M342" s="16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</row>
    <row r="343" spans="1:31" s="32" customFormat="1" x14ac:dyDescent="0.25">
      <c r="A343" s="26"/>
      <c r="B343" s="14"/>
      <c r="C343" s="14"/>
      <c r="D343" s="30"/>
      <c r="E343" s="30"/>
      <c r="F343" s="14"/>
      <c r="G343" s="30"/>
      <c r="H343" s="30"/>
      <c r="I343" s="30"/>
      <c r="J343" s="15"/>
      <c r="K343" s="15"/>
      <c r="L343" s="16"/>
      <c r="M343" s="16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</row>
    <row r="344" spans="1:31" s="32" customFormat="1" x14ac:dyDescent="0.25">
      <c r="A344" s="26"/>
      <c r="B344" s="14"/>
      <c r="C344" s="14"/>
      <c r="D344" s="30"/>
      <c r="E344" s="30"/>
      <c r="F344" s="14"/>
      <c r="G344" s="30"/>
      <c r="H344" s="30"/>
      <c r="I344" s="30"/>
      <c r="J344" s="15"/>
      <c r="K344" s="15"/>
      <c r="L344" s="16"/>
      <c r="M344" s="16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</row>
    <row r="345" spans="1:31" s="32" customFormat="1" x14ac:dyDescent="0.25">
      <c r="A345" s="26"/>
      <c r="B345" s="14"/>
      <c r="C345" s="14"/>
      <c r="D345" s="30"/>
      <c r="E345" s="30"/>
      <c r="F345" s="14"/>
      <c r="G345" s="30"/>
      <c r="H345" s="30"/>
      <c r="I345" s="30"/>
      <c r="J345" s="15"/>
      <c r="K345" s="15"/>
      <c r="L345" s="16"/>
      <c r="M345" s="16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</row>
    <row r="346" spans="1:31" x14ac:dyDescent="0.25">
      <c r="A346" s="26"/>
      <c r="B346" s="14"/>
      <c r="C346" s="14"/>
      <c r="F346" s="14"/>
    </row>
    <row r="347" spans="1:31" x14ac:dyDescent="0.25">
      <c r="A347" s="26"/>
      <c r="B347" s="14"/>
      <c r="C347" s="14"/>
      <c r="F347" s="14"/>
    </row>
    <row r="348" spans="1:31" s="32" customFormat="1" x14ac:dyDescent="0.25">
      <c r="A348" s="26"/>
      <c r="B348" s="14"/>
      <c r="C348" s="14"/>
      <c r="D348" s="30"/>
      <c r="E348" s="30"/>
      <c r="F348" s="14"/>
      <c r="G348" s="30"/>
      <c r="H348" s="30"/>
      <c r="I348" s="30"/>
      <c r="J348" s="15"/>
      <c r="K348" s="15"/>
      <c r="L348" s="16"/>
      <c r="M348" s="16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</row>
    <row r="349" spans="1:31" s="32" customFormat="1" x14ac:dyDescent="0.25">
      <c r="A349" s="26"/>
      <c r="B349" s="14"/>
      <c r="C349" s="14"/>
      <c r="D349" s="30"/>
      <c r="E349" s="30"/>
      <c r="F349" s="14"/>
      <c r="G349" s="30"/>
      <c r="H349" s="30"/>
      <c r="I349" s="30"/>
      <c r="J349" s="15"/>
      <c r="K349" s="15"/>
      <c r="L349" s="16"/>
      <c r="M349" s="16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</row>
    <row r="350" spans="1:31" x14ac:dyDescent="0.25">
      <c r="A350" s="26"/>
      <c r="B350" s="14"/>
      <c r="C350" s="14"/>
      <c r="F350" s="14"/>
    </row>
    <row r="351" spans="1:31" x14ac:dyDescent="0.25">
      <c r="A351" s="26"/>
      <c r="B351" s="14"/>
      <c r="C351" s="14"/>
      <c r="F351" s="14"/>
    </row>
    <row r="352" spans="1:31" s="30" customFormat="1" x14ac:dyDescent="0.25">
      <c r="A352" s="26"/>
      <c r="B352" s="14"/>
      <c r="C352" s="14"/>
      <c r="F352" s="14"/>
      <c r="J352" s="15"/>
      <c r="K352" s="15"/>
      <c r="L352" s="16"/>
      <c r="M352" s="16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</row>
    <row r="353" spans="1:31" s="30" customFormat="1" x14ac:dyDescent="0.25">
      <c r="A353" s="26"/>
      <c r="B353" s="14"/>
      <c r="C353" s="14"/>
      <c r="F353" s="14"/>
      <c r="J353" s="15"/>
      <c r="K353" s="15"/>
      <c r="L353" s="16"/>
      <c r="M353" s="16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</row>
    <row r="354" spans="1:31" s="30" customFormat="1" x14ac:dyDescent="0.25">
      <c r="A354" s="26"/>
      <c r="B354" s="14"/>
      <c r="C354" s="14"/>
      <c r="F354" s="14"/>
      <c r="J354" s="15"/>
      <c r="K354" s="15"/>
      <c r="L354" s="16"/>
      <c r="M354" s="16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</row>
    <row r="355" spans="1:31" s="30" customFormat="1" x14ac:dyDescent="0.25">
      <c r="A355" s="26"/>
      <c r="B355" s="14"/>
      <c r="C355" s="14"/>
      <c r="F355" s="14"/>
      <c r="J355" s="15"/>
      <c r="K355" s="15"/>
      <c r="L355" s="16"/>
      <c r="M355" s="16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</row>
    <row r="356" spans="1:31" s="30" customFormat="1" x14ac:dyDescent="0.25">
      <c r="A356" s="26"/>
      <c r="B356" s="14"/>
      <c r="C356" s="14"/>
      <c r="F356" s="14"/>
      <c r="J356" s="15"/>
      <c r="K356" s="15"/>
      <c r="L356" s="16"/>
      <c r="M356" s="16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</row>
    <row r="357" spans="1:31" s="30" customFormat="1" x14ac:dyDescent="0.25">
      <c r="A357" s="26"/>
      <c r="B357" s="14"/>
      <c r="C357" s="14"/>
      <c r="F357" s="14"/>
      <c r="J357" s="15"/>
      <c r="K357" s="15"/>
      <c r="L357" s="16"/>
      <c r="M357" s="16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</row>
    <row r="358" spans="1:31" s="30" customFormat="1" x14ac:dyDescent="0.25">
      <c r="A358" s="26"/>
      <c r="B358" s="14"/>
      <c r="C358" s="14"/>
      <c r="F358" s="14"/>
      <c r="J358" s="15"/>
      <c r="K358" s="15"/>
      <c r="L358" s="16"/>
      <c r="M358" s="16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</row>
    <row r="359" spans="1:31" s="30" customFormat="1" x14ac:dyDescent="0.25">
      <c r="A359" s="26"/>
      <c r="B359" s="14"/>
      <c r="C359" s="14"/>
      <c r="F359" s="14"/>
      <c r="J359" s="15"/>
      <c r="K359" s="15"/>
      <c r="L359" s="16"/>
      <c r="M359" s="16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</row>
    <row r="360" spans="1:31" s="30" customFormat="1" x14ac:dyDescent="0.25">
      <c r="A360" s="26"/>
      <c r="B360" s="14"/>
      <c r="C360" s="14"/>
      <c r="F360" s="14"/>
      <c r="J360" s="15"/>
      <c r="K360" s="15"/>
      <c r="L360" s="16"/>
      <c r="M360" s="16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</row>
    <row r="361" spans="1:31" s="30" customFormat="1" x14ac:dyDescent="0.25">
      <c r="A361" s="26"/>
      <c r="B361" s="14"/>
      <c r="C361" s="14"/>
      <c r="F361" s="14"/>
      <c r="J361" s="15"/>
      <c r="K361" s="15"/>
      <c r="L361" s="16"/>
      <c r="M361" s="16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</row>
    <row r="362" spans="1:31" s="30" customFormat="1" x14ac:dyDescent="0.25">
      <c r="A362" s="26"/>
      <c r="B362" s="14"/>
      <c r="C362" s="14"/>
      <c r="F362" s="14"/>
      <c r="J362" s="15"/>
      <c r="K362" s="15"/>
      <c r="L362" s="16"/>
      <c r="M362" s="16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</row>
    <row r="363" spans="1:31" s="30" customFormat="1" x14ac:dyDescent="0.25">
      <c r="A363" s="26"/>
      <c r="B363" s="14"/>
      <c r="C363" s="14"/>
      <c r="F363" s="14"/>
      <c r="J363" s="15"/>
      <c r="K363" s="15"/>
      <c r="L363" s="16"/>
      <c r="M363" s="16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</row>
    <row r="364" spans="1:31" s="30" customFormat="1" x14ac:dyDescent="0.25">
      <c r="A364" s="26"/>
      <c r="B364" s="14"/>
      <c r="C364" s="14"/>
      <c r="F364" s="14"/>
      <c r="J364" s="15"/>
      <c r="K364" s="15"/>
      <c r="L364" s="16"/>
      <c r="M364" s="16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</row>
    <row r="365" spans="1:31" s="30" customFormat="1" x14ac:dyDescent="0.25">
      <c r="A365" s="26"/>
      <c r="B365" s="14"/>
      <c r="C365" s="14"/>
      <c r="F365" s="14"/>
      <c r="J365" s="15"/>
      <c r="K365" s="15"/>
      <c r="L365" s="16"/>
      <c r="M365" s="16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</row>
    <row r="366" spans="1:31" s="30" customFormat="1" x14ac:dyDescent="0.25">
      <c r="A366" s="26"/>
      <c r="B366" s="14"/>
      <c r="C366" s="14"/>
      <c r="F366" s="14"/>
      <c r="J366" s="15"/>
      <c r="K366" s="15"/>
      <c r="L366" s="16"/>
      <c r="M366" s="16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</row>
    <row r="367" spans="1:31" s="30" customFormat="1" x14ac:dyDescent="0.25">
      <c r="A367" s="26"/>
      <c r="B367" s="14"/>
      <c r="C367" s="14"/>
      <c r="F367" s="14"/>
      <c r="J367" s="15"/>
      <c r="K367" s="15"/>
      <c r="L367" s="16"/>
      <c r="M367" s="16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</row>
    <row r="368" spans="1:31" x14ac:dyDescent="0.25">
      <c r="A368" s="26"/>
      <c r="B368" s="14"/>
      <c r="C368" s="14"/>
      <c r="F368" s="14"/>
    </row>
    <row r="369" spans="1:18" x14ac:dyDescent="0.25">
      <c r="A369" s="26"/>
      <c r="B369" s="14"/>
      <c r="C369" s="14"/>
      <c r="F369" s="14"/>
    </row>
    <row r="370" spans="1:18" x14ac:dyDescent="0.25">
      <c r="A370" s="26"/>
      <c r="B370" s="14"/>
      <c r="C370" s="14"/>
      <c r="F370" s="14"/>
    </row>
    <row r="371" spans="1:18" x14ac:dyDescent="0.25">
      <c r="A371" s="26"/>
      <c r="B371" s="14"/>
      <c r="C371" s="14"/>
      <c r="F371" s="14"/>
    </row>
    <row r="372" spans="1:18" x14ac:dyDescent="0.25">
      <c r="A372" s="26"/>
      <c r="B372" s="14"/>
      <c r="C372" s="14"/>
      <c r="F372" s="14"/>
    </row>
    <row r="373" spans="1:18" x14ac:dyDescent="0.25">
      <c r="A373" s="26"/>
      <c r="B373" s="14"/>
      <c r="C373" s="14"/>
      <c r="F373" s="14"/>
    </row>
    <row r="374" spans="1:18" x14ac:dyDescent="0.25">
      <c r="A374" s="26"/>
      <c r="B374" s="14"/>
      <c r="C374" s="14"/>
      <c r="F374" s="14"/>
    </row>
    <row r="375" spans="1:18" x14ac:dyDescent="0.25">
      <c r="A375" s="26"/>
      <c r="B375" s="14"/>
      <c r="C375" s="14"/>
      <c r="F375" s="14"/>
    </row>
    <row r="376" spans="1:18" x14ac:dyDescent="0.25">
      <c r="A376" s="26"/>
      <c r="B376" s="14"/>
      <c r="C376" s="14"/>
      <c r="F376" s="14"/>
    </row>
    <row r="377" spans="1:18" x14ac:dyDescent="0.25">
      <c r="A377" s="26"/>
      <c r="B377" s="14"/>
      <c r="C377" s="14"/>
      <c r="F377" s="14"/>
    </row>
    <row r="378" spans="1:18" x14ac:dyDescent="0.25">
      <c r="A378" s="26"/>
      <c r="B378" s="14"/>
      <c r="C378" s="14"/>
      <c r="D378" s="27"/>
      <c r="E378" s="27"/>
      <c r="F378" s="14"/>
      <c r="G378" s="27"/>
      <c r="H378" s="27"/>
      <c r="I378" s="27"/>
      <c r="J378" s="14"/>
      <c r="K378" s="14"/>
      <c r="L378" s="23"/>
      <c r="M378" s="23"/>
      <c r="N378" s="14"/>
      <c r="O378" s="14"/>
      <c r="P378" s="14"/>
      <c r="Q378" s="14"/>
      <c r="R378" s="14"/>
    </row>
    <row r="379" spans="1:18" x14ac:dyDescent="0.25">
      <c r="A379" s="26"/>
      <c r="B379" s="14"/>
      <c r="C379" s="14"/>
      <c r="D379" s="27"/>
      <c r="E379" s="27"/>
      <c r="F379" s="14"/>
      <c r="G379" s="27"/>
      <c r="H379" s="27"/>
      <c r="I379" s="27"/>
      <c r="J379" s="14"/>
      <c r="K379" s="14"/>
      <c r="L379" s="23"/>
      <c r="M379" s="23"/>
      <c r="N379" s="14"/>
      <c r="O379" s="14"/>
      <c r="P379" s="14"/>
      <c r="Q379" s="14"/>
      <c r="R379" s="14"/>
    </row>
    <row r="380" spans="1:18" x14ac:dyDescent="0.25">
      <c r="A380" s="26"/>
      <c r="B380" s="14"/>
      <c r="C380" s="14"/>
      <c r="F380" s="14"/>
    </row>
    <row r="381" spans="1:18" x14ac:dyDescent="0.25">
      <c r="A381" s="26"/>
      <c r="B381" s="14"/>
      <c r="C381" s="14"/>
      <c r="D381" s="27"/>
      <c r="E381" s="27"/>
      <c r="F381" s="14"/>
      <c r="G381" s="27"/>
      <c r="H381" s="27"/>
      <c r="I381" s="27"/>
      <c r="J381" s="14"/>
      <c r="K381" s="14"/>
      <c r="L381" s="23"/>
      <c r="M381" s="23"/>
      <c r="N381" s="14"/>
      <c r="O381" s="14"/>
    </row>
    <row r="382" spans="1:18" x14ac:dyDescent="0.25">
      <c r="A382" s="26"/>
      <c r="B382" s="14"/>
      <c r="C382" s="14"/>
      <c r="D382" s="27"/>
      <c r="E382" s="27"/>
      <c r="F382" s="14"/>
      <c r="G382" s="27"/>
      <c r="H382" s="27"/>
      <c r="I382" s="27"/>
      <c r="J382" s="14"/>
      <c r="K382" s="14"/>
      <c r="L382" s="23"/>
      <c r="M382" s="23"/>
      <c r="N382" s="14"/>
      <c r="O382" s="14"/>
    </row>
    <row r="383" spans="1:18" x14ac:dyDescent="0.25">
      <c r="A383" s="26"/>
      <c r="B383" s="14"/>
      <c r="C383" s="14"/>
      <c r="D383" s="27"/>
      <c r="E383" s="27"/>
      <c r="F383" s="14"/>
      <c r="G383" s="27"/>
      <c r="H383" s="27"/>
      <c r="I383" s="27"/>
      <c r="J383" s="14"/>
      <c r="K383" s="14"/>
      <c r="L383" s="23"/>
      <c r="M383" s="23"/>
      <c r="N383" s="14"/>
      <c r="O383" s="14"/>
      <c r="P383" s="14"/>
      <c r="Q383" s="14"/>
      <c r="R383" s="14"/>
    </row>
    <row r="384" spans="1:18" x14ac:dyDescent="0.25">
      <c r="A384" s="26"/>
      <c r="B384" s="14"/>
      <c r="C384" s="14"/>
      <c r="D384" s="27"/>
      <c r="E384" s="27"/>
      <c r="F384" s="14"/>
      <c r="G384" s="27"/>
      <c r="H384" s="27"/>
      <c r="I384" s="27"/>
      <c r="J384" s="14"/>
      <c r="K384" s="14"/>
      <c r="L384" s="23"/>
      <c r="M384" s="23"/>
      <c r="N384" s="14"/>
      <c r="O384" s="14"/>
      <c r="P384" s="14"/>
      <c r="Q384" s="14"/>
      <c r="R384" s="14"/>
    </row>
    <row r="385" spans="1:31" x14ac:dyDescent="0.25">
      <c r="A385" s="26"/>
      <c r="B385" s="14"/>
      <c r="C385" s="14"/>
      <c r="D385" s="27"/>
      <c r="E385" s="27"/>
      <c r="F385" s="14"/>
      <c r="G385" s="27"/>
      <c r="H385" s="27"/>
      <c r="I385" s="27"/>
      <c r="J385" s="14"/>
      <c r="K385" s="14"/>
      <c r="L385" s="23"/>
      <c r="M385" s="23"/>
      <c r="N385" s="14"/>
      <c r="O385" s="14"/>
      <c r="P385" s="14"/>
      <c r="Q385" s="14"/>
      <c r="R385" s="14"/>
    </row>
    <row r="386" spans="1:31" x14ac:dyDescent="0.25">
      <c r="A386" s="26"/>
      <c r="B386" s="14"/>
      <c r="C386" s="14"/>
      <c r="D386" s="27"/>
      <c r="E386" s="27"/>
      <c r="F386" s="14"/>
      <c r="G386" s="27"/>
      <c r="H386" s="27"/>
      <c r="I386" s="27"/>
      <c r="J386" s="14"/>
      <c r="K386" s="14"/>
      <c r="L386" s="23"/>
      <c r="M386" s="23"/>
      <c r="N386" s="14"/>
      <c r="O386" s="14"/>
      <c r="P386" s="14"/>
      <c r="Q386" s="14"/>
      <c r="R386" s="14"/>
    </row>
    <row r="387" spans="1:31" x14ac:dyDescent="0.25">
      <c r="A387" s="26"/>
      <c r="B387" s="14"/>
      <c r="C387" s="14"/>
      <c r="F387" s="14"/>
    </row>
    <row r="388" spans="1:31" x14ac:dyDescent="0.25">
      <c r="A388" s="26"/>
      <c r="B388" s="14"/>
      <c r="C388" s="14"/>
      <c r="F388" s="14"/>
      <c r="K388" s="14"/>
      <c r="L388" s="23"/>
      <c r="M388" s="23"/>
      <c r="N388" s="14"/>
      <c r="O388" s="14"/>
      <c r="P388" s="14"/>
      <c r="Q388" s="14"/>
      <c r="R388" s="14"/>
      <c r="S388" s="14"/>
      <c r="T388" s="14"/>
      <c r="U388" s="14"/>
    </row>
    <row r="389" spans="1:31" x14ac:dyDescent="0.25">
      <c r="A389" s="26"/>
      <c r="B389" s="14"/>
      <c r="C389" s="14"/>
      <c r="F389" s="14"/>
      <c r="K389" s="14"/>
      <c r="L389" s="23"/>
      <c r="M389" s="23"/>
      <c r="N389" s="14"/>
      <c r="O389" s="14"/>
      <c r="P389" s="14"/>
      <c r="Q389" s="14"/>
      <c r="R389" s="14"/>
      <c r="S389" s="14"/>
      <c r="T389" s="14"/>
      <c r="U389" s="14"/>
    </row>
    <row r="390" spans="1:31" x14ac:dyDescent="0.25">
      <c r="A390" s="26"/>
      <c r="B390" s="14"/>
      <c r="C390" s="14"/>
      <c r="F390" s="14"/>
      <c r="K390" s="14"/>
      <c r="L390" s="23"/>
      <c r="M390" s="23"/>
      <c r="N390" s="14"/>
      <c r="O390" s="14"/>
      <c r="P390" s="14"/>
      <c r="Q390" s="14"/>
      <c r="R390" s="14"/>
      <c r="S390" s="14"/>
      <c r="T390" s="14"/>
      <c r="U390" s="14"/>
    </row>
    <row r="391" spans="1:31" x14ac:dyDescent="0.25">
      <c r="A391" s="26"/>
      <c r="B391" s="14"/>
      <c r="C391" s="14"/>
      <c r="F391" s="14"/>
      <c r="K391" s="14"/>
      <c r="L391" s="23"/>
      <c r="M391" s="23"/>
      <c r="N391" s="14"/>
      <c r="O391" s="14"/>
      <c r="P391" s="14"/>
      <c r="Q391" s="14"/>
      <c r="R391" s="14"/>
      <c r="S391" s="14"/>
      <c r="T391" s="14"/>
      <c r="U391" s="14"/>
    </row>
    <row r="392" spans="1:31" x14ac:dyDescent="0.25">
      <c r="A392" s="26"/>
      <c r="B392" s="14"/>
      <c r="C392" s="14"/>
      <c r="F392" s="14"/>
    </row>
    <row r="393" spans="1:31" x14ac:dyDescent="0.25">
      <c r="A393" s="26"/>
      <c r="B393" s="14"/>
      <c r="C393" s="14"/>
      <c r="F393" s="14"/>
    </row>
    <row r="394" spans="1:31" x14ac:dyDescent="0.25">
      <c r="A394" s="26"/>
      <c r="B394" s="14"/>
      <c r="C394" s="14"/>
      <c r="F394" s="14"/>
    </row>
    <row r="395" spans="1:31" x14ac:dyDescent="0.25">
      <c r="A395" s="26"/>
      <c r="B395" s="14"/>
      <c r="C395" s="14"/>
      <c r="F395" s="14"/>
    </row>
    <row r="396" spans="1:31" x14ac:dyDescent="0.25">
      <c r="A396" s="26"/>
      <c r="B396" s="14"/>
      <c r="C396" s="14"/>
      <c r="F396" s="14"/>
    </row>
    <row r="397" spans="1:31" x14ac:dyDescent="0.25">
      <c r="A397" s="26"/>
      <c r="B397" s="14"/>
      <c r="C397" s="14"/>
      <c r="F397" s="14"/>
    </row>
    <row r="398" spans="1:31" x14ac:dyDescent="0.25">
      <c r="A398" s="26"/>
      <c r="B398" s="14"/>
      <c r="C398" s="14"/>
      <c r="F398" s="14"/>
    </row>
    <row r="399" spans="1:31" x14ac:dyDescent="0.25">
      <c r="A399" s="26"/>
      <c r="B399" s="14"/>
      <c r="C399" s="14"/>
      <c r="F399" s="14"/>
    </row>
    <row r="400" spans="1:31" s="30" customFormat="1" x14ac:dyDescent="0.25">
      <c r="A400" s="26"/>
      <c r="B400" s="14"/>
      <c r="C400" s="14"/>
      <c r="F400" s="14"/>
      <c r="J400" s="15"/>
      <c r="K400" s="15"/>
      <c r="L400" s="16"/>
      <c r="M400" s="16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</row>
    <row r="401" spans="1:31" s="30" customFormat="1" x14ac:dyDescent="0.25">
      <c r="A401" s="26"/>
      <c r="B401" s="14"/>
      <c r="C401" s="14"/>
      <c r="F401" s="14"/>
      <c r="J401" s="15"/>
      <c r="K401" s="15"/>
      <c r="L401" s="16"/>
      <c r="M401" s="16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</row>
    <row r="402" spans="1:31" s="30" customFormat="1" x14ac:dyDescent="0.25">
      <c r="A402" s="26"/>
      <c r="B402" s="14"/>
      <c r="C402" s="14"/>
      <c r="F402" s="14"/>
      <c r="J402" s="15"/>
      <c r="K402" s="15"/>
      <c r="L402" s="16"/>
      <c r="M402" s="16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</row>
    <row r="403" spans="1:31" s="30" customFormat="1" x14ac:dyDescent="0.25">
      <c r="A403" s="26"/>
      <c r="B403" s="14"/>
      <c r="C403" s="14"/>
      <c r="F403" s="14"/>
      <c r="J403" s="15"/>
      <c r="K403" s="15"/>
      <c r="L403" s="16"/>
      <c r="M403" s="16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</row>
    <row r="404" spans="1:31" s="30" customFormat="1" x14ac:dyDescent="0.25">
      <c r="A404" s="26"/>
      <c r="B404" s="14"/>
      <c r="C404" s="14"/>
      <c r="F404" s="14"/>
      <c r="J404" s="15"/>
      <c r="K404" s="15"/>
      <c r="L404" s="16"/>
      <c r="M404" s="16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</row>
    <row r="405" spans="1:31" s="30" customFormat="1" x14ac:dyDescent="0.25">
      <c r="A405" s="26"/>
      <c r="B405" s="14"/>
      <c r="C405" s="14"/>
      <c r="F405" s="14"/>
      <c r="J405" s="15"/>
      <c r="K405" s="15"/>
      <c r="L405" s="16"/>
      <c r="M405" s="16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</row>
    <row r="406" spans="1:31" s="30" customFormat="1" x14ac:dyDescent="0.25">
      <c r="A406" s="26"/>
      <c r="B406" s="14"/>
      <c r="C406" s="14"/>
      <c r="F406" s="14"/>
      <c r="J406" s="15"/>
      <c r="K406" s="15"/>
      <c r="L406" s="16"/>
      <c r="M406" s="16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</row>
    <row r="407" spans="1:31" s="30" customFormat="1" x14ac:dyDescent="0.25">
      <c r="A407" s="26"/>
      <c r="B407" s="14"/>
      <c r="C407" s="14"/>
      <c r="F407" s="14"/>
      <c r="J407" s="15"/>
      <c r="K407" s="15"/>
      <c r="L407" s="16"/>
      <c r="M407" s="16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</row>
    <row r="408" spans="1:31" s="30" customFormat="1" x14ac:dyDescent="0.25">
      <c r="A408" s="26"/>
      <c r="B408" s="14"/>
      <c r="C408" s="14"/>
      <c r="F408" s="14"/>
      <c r="J408" s="15"/>
      <c r="K408" s="15"/>
      <c r="L408" s="16"/>
      <c r="M408" s="16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</row>
    <row r="409" spans="1:31" s="30" customFormat="1" x14ac:dyDescent="0.25">
      <c r="A409" s="26"/>
      <c r="B409" s="14"/>
      <c r="C409" s="14"/>
      <c r="F409" s="14"/>
      <c r="J409" s="15"/>
      <c r="K409" s="15"/>
      <c r="L409" s="16"/>
      <c r="M409" s="16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</row>
    <row r="410" spans="1:31" s="30" customFormat="1" x14ac:dyDescent="0.25">
      <c r="A410" s="26"/>
      <c r="B410" s="14"/>
      <c r="C410" s="14"/>
      <c r="F410" s="14"/>
      <c r="J410" s="15"/>
      <c r="K410" s="15"/>
      <c r="L410" s="16"/>
      <c r="M410" s="16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</row>
    <row r="411" spans="1:31" s="30" customFormat="1" x14ac:dyDescent="0.25">
      <c r="A411" s="26"/>
      <c r="B411" s="14"/>
      <c r="C411" s="14"/>
      <c r="F411" s="14"/>
      <c r="J411" s="15"/>
      <c r="K411" s="15"/>
      <c r="L411" s="16"/>
      <c r="M411" s="16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</row>
    <row r="412" spans="1:31" s="30" customFormat="1" x14ac:dyDescent="0.25">
      <c r="A412" s="26"/>
      <c r="B412" s="14"/>
      <c r="C412" s="14"/>
      <c r="F412" s="14"/>
      <c r="J412" s="15"/>
      <c r="K412" s="15"/>
      <c r="L412" s="16"/>
      <c r="M412" s="16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</row>
    <row r="413" spans="1:31" s="30" customFormat="1" x14ac:dyDescent="0.25">
      <c r="A413" s="26"/>
      <c r="B413" s="14"/>
      <c r="C413" s="14"/>
      <c r="F413" s="14"/>
      <c r="J413" s="15"/>
      <c r="K413" s="15"/>
      <c r="L413" s="16"/>
      <c r="M413" s="16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</row>
    <row r="414" spans="1:31" s="30" customFormat="1" x14ac:dyDescent="0.25">
      <c r="A414" s="26"/>
      <c r="B414" s="14"/>
      <c r="C414" s="14"/>
      <c r="F414" s="14"/>
      <c r="J414" s="15"/>
      <c r="K414" s="15"/>
      <c r="L414" s="16"/>
      <c r="M414" s="16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</row>
    <row r="415" spans="1:31" s="30" customFormat="1" x14ac:dyDescent="0.25">
      <c r="A415" s="26"/>
      <c r="B415" s="14"/>
      <c r="C415" s="14"/>
      <c r="F415" s="14"/>
      <c r="J415" s="15"/>
      <c r="K415" s="15"/>
      <c r="L415" s="16"/>
      <c r="M415" s="16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</row>
    <row r="416" spans="1:31" s="30" customFormat="1" x14ac:dyDescent="0.25">
      <c r="A416" s="26"/>
      <c r="B416" s="14"/>
      <c r="C416" s="14"/>
      <c r="F416" s="14"/>
      <c r="J416" s="15"/>
      <c r="K416" s="15"/>
      <c r="L416" s="16"/>
      <c r="M416" s="16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</row>
    <row r="417" spans="1:31" s="30" customFormat="1" x14ac:dyDescent="0.25">
      <c r="A417" s="33"/>
      <c r="B417" s="14"/>
      <c r="C417" s="14"/>
      <c r="F417" s="14"/>
      <c r="J417" s="15"/>
      <c r="K417" s="15"/>
      <c r="L417" s="16"/>
      <c r="M417" s="16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</row>
  </sheetData>
  <autoFilter ref="A1:J91" xr:uid="{50D0BD45-CBF4-4D62-8839-8FDE8841DB57}"/>
  <conditionalFormatting sqref="B1:C1 F1">
    <cfRule type="duplicateValues" dxfId="4" priority="4"/>
  </conditionalFormatting>
  <conditionalFormatting sqref="F2:F82 F84:F85">
    <cfRule type="duplicateValues" dxfId="3" priority="7"/>
  </conditionalFormatting>
  <conditionalFormatting sqref="F86:F1048576 F83 F1">
    <cfRule type="duplicateValues" dxfId="2" priority="8"/>
    <cfRule type="duplicateValues" dxfId="1" priority="9"/>
  </conditionalFormatting>
  <conditionalFormatting sqref="F418:F1048576">
    <cfRule type="duplicateValues" dxfId="0" priority="6"/>
  </conditionalFormatting>
  <conditionalFormatting sqref="E94 I94">
    <cfRule type="colorScale" priority="1">
      <colorScale>
        <cfvo type="min"/>
        <cfvo type="max"/>
        <color theme="9" tint="0.79998168889431442"/>
        <color rgb="FFFF0000"/>
      </colorScale>
    </cfRule>
  </conditionalFormatting>
  <pageMargins left="0.70866141732283472" right="0.70866141732283472" top="0.74803149606299213" bottom="0.74803149606299213" header="0.31496062992125984" footer="0.31496062992125984"/>
  <pageSetup paperSize="8" scale="28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rekapitulacija 09.10.2026.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Božićević</dc:creator>
  <cp:lastModifiedBy>Fran Švarc</cp:lastModifiedBy>
  <dcterms:created xsi:type="dcterms:W3CDTF">2026-10-12T10:49:41Z</dcterms:created>
  <dcterms:modified xsi:type="dcterms:W3CDTF">2026-10-26T15:38:31Z</dcterms:modified>
</cp:coreProperties>
</file>