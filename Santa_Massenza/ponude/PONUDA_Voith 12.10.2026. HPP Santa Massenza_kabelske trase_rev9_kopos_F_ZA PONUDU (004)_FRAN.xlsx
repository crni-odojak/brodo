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Božićević\Desktop\PROJEKTI\HPP Santa Massenza\Kabelske trase\"/>
    </mc:Choice>
  </mc:AlternateContent>
  <xr:revisionPtr revIDLastSave="0" documentId="8_{1DA035F3-6C7C-4AAF-9B19-F0AB68CE5835}" xr6:coauthVersionLast="47" xr6:coauthVersionMax="47" xr10:uidLastSave="{00000000-0000-0000-0000-000000000000}"/>
  <bookViews>
    <workbookView xWindow="-76920" yWindow="1140" windowWidth="38640" windowHeight="21120" xr2:uid="{86DAE7CE-0F29-42DC-9CD2-BE2C15F493A4}"/>
  </bookViews>
  <sheets>
    <sheet name="rekapitulacija 09.10.2026.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123Graph_X" hidden="1">'[1]données météo'!#REF!</definedName>
    <definedName name="__123Graph_XBARLEDU" hidden="1">'[1]données météo'!#REF!</definedName>
    <definedName name="__IntlFixup" hidden="1">TRUE</definedName>
    <definedName name="__IntlFixupTable" hidden="1">'[2]Int. Data Table'!$A$3:$AB$10</definedName>
    <definedName name="_Fill" hidden="1">'[3]Tableau général'!#REF!</definedName>
    <definedName name="_xlnm._FilterDatabase" localSheetId="0" hidden="1">'rekapitulacija 09.10.2026.'!$A$1:$J$91</definedName>
    <definedName name="_Key1" hidden="1">'[3]Tableau général'!#REF!</definedName>
    <definedName name="_Key2" hidden="1">'[3]Tableau général'!#REF!</definedName>
    <definedName name="_Order1" hidden="1">255</definedName>
    <definedName name="_Order2" hidden="1">255</definedName>
    <definedName name="_Sort" hidden="1">'[3]Tableau général'!#REF!</definedName>
    <definedName name="Bible">#REF!</definedName>
    <definedName name="BLOC">#REF!</definedName>
    <definedName name="coef">#REF!</definedName>
    <definedName name="Coût_recettes">#REF!</definedName>
    <definedName name="d">#REF!</definedName>
    <definedName name="divers">#REF!</definedName>
    <definedName name="e">#REF!</definedName>
    <definedName name="EPL_HEADER">#REF!</definedName>
    <definedName name="EPL_VALUES">#REF!</definedName>
    <definedName name="eur">#REF!</definedName>
    <definedName name="eurinr">[4]Transport!$D$28</definedName>
    <definedName name="eurkn">[5]Transport!$D$27</definedName>
    <definedName name="eurmkd">[4]Transport!#REF!</definedName>
    <definedName name="euro">#REF!</definedName>
    <definedName name="eurokn">#REF!</definedName>
    <definedName name="euromkd">#REF!</definedName>
    <definedName name="ew">#REF!</definedName>
    <definedName name="fac">#REF!</definedName>
    <definedName name="_xlnm.Print_Titles" localSheetId="0">'rekapitulacija 09.10.2026.'!#REF!</definedName>
    <definedName name="listeStatut">#N/A</definedName>
    <definedName name="range1">[6]Sheet1!$M$3:$M$11</definedName>
    <definedName name="range2">[6]Sheet1!$N$3:$N$11</definedName>
    <definedName name="range3">[6]Sheet1!$O$3:$O$11</definedName>
    <definedName name="range4">[6]Sheet1!$P$3:$P$11</definedName>
    <definedName name="tauxM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1" i="1" l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5" i="1"/>
  <c r="M34" i="1"/>
  <c r="M33" i="1"/>
  <c r="M32" i="1"/>
  <c r="M31" i="1"/>
  <c r="M30" i="1"/>
  <c r="M29" i="1"/>
  <c r="M28" i="1"/>
  <c r="M27" i="1"/>
  <c r="M25" i="1"/>
  <c r="M24" i="1"/>
  <c r="M23" i="1"/>
  <c r="M22" i="1"/>
  <c r="M21" i="1"/>
  <c r="M20" i="1"/>
  <c r="M19" i="1"/>
  <c r="M18" i="1"/>
  <c r="M17" i="1"/>
  <c r="M13" i="1"/>
  <c r="M12" i="1"/>
  <c r="M11" i="1"/>
  <c r="M8" i="1"/>
  <c r="M7" i="1"/>
  <c r="M6" i="1"/>
  <c r="M5" i="1"/>
  <c r="M4" i="1"/>
  <c r="M3" i="1"/>
  <c r="M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H74" i="1" s="1"/>
  <c r="F73" i="1"/>
  <c r="H73" i="1" s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H55" i="1" s="1"/>
  <c r="F54" i="1"/>
  <c r="H54" i="1" s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H33" i="1" s="1"/>
  <c r="F32" i="1"/>
  <c r="F31" i="1"/>
  <c r="H31" i="1" s="1"/>
  <c r="F30" i="1"/>
  <c r="F29" i="1"/>
  <c r="H29" i="1" s="1"/>
  <c r="F28" i="1"/>
  <c r="F27" i="1"/>
  <c r="F26" i="1"/>
  <c r="F25" i="1"/>
  <c r="H25" i="1" s="1"/>
  <c r="F24" i="1"/>
  <c r="F23" i="1"/>
  <c r="F22" i="1"/>
  <c r="F21" i="1"/>
  <c r="F20" i="1"/>
  <c r="H20" i="1" s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H4" i="1" s="1"/>
  <c r="F3" i="1"/>
  <c r="F2" i="1"/>
  <c r="H2" i="1" s="1"/>
  <c r="M93" i="1" l="1"/>
</calcChain>
</file>

<file path=xl/sharedStrings.xml><?xml version="1.0" encoding="utf-8"?>
<sst xmlns="http://schemas.openxmlformats.org/spreadsheetml/2006/main" count="353" uniqueCount="232">
  <si>
    <t>Naziv elementa</t>
  </si>
  <si>
    <t>Element</t>
  </si>
  <si>
    <t>Oznaka elementa</t>
  </si>
  <si>
    <t>količina (kom)</t>
  </si>
  <si>
    <t>Spare</t>
  </si>
  <si>
    <t>Ukupno</t>
  </si>
  <si>
    <t>količina</t>
  </si>
  <si>
    <t>Ukupno [m]</t>
  </si>
  <si>
    <t>Neperforirana trasa 250</t>
  </si>
  <si>
    <t>NIXKZN 100X250_IX</t>
  </si>
  <si>
    <t>8595057677463</t>
  </si>
  <si>
    <t>1kom=2m</t>
  </si>
  <si>
    <t>korigirano</t>
  </si>
  <si>
    <t>spojnica trasa</t>
  </si>
  <si>
    <t>NIXS 100_IX</t>
  </si>
  <si>
    <t>8595057672062</t>
  </si>
  <si>
    <t>poklopac trase</t>
  </si>
  <si>
    <t>NIXV 250_IX</t>
  </si>
  <si>
    <t>8595057673717</t>
  </si>
  <si>
    <t>držač poklopca trase</t>
  </si>
  <si>
    <t>NIXUV_IX</t>
  </si>
  <si>
    <t>8595057673663</t>
  </si>
  <si>
    <t>zglobna spojnica (gore/dolje) - prolagodljiva</t>
  </si>
  <si>
    <t>INOXSK 100_IX</t>
  </si>
  <si>
    <t>8595568930569</t>
  </si>
  <si>
    <t>kutna spojnica 90° od komada (gore/dolje) - uzlazna</t>
  </si>
  <si>
    <t>NIXSO 90X100X250_IX</t>
  </si>
  <si>
    <t>8595057672222</t>
  </si>
  <si>
    <t>poklopac za kutnu spojnicu 90° od komada - uzlazna</t>
  </si>
  <si>
    <t>NIXVSO 90X250_IX</t>
  </si>
  <si>
    <t>8595568904737</t>
  </si>
  <si>
    <t>kutna spojnica 90° od komada (gore/dolje) - silazna</t>
  </si>
  <si>
    <t>NIXKO 90X100X250_IX</t>
  </si>
  <si>
    <t>8595057670204</t>
  </si>
  <si>
    <t>poklopac za kutnu spojnicu 90° od komada - silazna</t>
  </si>
  <si>
    <t>NIXVKO 90X100X250_IX</t>
  </si>
  <si>
    <t>8595057673793</t>
  </si>
  <si>
    <t>kutna spojnica 90° (lijevo/desno) - prilagodljiva</t>
  </si>
  <si>
    <t>NIXSUK 100_IX</t>
  </si>
  <si>
    <t>8595057672642</t>
  </si>
  <si>
    <t>kutna spojnica 90° (lijevo/desno)</t>
  </si>
  <si>
    <t>NIXO 90X100X250_IX</t>
  </si>
  <si>
    <t>8595057671485</t>
  </si>
  <si>
    <t>poklopac za kutnu spojnicu 90°</t>
  </si>
  <si>
    <t>NIXVO 90X250_IX</t>
  </si>
  <si>
    <t>8595057674578</t>
  </si>
  <si>
    <t>T spojnica</t>
  </si>
  <si>
    <t>NIXT 100X250_IX</t>
  </si>
  <si>
    <t>8595057672772</t>
  </si>
  <si>
    <t>poklopac za T-spojnicu</t>
  </si>
  <si>
    <t>NIXVT 250_IX</t>
  </si>
  <si>
    <t>8595057674967</t>
  </si>
  <si>
    <t>pregrada kabela (energ/signal)</t>
  </si>
  <si>
    <t>NIXPZ 100_IX</t>
  </si>
  <si>
    <t>8595057671959</t>
  </si>
  <si>
    <t>završna kapa na kanalicu (sljepi dio)</t>
  </si>
  <si>
    <t>NIXK 100X250_IX</t>
  </si>
  <si>
    <t>8595057669963</t>
  </si>
  <si>
    <t>konzola l=250mm</t>
  </si>
  <si>
    <t>INOXDS 250_IX</t>
  </si>
  <si>
    <t xml:space="preserve">	8595568940759</t>
  </si>
  <si>
    <t>sidreni vijak za beton M10</t>
  </si>
  <si>
    <t>INOXKPO 10X95_IX</t>
  </si>
  <si>
    <t>C šina</t>
  </si>
  <si>
    <t>INOXMP 41X21_IX</t>
  </si>
  <si>
    <t>1kom=1m</t>
  </si>
  <si>
    <t>sidreni vijak za beton M6</t>
  </si>
  <si>
    <t>INOXKPO 6X70_IX</t>
  </si>
  <si>
    <t>podloška M6 - široka</t>
  </si>
  <si>
    <t>INOXPVL 6_IX</t>
  </si>
  <si>
    <t>klizna matica</t>
  </si>
  <si>
    <t>INOXPM 41 M 10_IX</t>
  </si>
  <si>
    <t>vijak s šesterokutnom glavom</t>
  </si>
  <si>
    <t>INOXS 10X20_IX</t>
  </si>
  <si>
    <t>navojna šipka</t>
  </si>
  <si>
    <t>INOXZT 10_IX</t>
  </si>
  <si>
    <t>8595057642683</t>
  </si>
  <si>
    <t>M10 tipla na beton</t>
  </si>
  <si>
    <t>INOXKPOZ 10_IX</t>
  </si>
  <si>
    <t>8595568905901</t>
  </si>
  <si>
    <t>podloške M10</t>
  </si>
  <si>
    <t>INOXPD 10_IX</t>
  </si>
  <si>
    <t>8595057642720</t>
  </si>
  <si>
    <t>NIXKZN 100X250_IX-3mm</t>
  </si>
  <si>
    <t>3mm</t>
  </si>
  <si>
    <t>C šina - iznutra INOX kanalice</t>
  </si>
  <si>
    <t>INOXNP 250_IX</t>
  </si>
  <si>
    <t>????</t>
  </si>
  <si>
    <t>matica M10</t>
  </si>
  <si>
    <t>INOXM 10_IX</t>
  </si>
  <si>
    <t>Perforirana trasa 300 s spojnicom</t>
  </si>
  <si>
    <t>KZI 60X300X1.00_F</t>
  </si>
  <si>
    <t>8595057696648</t>
  </si>
  <si>
    <t>1kom=3m</t>
  </si>
  <si>
    <t>KSBS 100_POF</t>
  </si>
  <si>
    <t>8595057665767</t>
  </si>
  <si>
    <t>V 300_F</t>
  </si>
  <si>
    <t>8595057656239</t>
  </si>
  <si>
    <t>VU_GMT</t>
  </si>
  <si>
    <t>8595057629448</t>
  </si>
  <si>
    <t>SK 60_ZM</t>
  </si>
  <si>
    <t>8595568938060</t>
  </si>
  <si>
    <t>SO 90X60X300_F</t>
  </si>
  <si>
    <t>8595057662865</t>
  </si>
  <si>
    <t>VSO 90X300_F</t>
  </si>
  <si>
    <t>8595057659704</t>
  </si>
  <si>
    <t>KO 90X60X300_F</t>
  </si>
  <si>
    <t>8595057663985</t>
  </si>
  <si>
    <t>VKO 90X60X300_F</t>
  </si>
  <si>
    <t>8595057660014</t>
  </si>
  <si>
    <t>SSU 60_ZM</t>
  </si>
  <si>
    <t>8595568938084</t>
  </si>
  <si>
    <t>O 90X60X300_F</t>
  </si>
  <si>
    <t>8595057658844</t>
  </si>
  <si>
    <t>VO 90X300_F</t>
  </si>
  <si>
    <t>8595057659421</t>
  </si>
  <si>
    <t>T 60X300_F</t>
  </si>
  <si>
    <t>8595057663640</t>
  </si>
  <si>
    <t>VT 300_F</t>
  </si>
  <si>
    <t>8595057659780</t>
  </si>
  <si>
    <t>K-R 60X300_ZM</t>
  </si>
  <si>
    <t>8595568939012</t>
  </si>
  <si>
    <t>reducir 300-200mm</t>
  </si>
  <si>
    <t>K-R 60X100_ZM</t>
  </si>
  <si>
    <t>8595568938961</t>
  </si>
  <si>
    <t>konzola l=300mm</t>
  </si>
  <si>
    <t>DTN 300_F</t>
  </si>
  <si>
    <t>sidreni vijak za beton</t>
  </si>
  <si>
    <t>KPO 10X95_POGMT</t>
  </si>
  <si>
    <t>MP 41X41X2.5-3P_F3</t>
  </si>
  <si>
    <t>KPO 8X77_POGMT</t>
  </si>
  <si>
    <t>podloška - široka</t>
  </si>
  <si>
    <t>PVL 8_GMT</t>
  </si>
  <si>
    <t>PM 41 M 10_GMT</t>
  </si>
  <si>
    <t>S 10X20_GMT</t>
  </si>
  <si>
    <t>Perforirana trasa 200 s spojnicom</t>
  </si>
  <si>
    <t>KZI 60X200X1.00_F</t>
  </si>
  <si>
    <t>8595057696617</t>
  </si>
  <si>
    <t>V 200_F</t>
  </si>
  <si>
    <t>8595057656222</t>
  </si>
  <si>
    <t>SO 90X60X200_F</t>
  </si>
  <si>
    <t>8595057650695</t>
  </si>
  <si>
    <t>VSO 90X200_F</t>
  </si>
  <si>
    <t>8595057650701</t>
  </si>
  <si>
    <t>KO 90X60X200_F</t>
  </si>
  <si>
    <t>8595057650725</t>
  </si>
  <si>
    <t>VKO 90X60X200_F</t>
  </si>
  <si>
    <t>8595057650749</t>
  </si>
  <si>
    <t>O 90X60X200_F</t>
  </si>
  <si>
    <t>8595057650848</t>
  </si>
  <si>
    <t>VO 90X200_F</t>
  </si>
  <si>
    <t>8595057650862</t>
  </si>
  <si>
    <t>T 60X200_F</t>
  </si>
  <si>
    <t>8595057650909</t>
  </si>
  <si>
    <t>VT 200_F</t>
  </si>
  <si>
    <t>8595057650893</t>
  </si>
  <si>
    <t>K-R 60X200_ZM</t>
  </si>
  <si>
    <t>8595568938992</t>
  </si>
  <si>
    <t>konzola l=200mm</t>
  </si>
  <si>
    <t>DTN 200_F</t>
  </si>
  <si>
    <t>stropni nosač 500</t>
  </si>
  <si>
    <t>SPS 500_F</t>
  </si>
  <si>
    <t>glava za C profil</t>
  </si>
  <si>
    <t>HMP 41_F</t>
  </si>
  <si>
    <t>vijak za spoj glave s C šinom</t>
  </si>
  <si>
    <t>S 10X70_GMT</t>
  </si>
  <si>
    <t>8595568929907</t>
  </si>
  <si>
    <t>podloška</t>
  </si>
  <si>
    <t>PD 10_GMT</t>
  </si>
  <si>
    <t>8595568928542</t>
  </si>
  <si>
    <t>Matica</t>
  </si>
  <si>
    <t>ML 10_GMT</t>
  </si>
  <si>
    <t>8595568941213</t>
  </si>
  <si>
    <t>dodatni element za poprečnu C šinu</t>
  </si>
  <si>
    <t>VS 41X31_F</t>
  </si>
  <si>
    <t>8595057633087</t>
  </si>
  <si>
    <t>stropni nosač 300 - INOX</t>
  </si>
  <si>
    <t>SPS 300_F</t>
  </si>
  <si>
    <t>Neperforirana trasa 500</t>
  </si>
  <si>
    <t>KZI 110X500X1.25_F</t>
  </si>
  <si>
    <t>V 500_F</t>
  </si>
  <si>
    <t>SK 110_ZM</t>
  </si>
  <si>
    <t>SSU 110_ZM</t>
  </si>
  <si>
    <t>zidna montaža</t>
  </si>
  <si>
    <t>KLSU_ZM</t>
  </si>
  <si>
    <t>sidreni vijak za beton M8</t>
  </si>
  <si>
    <t>KPO 8X97_POGMT</t>
  </si>
  <si>
    <t>spojni vijci</t>
  </si>
  <si>
    <t>NSM 6X10_GMT</t>
  </si>
  <si>
    <t>spojni vijci INOX</t>
  </si>
  <si>
    <t>NIXSM 6X10_IX</t>
  </si>
  <si>
    <t>zaštitna rubna traka</t>
  </si>
  <si>
    <t>NCH_XX</t>
  </si>
  <si>
    <t>C šina za obujmice</t>
  </si>
  <si>
    <t>NP 30X15X1.20_ZM</t>
  </si>
  <si>
    <t>ako ima u vruće pocinčanoj verziji, molim te ponudi</t>
  </si>
  <si>
    <t>obujmica za kaoflex 10-19</t>
  </si>
  <si>
    <t>PKC1 1200_F</t>
  </si>
  <si>
    <t>obujmica za kaoflex 14-23</t>
  </si>
  <si>
    <t>PKC1 1201_F</t>
  </si>
  <si>
    <t>obujmica za kaoflex 25-34</t>
  </si>
  <si>
    <t>PKC1 1204_F</t>
  </si>
  <si>
    <t>NIXV 250_IX - 3mm</t>
  </si>
  <si>
    <t>3mm pok</t>
  </si>
  <si>
    <t>novo dodano</t>
  </si>
  <si>
    <t>INOXDS 300_IX</t>
  </si>
  <si>
    <t>Perforirana trasa 400 s spojnicom</t>
  </si>
  <si>
    <t>KZI 60X400X1.00_F</t>
  </si>
  <si>
    <t>8595057696662</t>
  </si>
  <si>
    <t>V 400_F</t>
  </si>
  <si>
    <t>8595057656246</t>
  </si>
  <si>
    <t>konzola l=400mm</t>
  </si>
  <si>
    <t>DTN 400_F</t>
  </si>
  <si>
    <t>stropni nosač 1000</t>
  </si>
  <si>
    <t>SPS 1000_F</t>
  </si>
  <si>
    <t>ZADNJE AŽURIRANO 09.10.2026. - 14h!</t>
  </si>
  <si>
    <t>komentar ponuda 20261009</t>
  </si>
  <si>
    <t>lager Češka</t>
  </si>
  <si>
    <t>4-6 tjedana</t>
  </si>
  <si>
    <t>8m lager Češka</t>
  </si>
  <si>
    <t>100 kom lager Češka</t>
  </si>
  <si>
    <t>1 kom lager Češka</t>
  </si>
  <si>
    <t>6 kom lager Češka</t>
  </si>
  <si>
    <t>8 kom lager Češka</t>
  </si>
  <si>
    <t>4-6  tjedana</t>
  </si>
  <si>
    <t>Količina</t>
  </si>
  <si>
    <t>1kom=250mm</t>
  </si>
  <si>
    <t>Ukupno:</t>
  </si>
  <si>
    <t>uključeno u cijenu kanala</t>
  </si>
  <si>
    <t>vruće pocinčano</t>
  </si>
  <si>
    <t>2- tjedna</t>
  </si>
  <si>
    <t>2-3 tjedna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</si>
</sst>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kom&quot;"/>
    <numFmt numFmtId="165" formatCode="0.0\ &quot;m&quot;"/>
    <numFmt numFmtId="166" formatCode="0.0&quot; m&quot;"/>
    <numFmt numFmtId="167" formatCode="0&quot; %&quot;"/>
  </numFmts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1"/>
      <name val="Aptos Narrow"/>
      <family val="2"/>
      <charset val="238"/>
      <scheme val="minor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0" xfId="2"/>
    <xf numFmtId="0" fontId="3" fillId="3" borderId="2" xfId="2" applyFill="1" applyBorder="1" applyAlignment="1">
      <alignment horizontal="center" vertical="center"/>
    </xf>
    <xf numFmtId="166" fontId="3" fillId="0" borderId="2" xfId="2" applyNumberFormat="1" applyBorder="1" applyAlignment="1">
      <alignment horizontal="center" wrapText="1"/>
    </xf>
    <xf numFmtId="49" fontId="3" fillId="0" borderId="2" xfId="2" applyNumberFormat="1" applyBorder="1" applyAlignment="1">
      <alignment horizontal="center" wrapText="1"/>
    </xf>
    <xf numFmtId="164" fontId="3" fillId="0" borderId="2" xfId="2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3" fillId="0" borderId="2" xfId="1" applyNumberFormat="1" applyFont="1" applyFill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center" vertical="center" wrapText="1"/>
    </xf>
    <xf numFmtId="0" fontId="3" fillId="0" borderId="2" xfId="2" applyBorder="1"/>
    <xf numFmtId="0" fontId="3" fillId="4" borderId="0" xfId="2" applyFill="1"/>
    <xf numFmtId="0" fontId="3" fillId="0" borderId="2" xfId="2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 applyAlignment="1">
      <alignment horizontal="center"/>
    </xf>
    <xf numFmtId="0" fontId="4" fillId="0" borderId="2" xfId="2" applyFont="1" applyBorder="1" applyAlignment="1">
      <alignment horizontal="center" vertical="center"/>
    </xf>
    <xf numFmtId="166" fontId="4" fillId="0" borderId="2" xfId="2" applyNumberFormat="1" applyFont="1" applyBorder="1" applyAlignment="1">
      <alignment horizontal="center" wrapText="1"/>
    </xf>
    <xf numFmtId="49" fontId="4" fillId="0" borderId="2" xfId="2" applyNumberFormat="1" applyFont="1" applyBorder="1" applyAlignment="1">
      <alignment horizontal="center" wrapText="1"/>
    </xf>
    <xf numFmtId="1" fontId="4" fillId="0" borderId="2" xfId="2" applyNumberFormat="1" applyFont="1" applyBorder="1" applyAlignment="1">
      <alignment horizontal="center" wrapText="1"/>
    </xf>
    <xf numFmtId="166" fontId="3" fillId="0" borderId="0" xfId="0" applyNumberFormat="1" applyFont="1" applyAlignment="1">
      <alignment horizontal="center" vertical="center"/>
    </xf>
    <xf numFmtId="1" fontId="4" fillId="0" borderId="2" xfId="2" quotePrefix="1" applyNumberFormat="1" applyFont="1" applyBorder="1" applyAlignment="1">
      <alignment horizontal="center" wrapText="1"/>
    </xf>
    <xf numFmtId="165" fontId="3" fillId="4" borderId="2" xfId="1" applyNumberFormat="1" applyFont="1" applyFill="1" applyBorder="1" applyAlignment="1">
      <alignment horizontal="center" vertical="center" wrapText="1"/>
    </xf>
    <xf numFmtId="0" fontId="3" fillId="0" borderId="0" xfId="2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5" borderId="2" xfId="2" applyFill="1" applyBorder="1"/>
    <xf numFmtId="0" fontId="2" fillId="3" borderId="2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6" borderId="0" xfId="0" applyFont="1" applyFill="1" applyAlignment="1">
      <alignment horizontal="center" vertical="center"/>
    </xf>
    <xf numFmtId="165" fontId="3" fillId="0" borderId="0" xfId="2" applyNumberFormat="1" applyAlignment="1">
      <alignment horizontal="center"/>
    </xf>
    <xf numFmtId="166" fontId="3" fillId="0" borderId="0" xfId="2" applyNumberFormat="1"/>
    <xf numFmtId="164" fontId="3" fillId="0" borderId="0" xfId="2" applyNumberFormat="1" applyAlignment="1">
      <alignment horizontal="center" vertical="center"/>
    </xf>
    <xf numFmtId="0" fontId="3" fillId="0" borderId="0" xfId="2" applyAlignment="1">
      <alignment vertical="center"/>
    </xf>
    <xf numFmtId="49" fontId="3" fillId="0" borderId="0" xfId="2" applyNumberFormat="1"/>
    <xf numFmtId="4" fontId="3" fillId="0" borderId="0" xfId="2" applyNumberFormat="1"/>
    <xf numFmtId="4" fontId="0" fillId="0" borderId="0" xfId="0" applyNumberFormat="1"/>
    <xf numFmtId="0" fontId="6" fillId="0" borderId="2" xfId="2" applyFont="1" applyBorder="1"/>
    <xf numFmtId="164" fontId="6" fillId="0" borderId="2" xfId="1" applyNumberFormat="1" applyFont="1" applyFill="1" applyBorder="1" applyAlignment="1">
      <alignment horizontal="center" vertical="center" wrapText="1"/>
    </xf>
    <xf numFmtId="165" fontId="6" fillId="0" borderId="2" xfId="1" applyNumberFormat="1" applyFont="1" applyFill="1" applyBorder="1" applyAlignment="1">
      <alignment horizontal="center" vertical="center" wrapText="1"/>
    </xf>
    <xf numFmtId="9" fontId="0" fillId="0" borderId="0" xfId="3" applyFont="1"/>
    <xf numFmtId="4" fontId="7" fillId="0" borderId="0" xfId="0" applyNumberFormat="1" applyFont="1"/>
    <xf numFmtId="0" fontId="8" fillId="0" borderId="2" xfId="0" applyFont="1" applyBorder="1" applyAlignment="1">
      <alignment horizontal="left"/>
    </xf>
    <xf numFmtId="164" fontId="8" fillId="0" borderId="2" xfId="0" applyNumberFormat="1" applyFont="1" applyBorder="1" applyAlignment="1">
      <alignment horizontal="center"/>
    </xf>
    <xf numFmtId="0" fontId="3" fillId="0" borderId="2" xfId="2" applyBorder="1" applyAlignment="1">
      <alignment wrapText="1"/>
    </xf>
    <xf numFmtId="165" fontId="8" fillId="0" borderId="2" xfId="0" applyNumberFormat="1" applyFont="1" applyBorder="1" applyAlignment="1">
      <alignment horizontal="center"/>
    </xf>
  </cellXfs>
  <cellStyles count="4">
    <cellStyle name="40% - Isticanje5" xfId="1" builtinId="47"/>
    <cellStyle name="Normalno" xfId="0" builtinId="0"/>
    <cellStyle name="Normalno 2 2" xfId="2" xr:uid="{8752311C-3EAA-4205-9863-8EC74746ABF3}"/>
    <cellStyle name="Postotak" xfId="3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\etudes_coge\LOGICIEL%20COGE\SLEBEL\THERMI\Cog&#233;T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indows\Temporary%20Internet%20Files\OLK2363\pret%20telegestion%20agirest%2010ans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VERSAILLES-1\Vol1\Contr&#244;le%20d'exploitation\Besan&#231;on\2003\SECIP%20Tech-&#233;co%20saison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81%20HEPP%20Veer%20(Stipe%20Smoljo)\1%20Projekt\PI-0081%20HEPP%20VEER%20-%20Troskov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87%20Makedonija%20-%20Izgradnja%202%20MHE_Drugovo,%20Slatino%20(Stipe%20Smoljo)\01%20MHE%20Drugovo\1%20Projekt\PI-0087-L002-00%20MHE%20Drugovo%20-%20Troskov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orary%20Internet%20Files\Content.IE5\CYZIP26A\Fazno%20izvje&#353;&#263;e\Intervencije-eview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météo"/>
      <sheetName val="données_météo"/>
      <sheetName val="CogéTB"/>
      <sheetName val="Hypothèses prospects"/>
      <sheetName val="Infos diverses"/>
      <sheetName val="données_météo1"/>
      <sheetName val="Cashflow ABR2"/>
      <sheetName val="données_météo2"/>
      <sheetName val="Hypothèses_prospec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aliser votre emprunt"/>
      <sheetName val="Données"/>
      <sheetName val="Table d'amortissement"/>
      <sheetName val="Graphique de récapitulation"/>
      <sheetName val="Macros"/>
      <sheetName val="Verrouiller"/>
      <sheetName val="ModifierEmprunt"/>
      <sheetName val="Int. Data Table"/>
      <sheetName val="Int_ Data Table"/>
      <sheetName val="pret telegestion agirest 10ans2"/>
      <sheetName val="Personnaliser_votre_emprunt"/>
      <sheetName val="Table_d'amortissement"/>
      <sheetName val="Graphique_de_récapitulation"/>
      <sheetName val="Int__Data_Table"/>
      <sheetName val="Int__Data_Table1"/>
      <sheetName val="pret_telegestion_agirest_10ans2"/>
      <sheetName val="Personnaliser_votre_emprunt2"/>
      <sheetName val="Table_d'amortissement2"/>
      <sheetName val="Graphique_de_récapitulation2"/>
      <sheetName val="Int__Data_Table4"/>
      <sheetName val="Int__Data_Table5"/>
      <sheetName val="pret_telegestion_agirest_10ans3"/>
      <sheetName val="Personnaliser_votre_emprunt1"/>
      <sheetName val="Table_d'amortissement1"/>
      <sheetName val="Graphique_de_récapitulation1"/>
      <sheetName val="Int__Data_Table2"/>
      <sheetName val="Int__Data_Table3"/>
      <sheetName val="pret_telegestion_agirest_10ans1"/>
      <sheetName val="Personnaliser_votre_emprunt3"/>
      <sheetName val="Table_d'amortissement3"/>
      <sheetName val="Graphique_de_récapitulation3"/>
      <sheetName val="Int__Data_Table6"/>
      <sheetName val="Int__Data_Table7"/>
      <sheetName val="pret_telegestion_agirest_10ans4"/>
      <sheetName val="données météo"/>
      <sheetName val="Personnaliser_votre_emprunt4"/>
      <sheetName val="Table_d'amortissement4"/>
      <sheetName val="Graphique_de_récapitulation4"/>
      <sheetName val="Int__Data_Table8"/>
      <sheetName val="Int__Data_Table9"/>
      <sheetName val="pret_telegestion_agirest_10ans5"/>
    </sheetNames>
    <sheetDataSet>
      <sheetData sheetId="0">
        <row r="7">
          <cell r="H7" t="str">
            <v>Placez votre pointeur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 t="str">
            <v>Sheet Name</v>
          </cell>
          <cell r="B3" t="str">
            <v>Cell Address</v>
          </cell>
          <cell r="C3" t="str">
            <v>Action Code</v>
          </cell>
          <cell r="D3">
            <v>1</v>
          </cell>
          <cell r="E3">
            <v>44</v>
          </cell>
          <cell r="F3">
            <v>2</v>
          </cell>
          <cell r="G3">
            <v>61</v>
          </cell>
          <cell r="H3">
            <v>64</v>
          </cell>
          <cell r="I3">
            <v>353</v>
          </cell>
          <cell r="J3">
            <v>785</v>
          </cell>
          <cell r="K3">
            <v>43</v>
          </cell>
          <cell r="L3">
            <v>86</v>
          </cell>
          <cell r="M3">
            <v>45</v>
          </cell>
          <cell r="N3">
            <v>-999</v>
          </cell>
          <cell r="O3">
            <v>49</v>
          </cell>
          <cell r="P3">
            <v>972</v>
          </cell>
          <cell r="Q3">
            <v>39</v>
          </cell>
          <cell r="R3">
            <v>81</v>
          </cell>
          <cell r="S3">
            <v>82</v>
          </cell>
          <cell r="T3">
            <v>352</v>
          </cell>
          <cell r="U3">
            <v>31</v>
          </cell>
          <cell r="V3">
            <v>47</v>
          </cell>
          <cell r="W3">
            <v>27</v>
          </cell>
          <cell r="X3">
            <v>34</v>
          </cell>
          <cell r="Y3">
            <v>46</v>
          </cell>
          <cell r="Z3">
            <v>41</v>
          </cell>
          <cell r="AA3">
            <v>886</v>
          </cell>
          <cell r="AB3">
            <v>58</v>
          </cell>
        </row>
        <row r="4">
          <cell r="A4" t="str">
            <v>Données</v>
          </cell>
          <cell r="B4" t="str">
            <v>F16</v>
          </cell>
          <cell r="C4">
            <v>2</v>
          </cell>
          <cell r="D4" t="str">
            <v>$#,##0.00_);("$"#,##0.00)</v>
          </cell>
          <cell r="E4" t="str">
            <v>£#,##0.00_);("£"#,##0.00)</v>
          </cell>
          <cell r="F4" t="str">
            <v>$#,##0.00_);("$"#,##0.00)</v>
          </cell>
          <cell r="G4" t="str">
            <v>$#,##0.00_);("$"#,##0.00)</v>
          </cell>
          <cell r="H4" t="str">
            <v>$#,##0.00_);("$"#,##0.00)</v>
          </cell>
          <cell r="I4" t="str">
            <v>IR£#,##0.00_);("IR£"#,##0.00)</v>
          </cell>
          <cell r="J4" t="str">
            <v>#,##0.00_);(#,##0.00)</v>
          </cell>
          <cell r="K4" t="str">
            <v>ÖS #.##0,00_);("ÖS "#.##0,00)</v>
          </cell>
          <cell r="L4" t="str">
            <v>#,##0.00_);(#,##0.00)</v>
          </cell>
          <cell r="M4" t="str">
            <v>kr #.##0,00_);("kr "#.##0,00)</v>
          </cell>
          <cell r="N4" t="str">
            <v># ##0,00 "F"_);(# ##0,00 "F")</v>
          </cell>
          <cell r="O4" t="str">
            <v>#.##0,00 "DM"_);(#.##0,00 "DM")</v>
          </cell>
          <cell r="P4" t="str">
            <v>#,##0.00_D_M_);(#,##0.00_D_M)</v>
          </cell>
          <cell r="Q4" t="str">
            <v>L. #.##0,00_);("L. "#.##0,00)</v>
          </cell>
          <cell r="R4" t="str">
            <v>¥#,##0.00_);("¥"#,##0.00)</v>
          </cell>
          <cell r="S4" t="str">
            <v>#,##0.00_D_M_);(#,##0.00_D_M)</v>
          </cell>
          <cell r="T4" t="str">
            <v>#.##0,00 "F"_);(#.##0,00 "F")</v>
          </cell>
          <cell r="U4" t="str">
            <v>F #.##0,00_);("F "#.##0,00)</v>
          </cell>
          <cell r="V4" t="str">
            <v>kr # ##0,00_);("kr "# ##0,00)</v>
          </cell>
          <cell r="W4" t="str">
            <v>R #,##0.00_);("R "#,##0.00)</v>
          </cell>
          <cell r="X4" t="str">
            <v>#.##0,00 "Pts"_);(#.##0,00 "Pts")</v>
          </cell>
          <cell r="Y4" t="str">
            <v># ##0,00 "kr"_);(# ##0,00 "kr")</v>
          </cell>
          <cell r="Z4" t="str">
            <v>SFr. #'##0.00_);("SFr. "#'##0.00)</v>
          </cell>
          <cell r="AA4" t="str">
            <v>#,##0.00_D_M_);(#,##0.00_D_M)</v>
          </cell>
          <cell r="AB4" t="str">
            <v>Bs #.##0,00_);("Bs "#.##0,00)</v>
          </cell>
        </row>
        <row r="5">
          <cell r="A5" t="str">
            <v>Données</v>
          </cell>
          <cell r="B5" t="str">
            <v>I20:I21</v>
          </cell>
          <cell r="C5">
            <v>2</v>
          </cell>
          <cell r="D5" t="str">
            <v>$#,##0.00_);("$"#,##0.00)</v>
          </cell>
          <cell r="E5" t="str">
            <v>£#,##0.00_);("£"#,##0.00)</v>
          </cell>
          <cell r="F5" t="str">
            <v>$#,##0.00_);("$"#,##0.00)</v>
          </cell>
          <cell r="G5" t="str">
            <v>$#,##0.00_);("$"#,##0.00)</v>
          </cell>
          <cell r="H5" t="str">
            <v>$#,##0.00_);("$"#,##0.00)</v>
          </cell>
          <cell r="I5" t="str">
            <v>IR£#,##0.00_);("IR£"#,##0.00)</v>
          </cell>
          <cell r="J5" t="str">
            <v>#,##0.00_);(#,##0.00)</v>
          </cell>
          <cell r="K5" t="str">
            <v>ÖS #.##0,00_);("ÖS "#.##0,00)</v>
          </cell>
          <cell r="L5" t="str">
            <v>#,##0.00_);(#,##0.00)</v>
          </cell>
          <cell r="M5" t="str">
            <v>kr #.##0,00_);("kr "#.##0,00)</v>
          </cell>
          <cell r="N5" t="str">
            <v># ##0,00 "F"_);(# ##0,00 "F")</v>
          </cell>
          <cell r="O5" t="str">
            <v>#.##0,00 "DM"_);(#.##0,00 "DM")</v>
          </cell>
          <cell r="P5" t="str">
            <v>#,##0.00_D_M_);(#,##0.00_D_M)</v>
          </cell>
          <cell r="Q5" t="str">
            <v>L. #.##0,00_);("L. "#.##0,00)</v>
          </cell>
          <cell r="R5" t="str">
            <v>¥#,##0.00_);("¥"#,##0.00)</v>
          </cell>
          <cell r="S5" t="str">
            <v>#,##0.00_D_M_);(#,##0.00_D_M)</v>
          </cell>
          <cell r="T5" t="str">
            <v>#.##0,00 "F"_);(#.##0,00 "F")</v>
          </cell>
          <cell r="U5" t="str">
            <v>F #.##0,00_);("F "#.##0,00)</v>
          </cell>
          <cell r="V5" t="str">
            <v>kr # ##0,00_);("kr "# ##0,00)</v>
          </cell>
          <cell r="W5" t="str">
            <v>R #,##0.00_);("R "#,##0.00)</v>
          </cell>
          <cell r="X5" t="str">
            <v>#.##0,00 "Pts"_);(#.##0,00 "Pts")</v>
          </cell>
          <cell r="Y5" t="str">
            <v># ##0,00 "kr"_);(# ##0,00 "kr")</v>
          </cell>
          <cell r="Z5" t="str">
            <v>SFr. #'##0.00_);("SFr. "#'##0.00)</v>
          </cell>
          <cell r="AA5" t="str">
            <v>#,##0.00_D_M_);(#,##0.00_D_M)</v>
          </cell>
          <cell r="AB5" t="str">
            <v>Bs #.##0,00_);("Bs "#.##0,00)</v>
          </cell>
        </row>
        <row r="6">
          <cell r="A6" t="str">
            <v>Données</v>
          </cell>
          <cell r="B6" t="str">
            <v>I23</v>
          </cell>
          <cell r="C6">
            <v>2</v>
          </cell>
          <cell r="D6" t="str">
            <v>$#,##0.00_);("$"#,##0.00)</v>
          </cell>
          <cell r="E6" t="str">
            <v>£#,##0.00_);("£"#,##0.00)</v>
          </cell>
          <cell r="F6" t="str">
            <v>$#,##0.00_);("$"#,##0.00)</v>
          </cell>
          <cell r="G6" t="str">
            <v>$#,##0.00_);("$"#,##0.00)</v>
          </cell>
          <cell r="H6" t="str">
            <v>$#,##0.00_);("$"#,##0.00)</v>
          </cell>
          <cell r="I6" t="str">
            <v>IR£#,##0.00_);("IR£"#,##0.00)</v>
          </cell>
          <cell r="J6" t="str">
            <v>#,##0.00_);(#,##0.00)</v>
          </cell>
          <cell r="K6" t="str">
            <v>ÖS #.##0,00_);("ÖS "#.##0,00)</v>
          </cell>
          <cell r="L6" t="str">
            <v>#,##0.00_);(#,##0.00)</v>
          </cell>
          <cell r="M6" t="str">
            <v>kr #.##0,00_);("kr "#.##0,00)</v>
          </cell>
          <cell r="N6" t="str">
            <v># ##0,00 "F"_);(# ##0,00 "F")</v>
          </cell>
          <cell r="O6" t="str">
            <v>#.##0,00 "DM"_);(#.##0,00 "DM")</v>
          </cell>
          <cell r="P6" t="str">
            <v>#,##0.00_D_M_);(#,##0.00_D_M)</v>
          </cell>
          <cell r="Q6" t="str">
            <v>L. #.##0,00_);("L. "#.##0,00)</v>
          </cell>
          <cell r="R6" t="str">
            <v>¥#,##0.00_);("¥"#,##0.00)</v>
          </cell>
          <cell r="S6" t="str">
            <v>#,##0.00_D_M_);(#,##0.00_D_M)</v>
          </cell>
          <cell r="T6" t="str">
            <v>#.##0,00 "F"_);(#.##0,00 "F")</v>
          </cell>
          <cell r="U6" t="str">
            <v>F #.##0,00_);("F "#.##0,00)</v>
          </cell>
          <cell r="V6" t="str">
            <v>kr # ##0,00_);("kr "# ##0,00)</v>
          </cell>
          <cell r="W6" t="str">
            <v>R #,##0.00_);("R "#,##0.00)</v>
          </cell>
          <cell r="X6" t="str">
            <v>#.##0,00 "Pts"_);(#.##0,00 "Pts")</v>
          </cell>
          <cell r="Y6" t="str">
            <v># ##0,00 "kr"_);(# ##0,00 "kr")</v>
          </cell>
          <cell r="Z6" t="str">
            <v>SFr. #'##0.00_);("SFr. "#'##0.00)</v>
          </cell>
          <cell r="AA6" t="str">
            <v>#,##0.00_D_M_);(#,##0.00_D_M)</v>
          </cell>
          <cell r="AB6" t="str">
            <v>Bs #.##0,00_);("Bs "#.##0,00)</v>
          </cell>
        </row>
        <row r="7">
          <cell r="A7" t="str">
            <v>Données</v>
          </cell>
          <cell r="B7" t="str">
            <v>F23</v>
          </cell>
          <cell r="C7">
            <v>2</v>
          </cell>
          <cell r="D7" t="str">
            <v>$#,##0.00_);("$"#,##0.00)</v>
          </cell>
          <cell r="E7" t="str">
            <v>£#,##0.00_);("£"#,##0.00)</v>
          </cell>
          <cell r="F7" t="str">
            <v>$#,##0.00_);("$"#,##0.00)</v>
          </cell>
          <cell r="G7" t="str">
            <v>$#,##0.00_);("$"#,##0.00)</v>
          </cell>
          <cell r="H7" t="str">
            <v>$#,##0.00_);("$"#,##0.00)</v>
          </cell>
          <cell r="I7" t="str">
            <v>IR£#,##0.00_);("IR£"#,##0.00)</v>
          </cell>
          <cell r="J7" t="str">
            <v>#,##0.00_);(#,##0.00)</v>
          </cell>
          <cell r="K7" t="str">
            <v>ÖS #.##0,00_);("ÖS "#.##0,00)</v>
          </cell>
          <cell r="L7" t="str">
            <v>#,##0.00_);(#,##0.00)</v>
          </cell>
          <cell r="M7" t="str">
            <v>kr #.##0,00_);("kr "#.##0,00)</v>
          </cell>
          <cell r="N7" t="str">
            <v># ##0,00 "F"_);(# ##0,00 "F")</v>
          </cell>
          <cell r="O7" t="str">
            <v>#.##0,00 "DM"_);(#.##0,00 "DM")</v>
          </cell>
          <cell r="P7" t="str">
            <v>#,##0.00_D_M_);(#,##0.00_D_M)</v>
          </cell>
          <cell r="Q7" t="str">
            <v>L. #.##0,00_);("L. "#.##0,00)</v>
          </cell>
          <cell r="R7" t="str">
            <v>¥#,##0.00_);("¥"#,##0.00)</v>
          </cell>
          <cell r="S7" t="str">
            <v>#,##0.00_D_M_);(#,##0.00_D_M)</v>
          </cell>
          <cell r="T7" t="str">
            <v>#.##0,00 "F"_);(#.##0,00 "F")</v>
          </cell>
          <cell r="U7" t="str">
            <v>F #.##0,00_);("F "#.##0,00)</v>
          </cell>
          <cell r="V7" t="str">
            <v>kr # ##0,00_);("kr "# ##0,00)</v>
          </cell>
          <cell r="W7" t="str">
            <v>R #,##0.00_);("R "#,##0.00)</v>
          </cell>
          <cell r="X7" t="str">
            <v>#.##0,00 "Pts"_);(#.##0,00 "Pts")</v>
          </cell>
          <cell r="Y7" t="str">
            <v># ##0,00 "kr"_);(# ##0,00 "kr")</v>
          </cell>
          <cell r="Z7" t="str">
            <v>SFr. #'##0.00_);("SFr. "#'##0.00)</v>
          </cell>
          <cell r="AA7" t="str">
            <v>#,##0.00_D_M_);(#,##0.00_D_M)</v>
          </cell>
          <cell r="AB7" t="str">
            <v>Bs #.##0,00_);("Bs "#.##0,00)</v>
          </cell>
        </row>
        <row r="8">
          <cell r="A8" t="str">
            <v>Données</v>
          </cell>
          <cell r="B8" t="str">
            <v>A1</v>
          </cell>
          <cell r="C8">
            <v>4</v>
          </cell>
          <cell r="D8">
            <v>1</v>
          </cell>
          <cell r="E8">
            <v>9</v>
          </cell>
          <cell r="F8">
            <v>1</v>
          </cell>
          <cell r="G8">
            <v>9</v>
          </cell>
          <cell r="H8">
            <v>9</v>
          </cell>
          <cell r="I8">
            <v>9</v>
          </cell>
          <cell r="J8">
            <v>9</v>
          </cell>
          <cell r="K8">
            <v>9</v>
          </cell>
          <cell r="L8">
            <v>9</v>
          </cell>
          <cell r="M8">
            <v>9</v>
          </cell>
          <cell r="N8">
            <v>9</v>
          </cell>
          <cell r="O8">
            <v>9</v>
          </cell>
          <cell r="P8">
            <v>9</v>
          </cell>
          <cell r="Q8">
            <v>9</v>
          </cell>
          <cell r="R8">
            <v>9</v>
          </cell>
          <cell r="S8">
            <v>9</v>
          </cell>
          <cell r="T8">
            <v>9</v>
          </cell>
          <cell r="U8">
            <v>9</v>
          </cell>
          <cell r="V8">
            <v>9</v>
          </cell>
          <cell r="W8">
            <v>9</v>
          </cell>
          <cell r="X8">
            <v>9</v>
          </cell>
          <cell r="Y8">
            <v>9</v>
          </cell>
          <cell r="Z8">
            <v>9</v>
          </cell>
          <cell r="AA8">
            <v>9</v>
          </cell>
          <cell r="AB8">
            <v>9</v>
          </cell>
        </row>
        <row r="9">
          <cell r="A9" t="str">
            <v>Table d'amortissement</v>
          </cell>
          <cell r="B9" t="str">
            <v>A1</v>
          </cell>
          <cell r="C9">
            <v>4</v>
          </cell>
          <cell r="D9">
            <v>1</v>
          </cell>
          <cell r="E9">
            <v>9</v>
          </cell>
          <cell r="F9">
            <v>1</v>
          </cell>
          <cell r="G9">
            <v>9</v>
          </cell>
          <cell r="H9">
            <v>9</v>
          </cell>
          <cell r="I9">
            <v>9</v>
          </cell>
          <cell r="J9">
            <v>9</v>
          </cell>
          <cell r="K9">
            <v>9</v>
          </cell>
          <cell r="L9">
            <v>9</v>
          </cell>
          <cell r="M9">
            <v>9</v>
          </cell>
          <cell r="N9">
            <v>9</v>
          </cell>
          <cell r="O9">
            <v>9</v>
          </cell>
          <cell r="P9">
            <v>9</v>
          </cell>
          <cell r="Q9">
            <v>9</v>
          </cell>
          <cell r="R9">
            <v>9</v>
          </cell>
          <cell r="S9">
            <v>9</v>
          </cell>
          <cell r="T9">
            <v>9</v>
          </cell>
          <cell r="U9">
            <v>9</v>
          </cell>
          <cell r="V9">
            <v>9</v>
          </cell>
          <cell r="W9">
            <v>9</v>
          </cell>
          <cell r="X9">
            <v>9</v>
          </cell>
          <cell r="Y9">
            <v>9</v>
          </cell>
          <cell r="Z9">
            <v>9</v>
          </cell>
          <cell r="AA9">
            <v>9</v>
          </cell>
          <cell r="AB9">
            <v>9</v>
          </cell>
        </row>
        <row r="10">
          <cell r="A10" t="str">
            <v>Graphique de récapitulation</v>
          </cell>
          <cell r="B10" t="str">
            <v>A1</v>
          </cell>
          <cell r="C10">
            <v>4</v>
          </cell>
          <cell r="D10">
            <v>1</v>
          </cell>
          <cell r="E10">
            <v>9</v>
          </cell>
          <cell r="F10">
            <v>1</v>
          </cell>
          <cell r="G10">
            <v>9</v>
          </cell>
          <cell r="H10">
            <v>9</v>
          </cell>
          <cell r="I10">
            <v>9</v>
          </cell>
          <cell r="J10">
            <v>9</v>
          </cell>
          <cell r="K10">
            <v>9</v>
          </cell>
          <cell r="L10">
            <v>9</v>
          </cell>
          <cell r="M10">
            <v>9</v>
          </cell>
          <cell r="N10">
            <v>9</v>
          </cell>
          <cell r="O10">
            <v>9</v>
          </cell>
          <cell r="P10">
            <v>9</v>
          </cell>
          <cell r="Q10">
            <v>9</v>
          </cell>
          <cell r="R10">
            <v>9</v>
          </cell>
          <cell r="S10">
            <v>9</v>
          </cell>
          <cell r="T10">
            <v>9</v>
          </cell>
          <cell r="U10">
            <v>9</v>
          </cell>
          <cell r="V10">
            <v>9</v>
          </cell>
          <cell r="W10">
            <v>9</v>
          </cell>
          <cell r="X10">
            <v>9</v>
          </cell>
          <cell r="Y10">
            <v>9</v>
          </cell>
          <cell r="Z10">
            <v>9</v>
          </cell>
          <cell r="AA10">
            <v>9</v>
          </cell>
          <cell r="AB10">
            <v>9</v>
          </cell>
        </row>
      </sheetData>
      <sheetData sheetId="8"/>
      <sheetData sheetId="9" refreshError="1"/>
      <sheetData sheetId="10">
        <row r="7">
          <cell r="H7" t="str">
            <v>Placez votre pointeur</v>
          </cell>
        </row>
      </sheetData>
      <sheetData sheetId="11"/>
      <sheetData sheetId="12">
        <row r="3">
          <cell r="A3" t="str">
            <v>Sheet Name</v>
          </cell>
        </row>
      </sheetData>
      <sheetData sheetId="13">
        <row r="3">
          <cell r="A3" t="str">
            <v>Sheet Name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">
          <cell r="H7" t="str">
            <v>Placez votre pointeur</v>
          </cell>
        </row>
      </sheetData>
      <sheetData sheetId="23"/>
      <sheetData sheetId="24"/>
      <sheetData sheetId="25">
        <row r="3">
          <cell r="A3" t="str">
            <v>Sheet Name</v>
          </cell>
        </row>
      </sheetData>
      <sheetData sheetId="26"/>
      <sheetData sheetId="27"/>
      <sheetData sheetId="28">
        <row r="7">
          <cell r="H7" t="str">
            <v>Placez votre pointeur</v>
          </cell>
        </row>
      </sheetData>
      <sheetData sheetId="29"/>
      <sheetData sheetId="30"/>
      <sheetData sheetId="31">
        <row r="3">
          <cell r="A3" t="str">
            <v>Sheet Name</v>
          </cell>
        </row>
      </sheetData>
      <sheetData sheetId="32"/>
      <sheetData sheetId="33"/>
      <sheetData sheetId="34" refreshError="1"/>
      <sheetData sheetId="35">
        <row r="7">
          <cell r="H7" t="str">
            <v>Placez votre pointeur</v>
          </cell>
        </row>
      </sheetData>
      <sheetData sheetId="36"/>
      <sheetData sheetId="37"/>
      <sheetData sheetId="38">
        <row r="3">
          <cell r="A3" t="str">
            <v>Sheet Name</v>
          </cell>
        </row>
      </sheetData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JU BESANCON"/>
      <sheetName val="durée_exerc"/>
      <sheetName val=" R2 petits consommateurs par kW"/>
      <sheetName val="Tableau général"/>
      <sheetName val="Tableaux  10"/>
      <sheetName val="Tableaux  11"/>
      <sheetName val="Tableaux  12"/>
      <sheetName val="Tableaux  13"/>
      <sheetName val="Tableaux  14"/>
      <sheetName val="Tableaux  15"/>
      <sheetName val="Tableaux  16"/>
      <sheetName val="Cout global chauf &amp; ECS"/>
      <sheetName val="Tableaux  17"/>
      <sheetName val="Tableaux  18"/>
      <sheetName val="Tableaux  19"/>
      <sheetName val="Tableaux  20"/>
      <sheetName val="Tableaux  21"/>
      <sheetName val="Tableaux  22"/>
      <sheetName val="Tableaux  23"/>
      <sheetName val="Tableaux  24"/>
      <sheetName val="Tableaux  25"/>
      <sheetName val="Tableaux  26"/>
      <sheetName val="logts - Chauf+ECS"/>
      <sheetName val="Tableaux  27"/>
      <sheetName val="Tableaux  28"/>
      <sheetName val="Tableaux  29"/>
      <sheetName val="Tableaux  30"/>
      <sheetName val="Tableaux  31"/>
      <sheetName val="Tableaux  32"/>
      <sheetName val="Tableaux  33"/>
      <sheetName val="Tableaux  34"/>
      <sheetName val="Tableaux  35"/>
      <sheetName val="Tableaux  36"/>
      <sheetName val="eqt - chauf+ECS"/>
      <sheetName val="Tableaux  37"/>
      <sheetName val="Tableaux  38"/>
      <sheetName val="Tableaux  39"/>
      <sheetName val="Chiffres d'affaires"/>
      <sheetName val="Extraction données"/>
      <sheetName val="Graph_Log_Equip"/>
      <sheetName val="Log_Equip pré"/>
      <sheetName val="Graph_Poste_tarif"/>
      <sheetName val="Poste_tarif pré"/>
      <sheetName val="Fiche Statex"/>
      <sheetName val="imptab"/>
      <sheetName val="Modif"/>
      <sheetName val="Extract"/>
      <sheetName val="Aide_Index_tab"/>
      <sheetName val="Init_tab"/>
      <sheetName val="Module général"/>
      <sheetName val="Module impression"/>
      <sheetName val="Module Extraction"/>
      <sheetName val="Module Modification"/>
      <sheetName val="Module année N+1"/>
      <sheetName val="Module Initialisation"/>
      <sheetName val="Module Statex"/>
      <sheetName val="DJU_BESANCON"/>
      <sheetName val="_R2_petits_consommateurs_par_kW"/>
      <sheetName val="Tableau_général"/>
      <sheetName val="Tableaux__10"/>
      <sheetName val="Tableaux__11"/>
      <sheetName val="Tableaux__12"/>
      <sheetName val="Tableaux__13"/>
      <sheetName val="Tableaux__14"/>
      <sheetName val="Tableaux__15"/>
      <sheetName val="Tableaux__16"/>
      <sheetName val="Cout_global_chauf_&amp;_ECS"/>
      <sheetName val="Tableaux__17"/>
      <sheetName val="Tableaux__18"/>
      <sheetName val="Tableaux__19"/>
      <sheetName val="Tableaux__20"/>
      <sheetName val="Tableaux__21"/>
      <sheetName val="Tableaux__22"/>
      <sheetName val="Tableaux__23"/>
      <sheetName val="Tableaux__24"/>
      <sheetName val="Tableaux__25"/>
      <sheetName val="Tableaux__26"/>
      <sheetName val="logts_-_Chauf+ECS"/>
      <sheetName val="Tableaux__27"/>
      <sheetName val="Tableaux__28"/>
      <sheetName val="Tableaux__29"/>
      <sheetName val="Tableaux__30"/>
      <sheetName val="Tableaux__31"/>
      <sheetName val="Tableaux__32"/>
      <sheetName val="Tableaux__33"/>
      <sheetName val="Tableaux__34"/>
      <sheetName val="Tableaux__35"/>
      <sheetName val="Tableaux__36"/>
      <sheetName val="eqt_-_chauf+ECS"/>
      <sheetName val="Tableaux__37"/>
      <sheetName val="Tableaux__38"/>
      <sheetName val="Tableaux__39"/>
      <sheetName val="Chiffres_d'affaires"/>
      <sheetName val="Extraction_données"/>
      <sheetName val="Log_Equip_pré"/>
      <sheetName val="Poste_tarif_pré"/>
      <sheetName val="Fiche_Statex"/>
      <sheetName val="Module_général"/>
      <sheetName val="Module_impression"/>
      <sheetName val="Module_Extraction"/>
      <sheetName val="Module_Modification"/>
      <sheetName val="Module_année_N+1"/>
      <sheetName val="Module_Initialisation"/>
      <sheetName val="Module_Statex"/>
      <sheetName val="DJU_BESANCON1"/>
      <sheetName val="_R2_petits_consommateurs_par_k1"/>
      <sheetName val="Tableau_général1"/>
      <sheetName val="Tableaux__101"/>
      <sheetName val="Tableaux__111"/>
      <sheetName val="Tableaux__121"/>
      <sheetName val="Tableaux__131"/>
      <sheetName val="Tableaux__141"/>
      <sheetName val="Tableaux__151"/>
      <sheetName val="Tableaux__161"/>
      <sheetName val="Cout_global_chauf_&amp;_ECS1"/>
      <sheetName val="Tableaux__171"/>
      <sheetName val="Tableaux__181"/>
      <sheetName val="Tableaux__191"/>
      <sheetName val="Tableaux__201"/>
      <sheetName val="Tableaux__211"/>
      <sheetName val="Tableaux__221"/>
      <sheetName val="Tableaux__231"/>
      <sheetName val="Tableaux__241"/>
      <sheetName val="Tableaux__251"/>
      <sheetName val="Tableaux__261"/>
      <sheetName val="logts_-_Chauf+ECS1"/>
      <sheetName val="Tableaux__271"/>
      <sheetName val="Tableaux__281"/>
      <sheetName val="Tableaux__291"/>
      <sheetName val="Tableaux__301"/>
      <sheetName val="Tableaux__311"/>
      <sheetName val="Tableaux__321"/>
      <sheetName val="Tableaux__331"/>
      <sheetName val="Tableaux__341"/>
      <sheetName val="Tableaux__351"/>
      <sheetName val="Tableaux__361"/>
      <sheetName val="eqt_-_chauf+ECS1"/>
      <sheetName val="Tableaux__371"/>
      <sheetName val="Tableaux__381"/>
      <sheetName val="Tableaux__391"/>
      <sheetName val="Chiffres_d'affaires1"/>
      <sheetName val="Extraction_données1"/>
      <sheetName val="Log_Equip_pré1"/>
      <sheetName val="Poste_tarif_pré1"/>
      <sheetName val="Fiche_Statex1"/>
      <sheetName val="Module_général1"/>
      <sheetName val="Module_impression1"/>
      <sheetName val="Module_Extraction1"/>
      <sheetName val="Module_Modification1"/>
      <sheetName val="Module_année_N+11"/>
      <sheetName val="Module_Initialisation1"/>
      <sheetName val="Module_Statex1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port"/>
      <sheetName val="Dnevnice, smještaj"/>
      <sheetName val="Radni sati"/>
      <sheetName val="Oprema"/>
      <sheetName val="Partneri"/>
      <sheetName val="Ukupno"/>
    </sheetNames>
    <sheetDataSet>
      <sheetData sheetId="0" refreshError="1">
        <row r="27">
          <cell r="D27" t="str">
            <v>7,3</v>
          </cell>
        </row>
        <row r="28">
          <cell r="D28" t="str">
            <v>60,355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port"/>
      <sheetName val="Dnevnice, smještaj"/>
      <sheetName val="Radni sati"/>
      <sheetName val="Oprema"/>
      <sheetName val="Partneri"/>
      <sheetName val="Ukupno"/>
      <sheetName val="Dodatna oprema"/>
    </sheetNames>
    <sheetDataSet>
      <sheetData sheetId="0" refreshError="1">
        <row r="27">
          <cell r="D27">
            <v>7.35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relacije - sve"/>
      <sheetName val="korelacije"/>
      <sheetName val="INPUT"/>
      <sheetName val="eviews"/>
      <sheetName val="Sheet4"/>
      <sheetName val="Statistika"/>
      <sheetName val="Sheet1"/>
      <sheetName val="grafikoni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M3">
            <v>108</v>
          </cell>
          <cell r="N3">
            <v>57.555</v>
          </cell>
          <cell r="O3">
            <v>50.445</v>
          </cell>
          <cell r="P3">
            <v>50.445</v>
          </cell>
        </row>
        <row r="4">
          <cell r="N4">
            <v>226.94788</v>
          </cell>
          <cell r="O4">
            <v>-226.94788</v>
          </cell>
          <cell r="P4">
            <v>226.94788</v>
          </cell>
        </row>
        <row r="5">
          <cell r="N5">
            <v>156.15596500000001</v>
          </cell>
          <cell r="O5">
            <v>-156.15596500000001</v>
          </cell>
          <cell r="P5">
            <v>156.15596500000001</v>
          </cell>
        </row>
        <row r="6">
          <cell r="N6">
            <v>30.3095</v>
          </cell>
          <cell r="O6">
            <v>-30.3095</v>
          </cell>
          <cell r="P6">
            <v>30.3095</v>
          </cell>
        </row>
        <row r="7">
          <cell r="N7">
            <v>224.752656</v>
          </cell>
          <cell r="O7">
            <v>-224.752656</v>
          </cell>
          <cell r="P7">
            <v>224.752656</v>
          </cell>
        </row>
        <row r="8">
          <cell r="M8">
            <v>109.57214</v>
          </cell>
          <cell r="N8">
            <v>126.116</v>
          </cell>
          <cell r="O8">
            <v>-16.543859999999995</v>
          </cell>
          <cell r="P8">
            <v>16.543859999999995</v>
          </cell>
        </row>
        <row r="9">
          <cell r="M9">
            <v>72.419127000000003</v>
          </cell>
          <cell r="O9">
            <v>72.419127000000003</v>
          </cell>
          <cell r="P9">
            <v>72.419127000000003</v>
          </cell>
        </row>
        <row r="10">
          <cell r="N10">
            <v>191.989272</v>
          </cell>
          <cell r="O10">
            <v>-191.989272</v>
          </cell>
          <cell r="P10">
            <v>191.989272</v>
          </cell>
        </row>
        <row r="11">
          <cell r="M11">
            <v>112.337924</v>
          </cell>
          <cell r="O11">
            <v>112.337924</v>
          </cell>
          <cell r="P11">
            <v>112.337924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3623-D1C4-4686-A771-1A3B01B2C70F}">
  <sheetPr filterMode="1">
    <tabColor rgb="FF92D050"/>
    <pageSetUpPr fitToPage="1"/>
  </sheetPr>
  <dimension ref="A1:AE417"/>
  <sheetViews>
    <sheetView tabSelected="1" topLeftCell="A55" zoomScaleNormal="100" workbookViewId="0">
      <selection activeCell="M95" sqref="L94:M95"/>
    </sheetView>
  </sheetViews>
  <sheetFormatPr defaultColWidth="26.54296875" defaultRowHeight="14.5" x14ac:dyDescent="0.35"/>
  <cols>
    <col min="1" max="1" width="53.81640625" style="38" bestFit="1" customWidth="1"/>
    <col min="2" max="2" width="23" style="5" bestFit="1" customWidth="1"/>
    <col min="3" max="3" width="22" style="39" customWidth="1"/>
    <col min="4" max="4" width="15" style="26" customWidth="1"/>
    <col min="5" max="5" width="6" style="26" bestFit="1" customWidth="1"/>
    <col min="6" max="7" width="15" style="26" customWidth="1"/>
    <col min="8" max="8" width="15" style="35" customWidth="1"/>
    <col min="9" max="9" width="15" style="26" customWidth="1"/>
    <col min="10" max="10" width="18.54296875" style="5" customWidth="1"/>
    <col min="11" max="11" width="13.1796875" style="5" customWidth="1"/>
    <col min="12" max="13" width="13.1796875" style="40" customWidth="1"/>
    <col min="14" max="16" width="13.1796875" style="5" customWidth="1"/>
    <col min="17" max="17" width="15.26953125" style="5" customWidth="1"/>
    <col min="18" max="16384" width="26.54296875" style="5"/>
  </cols>
  <sheetData>
    <row r="1" spans="1:18" ht="1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225</v>
      </c>
      <c r="J1" s="3" t="s">
        <v>216</v>
      </c>
    </row>
    <row r="2" spans="1:18" ht="15" thickTop="1" x14ac:dyDescent="0.35">
      <c r="A2" s="6" t="s">
        <v>8</v>
      </c>
      <c r="B2" s="7" t="s">
        <v>9</v>
      </c>
      <c r="C2" s="8" t="s">
        <v>10</v>
      </c>
      <c r="D2" s="9">
        <v>22</v>
      </c>
      <c r="E2" s="10">
        <v>10</v>
      </c>
      <c r="F2" s="11">
        <f>ROUNDUP(D2+(D2*(E2/100)),0)</f>
        <v>25</v>
      </c>
      <c r="G2" s="12" t="s">
        <v>11</v>
      </c>
      <c r="H2" s="13">
        <f>F2*2</f>
        <v>50</v>
      </c>
      <c r="I2" s="13">
        <v>50</v>
      </c>
      <c r="J2" s="14"/>
      <c r="K2" s="5" t="s">
        <v>217</v>
      </c>
      <c r="L2" s="40">
        <v>71.290000000000006</v>
      </c>
      <c r="M2" s="40">
        <f>L2*I2</f>
        <v>3564.5000000000005</v>
      </c>
      <c r="P2" s="15" t="s">
        <v>12</v>
      </c>
    </row>
    <row r="3" spans="1:18" x14ac:dyDescent="0.35">
      <c r="A3" s="16" t="s">
        <v>13</v>
      </c>
      <c r="B3" s="7" t="s">
        <v>14</v>
      </c>
      <c r="C3" s="8" t="s">
        <v>15</v>
      </c>
      <c r="D3" s="9">
        <v>53.999999999999993</v>
      </c>
      <c r="E3" s="10">
        <v>15</v>
      </c>
      <c r="F3" s="11">
        <f t="shared" ref="F3:F66" si="0">ROUNDUP(D3+(D3*(E3/100)),0)</f>
        <v>63</v>
      </c>
      <c r="G3" s="12"/>
      <c r="H3" s="13"/>
      <c r="I3" s="12">
        <v>63</v>
      </c>
      <c r="J3" s="12"/>
      <c r="K3" s="5" t="s">
        <v>217</v>
      </c>
      <c r="L3" s="40">
        <v>2.4900000000000002</v>
      </c>
      <c r="M3" s="40">
        <f t="shared" ref="M3:M8" si="1">L3*I3</f>
        <v>156.87</v>
      </c>
    </row>
    <row r="4" spans="1:18" x14ac:dyDescent="0.35">
      <c r="A4" s="16" t="s">
        <v>16</v>
      </c>
      <c r="B4" s="7" t="s">
        <v>17</v>
      </c>
      <c r="C4" s="8" t="s">
        <v>18</v>
      </c>
      <c r="D4" s="9">
        <v>22</v>
      </c>
      <c r="E4" s="10">
        <v>10</v>
      </c>
      <c r="F4" s="11">
        <f t="shared" si="0"/>
        <v>25</v>
      </c>
      <c r="G4" s="12" t="s">
        <v>11</v>
      </c>
      <c r="H4" s="13">
        <f>F4*2</f>
        <v>50</v>
      </c>
      <c r="I4" s="13">
        <v>50</v>
      </c>
      <c r="J4" s="17"/>
      <c r="K4" s="5" t="s">
        <v>217</v>
      </c>
      <c r="L4" s="40">
        <v>44.55</v>
      </c>
      <c r="M4" s="40">
        <f t="shared" si="1"/>
        <v>2227.5</v>
      </c>
      <c r="P4"/>
      <c r="Q4"/>
      <c r="R4"/>
    </row>
    <row r="5" spans="1:18" x14ac:dyDescent="0.35">
      <c r="A5" s="16" t="s">
        <v>19</v>
      </c>
      <c r="B5" s="7" t="s">
        <v>20</v>
      </c>
      <c r="C5" s="8" t="s">
        <v>21</v>
      </c>
      <c r="D5" s="9">
        <v>124</v>
      </c>
      <c r="E5" s="10">
        <v>15</v>
      </c>
      <c r="F5" s="11">
        <f t="shared" si="0"/>
        <v>143</v>
      </c>
      <c r="G5" s="11"/>
      <c r="H5" s="18"/>
      <c r="I5" s="11">
        <v>143</v>
      </c>
      <c r="J5" s="17"/>
      <c r="K5" s="5" t="s">
        <v>217</v>
      </c>
      <c r="L5" s="40">
        <v>0.95</v>
      </c>
      <c r="M5" s="40">
        <f t="shared" si="1"/>
        <v>135.85</v>
      </c>
      <c r="P5"/>
      <c r="Q5"/>
      <c r="R5"/>
    </row>
    <row r="6" spans="1:18" x14ac:dyDescent="0.35">
      <c r="A6" s="19" t="s">
        <v>22</v>
      </c>
      <c r="B6" s="20" t="s">
        <v>23</v>
      </c>
      <c r="C6" s="21" t="s">
        <v>24</v>
      </c>
      <c r="D6" s="9">
        <v>20</v>
      </c>
      <c r="E6" s="10">
        <v>15</v>
      </c>
      <c r="F6" s="11">
        <f t="shared" si="0"/>
        <v>23</v>
      </c>
      <c r="G6" s="11"/>
      <c r="H6" s="18"/>
      <c r="I6" s="11">
        <v>23</v>
      </c>
      <c r="J6" s="17"/>
      <c r="K6" s="5" t="s">
        <v>217</v>
      </c>
      <c r="L6" s="40">
        <v>10.71</v>
      </c>
      <c r="M6" s="40">
        <f t="shared" si="1"/>
        <v>246.33</v>
      </c>
    </row>
    <row r="7" spans="1:18" x14ac:dyDescent="0.35">
      <c r="A7" s="19" t="s">
        <v>25</v>
      </c>
      <c r="B7" s="20" t="s">
        <v>26</v>
      </c>
      <c r="C7" s="21" t="s">
        <v>27</v>
      </c>
      <c r="D7" s="9">
        <v>2</v>
      </c>
      <c r="E7" s="10">
        <v>0</v>
      </c>
      <c r="F7" s="11">
        <f t="shared" si="0"/>
        <v>2</v>
      </c>
      <c r="G7" s="11"/>
      <c r="H7" s="18"/>
      <c r="I7" s="11">
        <v>2</v>
      </c>
      <c r="J7" s="17"/>
      <c r="K7" s="5" t="s">
        <v>217</v>
      </c>
      <c r="L7" s="41">
        <v>69.37</v>
      </c>
      <c r="M7" s="40">
        <f t="shared" si="1"/>
        <v>138.74</v>
      </c>
    </row>
    <row r="8" spans="1:18" x14ac:dyDescent="0.35">
      <c r="A8" s="19" t="s">
        <v>28</v>
      </c>
      <c r="B8" s="20" t="s">
        <v>29</v>
      </c>
      <c r="C8" s="21" t="s">
        <v>30</v>
      </c>
      <c r="D8" s="9">
        <v>2</v>
      </c>
      <c r="E8" s="10">
        <v>0</v>
      </c>
      <c r="F8" s="11">
        <f t="shared" si="0"/>
        <v>2</v>
      </c>
      <c r="G8" s="11"/>
      <c r="H8" s="18"/>
      <c r="I8" s="11">
        <v>2</v>
      </c>
      <c r="J8" s="17"/>
      <c r="K8" s="5" t="s">
        <v>217</v>
      </c>
      <c r="L8" s="41">
        <v>20.59</v>
      </c>
      <c r="M8" s="40">
        <f t="shared" si="1"/>
        <v>41.18</v>
      </c>
    </row>
    <row r="9" spans="1:18" hidden="1" x14ac:dyDescent="0.35">
      <c r="A9" s="19" t="s">
        <v>31</v>
      </c>
      <c r="B9" s="20" t="s">
        <v>32</v>
      </c>
      <c r="C9" s="21" t="s">
        <v>33</v>
      </c>
      <c r="D9" s="9">
        <v>0</v>
      </c>
      <c r="E9" s="10">
        <v>0</v>
      </c>
      <c r="F9" s="11">
        <f t="shared" si="0"/>
        <v>0</v>
      </c>
      <c r="G9" s="11"/>
      <c r="H9" s="18"/>
      <c r="I9" s="18"/>
      <c r="J9" s="17"/>
      <c r="K9"/>
      <c r="L9"/>
      <c r="M9"/>
      <c r="N9"/>
      <c r="O9"/>
    </row>
    <row r="10" spans="1:18" hidden="1" x14ac:dyDescent="0.35">
      <c r="A10" s="19" t="s">
        <v>34</v>
      </c>
      <c r="B10" s="20" t="s">
        <v>35</v>
      </c>
      <c r="C10" s="21" t="s">
        <v>36</v>
      </c>
      <c r="D10" s="9">
        <v>0</v>
      </c>
      <c r="E10" s="10">
        <v>20</v>
      </c>
      <c r="F10" s="11">
        <f t="shared" si="0"/>
        <v>0</v>
      </c>
      <c r="G10" s="11"/>
      <c r="H10" s="18"/>
      <c r="I10" s="18"/>
      <c r="J10" s="17"/>
      <c r="K10"/>
      <c r="L10"/>
      <c r="M10"/>
      <c r="N10"/>
      <c r="O10"/>
    </row>
    <row r="11" spans="1:18" x14ac:dyDescent="0.35">
      <c r="A11" s="19" t="s">
        <v>37</v>
      </c>
      <c r="B11" s="20" t="s">
        <v>38</v>
      </c>
      <c r="C11" s="21" t="s">
        <v>39</v>
      </c>
      <c r="D11" s="9">
        <v>16</v>
      </c>
      <c r="E11" s="10">
        <v>15</v>
      </c>
      <c r="F11" s="11">
        <f t="shared" si="0"/>
        <v>19</v>
      </c>
      <c r="G11" s="11"/>
      <c r="H11" s="18"/>
      <c r="I11" s="11">
        <v>19</v>
      </c>
      <c r="J11" s="17"/>
      <c r="K11" t="s">
        <v>217</v>
      </c>
      <c r="L11" s="41">
        <v>4.05</v>
      </c>
      <c r="M11" s="40">
        <f t="shared" ref="M11:M13" si="2">L11*I11</f>
        <v>76.95</v>
      </c>
    </row>
    <row r="12" spans="1:18" x14ac:dyDescent="0.35">
      <c r="A12" s="19" t="s">
        <v>40</v>
      </c>
      <c r="B12" s="7" t="s">
        <v>41</v>
      </c>
      <c r="C12" s="8" t="s">
        <v>42</v>
      </c>
      <c r="D12" s="9">
        <v>2</v>
      </c>
      <c r="E12" s="10">
        <v>10</v>
      </c>
      <c r="F12" s="11">
        <f t="shared" si="0"/>
        <v>3</v>
      </c>
      <c r="G12" s="11"/>
      <c r="H12" s="18"/>
      <c r="I12" s="11">
        <v>3</v>
      </c>
      <c r="J12" s="17"/>
      <c r="K12" t="s">
        <v>217</v>
      </c>
      <c r="L12" s="41">
        <v>72.430000000000007</v>
      </c>
      <c r="M12" s="40">
        <f t="shared" si="2"/>
        <v>217.29000000000002</v>
      </c>
    </row>
    <row r="13" spans="1:18" x14ac:dyDescent="0.35">
      <c r="A13" s="19" t="s">
        <v>43</v>
      </c>
      <c r="B13" s="20" t="s">
        <v>44</v>
      </c>
      <c r="C13" s="21" t="s">
        <v>45</v>
      </c>
      <c r="D13" s="9">
        <v>2</v>
      </c>
      <c r="E13" s="10">
        <v>10</v>
      </c>
      <c r="F13" s="11">
        <f t="shared" si="0"/>
        <v>3</v>
      </c>
      <c r="G13" s="11"/>
      <c r="H13" s="18"/>
      <c r="I13" s="11">
        <v>3</v>
      </c>
      <c r="J13" s="17"/>
      <c r="K13" t="s">
        <v>217</v>
      </c>
      <c r="L13" s="41">
        <v>51.06</v>
      </c>
      <c r="M13" s="40">
        <f t="shared" si="2"/>
        <v>153.18</v>
      </c>
    </row>
    <row r="14" spans="1:18" hidden="1" x14ac:dyDescent="0.35">
      <c r="A14" s="16" t="s">
        <v>46</v>
      </c>
      <c r="B14" s="7" t="s">
        <v>47</v>
      </c>
      <c r="C14" s="8" t="s">
        <v>48</v>
      </c>
      <c r="D14" s="9">
        <v>0</v>
      </c>
      <c r="E14" s="10">
        <v>10</v>
      </c>
      <c r="F14" s="11">
        <f t="shared" si="0"/>
        <v>0</v>
      </c>
      <c r="G14" s="11"/>
      <c r="H14" s="18"/>
      <c r="I14" s="18"/>
      <c r="J14" s="17"/>
      <c r="K14"/>
      <c r="L14"/>
      <c r="M14"/>
      <c r="N14"/>
      <c r="O14"/>
      <c r="P14"/>
      <c r="Q14"/>
      <c r="R14"/>
    </row>
    <row r="15" spans="1:18" hidden="1" x14ac:dyDescent="0.35">
      <c r="A15" s="16" t="s">
        <v>49</v>
      </c>
      <c r="B15" s="7" t="s">
        <v>50</v>
      </c>
      <c r="C15" s="8" t="s">
        <v>51</v>
      </c>
      <c r="D15" s="9">
        <v>0</v>
      </c>
      <c r="E15" s="10">
        <v>0</v>
      </c>
      <c r="F15" s="11">
        <f t="shared" si="0"/>
        <v>0</v>
      </c>
      <c r="G15" s="11"/>
      <c r="H15" s="18"/>
      <c r="I15" s="18"/>
      <c r="J15" s="17"/>
      <c r="K15"/>
      <c r="L15"/>
      <c r="M15"/>
      <c r="N15"/>
      <c r="O15"/>
      <c r="P15"/>
      <c r="Q15"/>
      <c r="R15"/>
    </row>
    <row r="16" spans="1:18" hidden="1" x14ac:dyDescent="0.35">
      <c r="A16" s="16" t="s">
        <v>52</v>
      </c>
      <c r="B16" s="7" t="s">
        <v>53</v>
      </c>
      <c r="C16" s="8" t="s">
        <v>54</v>
      </c>
      <c r="D16" s="9">
        <v>0</v>
      </c>
      <c r="E16" s="10">
        <v>10</v>
      </c>
      <c r="F16" s="11">
        <f t="shared" si="0"/>
        <v>0</v>
      </c>
      <c r="G16" s="11"/>
      <c r="H16" s="18"/>
      <c r="I16" s="18"/>
      <c r="J16" s="17"/>
      <c r="K16"/>
      <c r="L16"/>
      <c r="M16"/>
      <c r="N16"/>
      <c r="O16"/>
      <c r="P16"/>
      <c r="Q16"/>
      <c r="R16"/>
    </row>
    <row r="17" spans="1:21" x14ac:dyDescent="0.35">
      <c r="A17" s="16" t="s">
        <v>55</v>
      </c>
      <c r="B17" s="7" t="s">
        <v>56</v>
      </c>
      <c r="C17" s="8" t="s">
        <v>57</v>
      </c>
      <c r="D17" s="9">
        <v>2</v>
      </c>
      <c r="E17" s="10">
        <v>0</v>
      </c>
      <c r="F17" s="11">
        <f t="shared" si="0"/>
        <v>2</v>
      </c>
      <c r="G17" s="11"/>
      <c r="H17" s="18"/>
      <c r="I17" s="11">
        <v>2</v>
      </c>
      <c r="J17" s="17"/>
      <c r="K17" t="s">
        <v>217</v>
      </c>
      <c r="L17" s="41">
        <v>7.33</v>
      </c>
      <c r="M17" s="40">
        <f t="shared" ref="M17:M25" si="3">L17*I17</f>
        <v>14.66</v>
      </c>
      <c r="P17"/>
      <c r="Q17"/>
      <c r="R17"/>
    </row>
    <row r="18" spans="1:21" x14ac:dyDescent="0.35">
      <c r="A18" s="19" t="s">
        <v>58</v>
      </c>
      <c r="B18" s="20" t="s">
        <v>59</v>
      </c>
      <c r="C18" s="22" t="s">
        <v>60</v>
      </c>
      <c r="D18" s="9">
        <v>11</v>
      </c>
      <c r="E18" s="10">
        <v>15</v>
      </c>
      <c r="F18" s="11">
        <f t="shared" si="0"/>
        <v>13</v>
      </c>
      <c r="G18" s="11"/>
      <c r="H18" s="18"/>
      <c r="I18" s="11">
        <v>13</v>
      </c>
      <c r="J18" s="14"/>
      <c r="K18" t="s">
        <v>217</v>
      </c>
      <c r="L18" s="41">
        <v>11.47</v>
      </c>
      <c r="M18" s="40">
        <f t="shared" si="3"/>
        <v>149.11000000000001</v>
      </c>
      <c r="P18"/>
      <c r="Q18"/>
      <c r="R18"/>
      <c r="S18"/>
      <c r="T18"/>
      <c r="U18"/>
    </row>
    <row r="19" spans="1:21" x14ac:dyDescent="0.35">
      <c r="A19" s="19" t="s">
        <v>61</v>
      </c>
      <c r="B19" s="20" t="s">
        <v>62</v>
      </c>
      <c r="C19" s="22">
        <v>8595568905888</v>
      </c>
      <c r="D19" s="9">
        <v>61</v>
      </c>
      <c r="E19" s="10">
        <v>15</v>
      </c>
      <c r="F19" s="11">
        <f t="shared" si="0"/>
        <v>71</v>
      </c>
      <c r="G19" s="12"/>
      <c r="H19" s="18"/>
      <c r="I19" s="11">
        <v>71</v>
      </c>
      <c r="J19" s="14"/>
      <c r="K19" t="s">
        <v>217</v>
      </c>
      <c r="L19" s="41">
        <v>4.6100000000000003</v>
      </c>
      <c r="M19" s="40">
        <f t="shared" si="3"/>
        <v>327.31</v>
      </c>
      <c r="P19"/>
      <c r="Q19"/>
      <c r="R19"/>
      <c r="S19"/>
      <c r="T19"/>
      <c r="U19"/>
    </row>
    <row r="20" spans="1:21" x14ac:dyDescent="0.35">
      <c r="A20" s="19" t="s">
        <v>63</v>
      </c>
      <c r="B20" s="20" t="s">
        <v>64</v>
      </c>
      <c r="C20" s="22">
        <v>8595057630598</v>
      </c>
      <c r="D20" s="9">
        <v>2</v>
      </c>
      <c r="E20" s="10">
        <v>0</v>
      </c>
      <c r="F20" s="11">
        <f t="shared" si="0"/>
        <v>2</v>
      </c>
      <c r="G20" s="12" t="s">
        <v>65</v>
      </c>
      <c r="H20" s="13">
        <f>F20*1</f>
        <v>2</v>
      </c>
      <c r="I20" s="44">
        <v>3</v>
      </c>
      <c r="J20" s="42" t="s">
        <v>93</v>
      </c>
      <c r="K20" t="s">
        <v>217</v>
      </c>
      <c r="L20" s="41">
        <v>123.42</v>
      </c>
      <c r="M20" s="40">
        <f t="shared" si="3"/>
        <v>370.26</v>
      </c>
      <c r="P20"/>
      <c r="Q20"/>
      <c r="R20"/>
      <c r="S20"/>
      <c r="T20"/>
      <c r="U20"/>
    </row>
    <row r="21" spans="1:21" x14ac:dyDescent="0.35">
      <c r="A21" s="19" t="s">
        <v>66</v>
      </c>
      <c r="B21" s="20" t="s">
        <v>67</v>
      </c>
      <c r="C21" s="22">
        <v>8595568944986</v>
      </c>
      <c r="D21" s="9">
        <v>8</v>
      </c>
      <c r="E21" s="10">
        <v>15</v>
      </c>
      <c r="F21" s="11">
        <f t="shared" si="0"/>
        <v>10</v>
      </c>
      <c r="G21" s="11"/>
      <c r="H21" s="18"/>
      <c r="I21" s="11">
        <v>10</v>
      </c>
      <c r="J21" s="14"/>
      <c r="K21" t="s">
        <v>217</v>
      </c>
      <c r="L21" s="41">
        <v>4.6100000000000003</v>
      </c>
      <c r="M21" s="40">
        <f t="shared" si="3"/>
        <v>46.1</v>
      </c>
      <c r="P21"/>
      <c r="Q21"/>
      <c r="R21"/>
      <c r="S21"/>
      <c r="T21"/>
      <c r="U21"/>
    </row>
    <row r="22" spans="1:21" x14ac:dyDescent="0.35">
      <c r="A22" s="19" t="s">
        <v>68</v>
      </c>
      <c r="B22" s="20" t="s">
        <v>69</v>
      </c>
      <c r="C22" s="22">
        <v>8595057642737</v>
      </c>
      <c r="D22" s="9">
        <v>8</v>
      </c>
      <c r="E22" s="10">
        <v>15</v>
      </c>
      <c r="F22" s="11">
        <f t="shared" si="0"/>
        <v>10</v>
      </c>
      <c r="G22" s="11"/>
      <c r="H22" s="18"/>
      <c r="I22" s="11">
        <v>10</v>
      </c>
      <c r="J22" s="14"/>
      <c r="K22" t="s">
        <v>217</v>
      </c>
      <c r="L22" s="41">
        <v>0.1</v>
      </c>
      <c r="M22" s="40">
        <f t="shared" si="3"/>
        <v>1</v>
      </c>
      <c r="P22"/>
      <c r="Q22"/>
      <c r="R22"/>
      <c r="S22"/>
      <c r="T22"/>
      <c r="U22"/>
    </row>
    <row r="23" spans="1:21" x14ac:dyDescent="0.35">
      <c r="A23" s="19" t="s">
        <v>70</v>
      </c>
      <c r="B23" s="20" t="s">
        <v>71</v>
      </c>
      <c r="C23" s="22">
        <v>8595057642515</v>
      </c>
      <c r="D23" s="9">
        <v>8</v>
      </c>
      <c r="E23" s="10">
        <v>15</v>
      </c>
      <c r="F23" s="11">
        <f t="shared" si="0"/>
        <v>10</v>
      </c>
      <c r="G23" s="11"/>
      <c r="H23" s="18"/>
      <c r="I23" s="11">
        <v>10</v>
      </c>
      <c r="J23" s="14"/>
      <c r="K23" t="s">
        <v>217</v>
      </c>
      <c r="L23" s="41">
        <v>1.33</v>
      </c>
      <c r="M23" s="40">
        <f t="shared" si="3"/>
        <v>13.3</v>
      </c>
      <c r="P23"/>
      <c r="Q23"/>
      <c r="R23"/>
      <c r="S23"/>
      <c r="T23"/>
      <c r="U23"/>
    </row>
    <row r="24" spans="1:21" x14ac:dyDescent="0.35">
      <c r="A24" s="19" t="s">
        <v>72</v>
      </c>
      <c r="B24" s="20" t="s">
        <v>73</v>
      </c>
      <c r="C24" s="22">
        <v>8595057642560</v>
      </c>
      <c r="D24" s="9">
        <v>8</v>
      </c>
      <c r="E24" s="10">
        <v>15</v>
      </c>
      <c r="F24" s="11">
        <f t="shared" si="0"/>
        <v>10</v>
      </c>
      <c r="G24" s="11"/>
      <c r="H24" s="18"/>
      <c r="I24" s="11">
        <v>10</v>
      </c>
      <c r="J24" s="14"/>
      <c r="K24" s="5" t="s">
        <v>217</v>
      </c>
      <c r="L24" s="40">
        <v>1.5</v>
      </c>
      <c r="M24" s="40">
        <f t="shared" si="3"/>
        <v>15</v>
      </c>
    </row>
    <row r="25" spans="1:21" x14ac:dyDescent="0.35">
      <c r="A25" s="16" t="s">
        <v>74</v>
      </c>
      <c r="B25" s="7" t="s">
        <v>75</v>
      </c>
      <c r="C25" s="8" t="s">
        <v>76</v>
      </c>
      <c r="D25" s="9">
        <v>5</v>
      </c>
      <c r="E25" s="10">
        <v>0</v>
      </c>
      <c r="F25" s="11">
        <f t="shared" si="0"/>
        <v>5</v>
      </c>
      <c r="G25" s="12" t="s">
        <v>65</v>
      </c>
      <c r="H25" s="13">
        <f>F25*1</f>
        <v>5</v>
      </c>
      <c r="I25" s="44">
        <v>6</v>
      </c>
      <c r="J25" s="42" t="s">
        <v>11</v>
      </c>
      <c r="K25" s="5" t="s">
        <v>217</v>
      </c>
      <c r="L25" s="40">
        <v>4.12</v>
      </c>
      <c r="M25" s="40">
        <f t="shared" si="3"/>
        <v>24.72</v>
      </c>
    </row>
    <row r="26" spans="1:21" hidden="1" x14ac:dyDescent="0.35">
      <c r="A26" s="16" t="s">
        <v>77</v>
      </c>
      <c r="B26" s="7" t="s">
        <v>78</v>
      </c>
      <c r="C26" s="8" t="s">
        <v>79</v>
      </c>
      <c r="D26" s="9">
        <v>0</v>
      </c>
      <c r="E26" s="10">
        <v>20</v>
      </c>
      <c r="F26" s="11">
        <f t="shared" si="0"/>
        <v>0</v>
      </c>
      <c r="G26" s="11"/>
      <c r="H26" s="18"/>
      <c r="I26" s="18"/>
      <c r="J26" s="17"/>
      <c r="K26"/>
      <c r="L26"/>
      <c r="M26"/>
      <c r="N26"/>
      <c r="O26"/>
      <c r="P26"/>
      <c r="Q26"/>
      <c r="R26"/>
    </row>
    <row r="27" spans="1:21" x14ac:dyDescent="0.35">
      <c r="A27" s="16" t="s">
        <v>80</v>
      </c>
      <c r="B27" s="7" t="s">
        <v>81</v>
      </c>
      <c r="C27" s="8" t="s">
        <v>82</v>
      </c>
      <c r="D27" s="9">
        <v>100</v>
      </c>
      <c r="E27" s="10">
        <v>0</v>
      </c>
      <c r="F27" s="11">
        <f t="shared" si="0"/>
        <v>100</v>
      </c>
      <c r="G27" s="11"/>
      <c r="H27" s="18"/>
      <c r="I27" s="11">
        <v>100</v>
      </c>
      <c r="J27" s="12"/>
      <c r="K27" t="s">
        <v>217</v>
      </c>
      <c r="L27" s="41">
        <v>0.1</v>
      </c>
      <c r="M27" s="40">
        <f t="shared" ref="M27:M35" si="4">L27*I27</f>
        <v>10</v>
      </c>
      <c r="P27"/>
      <c r="Q27"/>
      <c r="R27"/>
    </row>
    <row r="28" spans="1:21" x14ac:dyDescent="0.35">
      <c r="A28" s="6" t="s">
        <v>8</v>
      </c>
      <c r="B28" s="8" t="s">
        <v>83</v>
      </c>
      <c r="C28" s="8" t="s">
        <v>84</v>
      </c>
      <c r="D28" s="23">
        <v>5</v>
      </c>
      <c r="E28" s="10">
        <v>0</v>
      </c>
      <c r="F28" s="23">
        <f t="shared" si="0"/>
        <v>5</v>
      </c>
      <c r="G28" s="11"/>
      <c r="H28" s="18"/>
      <c r="I28" s="18">
        <v>5</v>
      </c>
      <c r="J28" s="17"/>
      <c r="K28" t="s">
        <v>218</v>
      </c>
      <c r="L28" s="41">
        <v>317</v>
      </c>
      <c r="M28" s="40">
        <f t="shared" si="4"/>
        <v>1585</v>
      </c>
    </row>
    <row r="29" spans="1:21" x14ac:dyDescent="0.35">
      <c r="A29" s="19" t="s">
        <v>85</v>
      </c>
      <c r="B29" s="20" t="s">
        <v>86</v>
      </c>
      <c r="C29" s="24" t="s">
        <v>87</v>
      </c>
      <c r="D29" s="9">
        <v>13</v>
      </c>
      <c r="E29" s="10">
        <v>0</v>
      </c>
      <c r="F29" s="11">
        <f t="shared" si="0"/>
        <v>13</v>
      </c>
      <c r="G29" s="12" t="s">
        <v>65</v>
      </c>
      <c r="H29" s="13">
        <f>F29*1</f>
        <v>13</v>
      </c>
      <c r="I29" s="43">
        <v>13</v>
      </c>
      <c r="J29" s="43" t="s">
        <v>226</v>
      </c>
      <c r="K29" t="s">
        <v>219</v>
      </c>
      <c r="L29" s="41">
        <v>7.1</v>
      </c>
      <c r="M29" s="40">
        <f t="shared" si="4"/>
        <v>92.3</v>
      </c>
    </row>
    <row r="30" spans="1:21" x14ac:dyDescent="0.35">
      <c r="A30" s="16" t="s">
        <v>88</v>
      </c>
      <c r="B30" s="20" t="s">
        <v>89</v>
      </c>
      <c r="C30" s="22">
        <v>8595057642706</v>
      </c>
      <c r="D30" s="9">
        <v>176</v>
      </c>
      <c r="E30" s="10">
        <v>15</v>
      </c>
      <c r="F30" s="11">
        <f t="shared" si="0"/>
        <v>203</v>
      </c>
      <c r="G30" s="11"/>
      <c r="H30" s="18"/>
      <c r="I30" s="11">
        <v>203</v>
      </c>
      <c r="J30" s="17"/>
      <c r="K30" t="s">
        <v>220</v>
      </c>
      <c r="L30" s="41">
        <v>0.2</v>
      </c>
      <c r="M30" s="40">
        <f t="shared" si="4"/>
        <v>40.6</v>
      </c>
    </row>
    <row r="31" spans="1:21" x14ac:dyDescent="0.35">
      <c r="A31" s="6" t="s">
        <v>90</v>
      </c>
      <c r="B31" s="8" t="s">
        <v>91</v>
      </c>
      <c r="C31" s="8" t="s">
        <v>92</v>
      </c>
      <c r="D31" s="9">
        <v>7</v>
      </c>
      <c r="E31" s="10">
        <v>10</v>
      </c>
      <c r="F31" s="11">
        <f t="shared" si="0"/>
        <v>8</v>
      </c>
      <c r="G31" s="12" t="s">
        <v>93</v>
      </c>
      <c r="H31" s="13">
        <f>F31*3</f>
        <v>24</v>
      </c>
      <c r="I31" s="13">
        <v>24</v>
      </c>
      <c r="J31" s="17"/>
      <c r="K31" t="s">
        <v>217</v>
      </c>
      <c r="L31" s="41">
        <v>22.47</v>
      </c>
      <c r="M31" s="40">
        <f t="shared" si="4"/>
        <v>539.28</v>
      </c>
    </row>
    <row r="32" spans="1:21" x14ac:dyDescent="0.35">
      <c r="A32" s="16" t="s">
        <v>13</v>
      </c>
      <c r="B32" s="8" t="s">
        <v>94</v>
      </c>
      <c r="C32" s="8" t="s">
        <v>95</v>
      </c>
      <c r="D32" s="9">
        <v>32</v>
      </c>
      <c r="E32" s="10">
        <v>20</v>
      </c>
      <c r="F32" s="11">
        <f t="shared" si="0"/>
        <v>39</v>
      </c>
      <c r="G32" s="12"/>
      <c r="H32" s="13"/>
      <c r="I32" s="12">
        <v>39</v>
      </c>
      <c r="J32" s="17"/>
      <c r="K32" t="s">
        <v>217</v>
      </c>
      <c r="L32" s="41">
        <v>7.21</v>
      </c>
      <c r="M32" s="40">
        <f t="shared" si="4"/>
        <v>281.19</v>
      </c>
    </row>
    <row r="33" spans="1:21" x14ac:dyDescent="0.35">
      <c r="A33" s="16" t="s">
        <v>16</v>
      </c>
      <c r="B33" s="8" t="s">
        <v>96</v>
      </c>
      <c r="C33" s="8" t="s">
        <v>97</v>
      </c>
      <c r="D33" s="9">
        <v>9</v>
      </c>
      <c r="E33" s="10">
        <v>10</v>
      </c>
      <c r="F33" s="11">
        <f t="shared" si="0"/>
        <v>10</v>
      </c>
      <c r="G33" s="12" t="s">
        <v>11</v>
      </c>
      <c r="H33" s="13">
        <f>F33*2</f>
        <v>20</v>
      </c>
      <c r="I33" s="13">
        <v>20</v>
      </c>
      <c r="J33" s="17"/>
      <c r="K33" t="s">
        <v>217</v>
      </c>
      <c r="L33" s="41">
        <v>19.260000000000002</v>
      </c>
      <c r="M33" s="40">
        <f t="shared" si="4"/>
        <v>385.20000000000005</v>
      </c>
    </row>
    <row r="34" spans="1:21" x14ac:dyDescent="0.35">
      <c r="A34" s="16" t="s">
        <v>19</v>
      </c>
      <c r="B34" s="8" t="s">
        <v>98</v>
      </c>
      <c r="C34" s="8" t="s">
        <v>99</v>
      </c>
      <c r="D34" s="9">
        <v>258</v>
      </c>
      <c r="E34" s="10">
        <v>15</v>
      </c>
      <c r="F34" s="11">
        <f t="shared" si="0"/>
        <v>297</v>
      </c>
      <c r="G34" s="11"/>
      <c r="H34" s="18"/>
      <c r="I34" s="11">
        <v>297</v>
      </c>
      <c r="J34" s="17"/>
      <c r="K34" t="s">
        <v>217</v>
      </c>
      <c r="L34" s="41">
        <v>0.17</v>
      </c>
      <c r="M34" s="40">
        <f t="shared" si="4"/>
        <v>50.49</v>
      </c>
    </row>
    <row r="35" spans="1:21" x14ac:dyDescent="0.35">
      <c r="A35" s="19" t="s">
        <v>22</v>
      </c>
      <c r="B35" s="21" t="s">
        <v>100</v>
      </c>
      <c r="C35" s="21" t="s">
        <v>101</v>
      </c>
      <c r="D35" s="9">
        <v>50</v>
      </c>
      <c r="E35" s="10">
        <v>20</v>
      </c>
      <c r="F35" s="11">
        <f t="shared" si="0"/>
        <v>60</v>
      </c>
      <c r="G35" s="11"/>
      <c r="H35" s="18"/>
      <c r="I35" s="11">
        <v>60</v>
      </c>
      <c r="J35" s="12"/>
      <c r="K35" t="s">
        <v>217</v>
      </c>
      <c r="L35" s="41">
        <v>4.4400000000000004</v>
      </c>
      <c r="M35" s="40">
        <f t="shared" si="4"/>
        <v>266.40000000000003</v>
      </c>
    </row>
    <row r="36" spans="1:21" hidden="1" x14ac:dyDescent="0.35">
      <c r="A36" s="19" t="s">
        <v>25</v>
      </c>
      <c r="B36" s="21" t="s">
        <v>102</v>
      </c>
      <c r="C36" s="21" t="s">
        <v>103</v>
      </c>
      <c r="D36" s="9">
        <v>0</v>
      </c>
      <c r="E36" s="10">
        <v>0</v>
      </c>
      <c r="F36" s="11">
        <f t="shared" si="0"/>
        <v>0</v>
      </c>
      <c r="G36" s="11"/>
      <c r="H36" s="18"/>
      <c r="I36" s="18"/>
      <c r="J36" s="12"/>
      <c r="K36"/>
      <c r="L36"/>
      <c r="M36"/>
      <c r="N36"/>
      <c r="O36"/>
      <c r="P36"/>
      <c r="Q36"/>
      <c r="R36"/>
    </row>
    <row r="37" spans="1:21" hidden="1" x14ac:dyDescent="0.35">
      <c r="A37" s="19" t="s">
        <v>28</v>
      </c>
      <c r="B37" s="21" t="s">
        <v>104</v>
      </c>
      <c r="C37" s="21" t="s">
        <v>105</v>
      </c>
      <c r="D37" s="9">
        <v>0</v>
      </c>
      <c r="E37" s="10">
        <v>10</v>
      </c>
      <c r="F37" s="11">
        <f t="shared" si="0"/>
        <v>0</v>
      </c>
      <c r="G37" s="11"/>
      <c r="H37" s="18"/>
      <c r="I37" s="18"/>
      <c r="J37" s="12"/>
      <c r="K37"/>
      <c r="L37"/>
      <c r="M37"/>
      <c r="N37"/>
      <c r="O37"/>
      <c r="P37"/>
      <c r="Q37"/>
      <c r="R37"/>
    </row>
    <row r="38" spans="1:21" hidden="1" x14ac:dyDescent="0.35">
      <c r="A38" s="19" t="s">
        <v>31</v>
      </c>
      <c r="B38" s="21" t="s">
        <v>106</v>
      </c>
      <c r="C38" s="21" t="s">
        <v>107</v>
      </c>
      <c r="D38" s="9">
        <v>0</v>
      </c>
      <c r="E38" s="10">
        <v>10</v>
      </c>
      <c r="F38" s="11">
        <f t="shared" si="0"/>
        <v>0</v>
      </c>
      <c r="G38" s="11"/>
      <c r="H38" s="18"/>
      <c r="I38" s="18"/>
      <c r="J38" s="12"/>
      <c r="K38"/>
      <c r="L38"/>
      <c r="M38"/>
      <c r="N38"/>
      <c r="O38"/>
      <c r="P38"/>
      <c r="Q38"/>
      <c r="R38"/>
    </row>
    <row r="39" spans="1:21" hidden="1" x14ac:dyDescent="0.35">
      <c r="A39" s="19" t="s">
        <v>34</v>
      </c>
      <c r="B39" s="21" t="s">
        <v>108</v>
      </c>
      <c r="C39" s="21" t="s">
        <v>109</v>
      </c>
      <c r="D39" s="9">
        <v>0</v>
      </c>
      <c r="E39" s="10">
        <v>10</v>
      </c>
      <c r="F39" s="11">
        <f t="shared" si="0"/>
        <v>0</v>
      </c>
      <c r="G39" s="11"/>
      <c r="H39" s="18"/>
      <c r="I39" s="18"/>
      <c r="J39" s="17"/>
      <c r="K39"/>
      <c r="L39"/>
      <c r="M39"/>
      <c r="N39"/>
      <c r="O39"/>
      <c r="P39"/>
      <c r="Q39"/>
      <c r="R39"/>
    </row>
    <row r="40" spans="1:21" x14ac:dyDescent="0.35">
      <c r="A40" s="19" t="s">
        <v>37</v>
      </c>
      <c r="B40" s="21" t="s">
        <v>110</v>
      </c>
      <c r="C40" s="21" t="s">
        <v>111</v>
      </c>
      <c r="D40" s="9">
        <v>40</v>
      </c>
      <c r="E40" s="10">
        <v>20</v>
      </c>
      <c r="F40" s="11">
        <f t="shared" si="0"/>
        <v>48</v>
      </c>
      <c r="G40" s="11"/>
      <c r="H40" s="18"/>
      <c r="I40" s="11">
        <v>48</v>
      </c>
      <c r="J40" s="17"/>
      <c r="K40" t="s">
        <v>217</v>
      </c>
      <c r="L40" s="41">
        <v>1.87</v>
      </c>
      <c r="M40" s="40">
        <f t="shared" ref="M40:M91" si="5">L40*I40</f>
        <v>89.76</v>
      </c>
      <c r="P40"/>
      <c r="Q40"/>
      <c r="R40"/>
    </row>
    <row r="41" spans="1:21" x14ac:dyDescent="0.35">
      <c r="A41" s="19" t="s">
        <v>40</v>
      </c>
      <c r="B41" s="8" t="s">
        <v>112</v>
      </c>
      <c r="C41" s="8" t="s">
        <v>113</v>
      </c>
      <c r="D41" s="9">
        <v>1</v>
      </c>
      <c r="E41" s="10">
        <v>10</v>
      </c>
      <c r="F41" s="11">
        <f t="shared" si="0"/>
        <v>2</v>
      </c>
      <c r="G41" s="11"/>
      <c r="H41" s="18"/>
      <c r="I41" s="11">
        <v>2</v>
      </c>
      <c r="J41" s="17"/>
      <c r="K41" t="s">
        <v>218</v>
      </c>
      <c r="L41" s="41">
        <v>38.99</v>
      </c>
      <c r="M41" s="40">
        <f t="shared" si="5"/>
        <v>77.98</v>
      </c>
      <c r="P41"/>
      <c r="Q41"/>
      <c r="R41"/>
    </row>
    <row r="42" spans="1:21" x14ac:dyDescent="0.35">
      <c r="A42" s="19" t="s">
        <v>43</v>
      </c>
      <c r="B42" s="21" t="s">
        <v>114</v>
      </c>
      <c r="C42" s="21" t="s">
        <v>115</v>
      </c>
      <c r="D42" s="9">
        <v>1</v>
      </c>
      <c r="E42" s="10">
        <v>10</v>
      </c>
      <c r="F42" s="11">
        <f t="shared" si="0"/>
        <v>2</v>
      </c>
      <c r="G42" s="11"/>
      <c r="H42" s="18"/>
      <c r="I42" s="11">
        <v>2</v>
      </c>
      <c r="J42" s="12"/>
      <c r="K42" t="s">
        <v>217</v>
      </c>
      <c r="L42" s="41">
        <v>26.88</v>
      </c>
      <c r="M42" s="40">
        <f t="shared" si="5"/>
        <v>53.76</v>
      </c>
      <c r="P42"/>
      <c r="Q42"/>
      <c r="R42"/>
    </row>
    <row r="43" spans="1:21" x14ac:dyDescent="0.35">
      <c r="A43" s="16" t="s">
        <v>46</v>
      </c>
      <c r="B43" s="8" t="s">
        <v>116</v>
      </c>
      <c r="C43" s="8" t="s">
        <v>117</v>
      </c>
      <c r="D43" s="9">
        <v>2</v>
      </c>
      <c r="E43" s="10">
        <v>0</v>
      </c>
      <c r="F43" s="11">
        <f t="shared" si="0"/>
        <v>2</v>
      </c>
      <c r="G43" s="11"/>
      <c r="H43" s="18"/>
      <c r="I43" s="11">
        <v>2</v>
      </c>
      <c r="J43" s="12"/>
      <c r="K43" t="s">
        <v>217</v>
      </c>
      <c r="L43" s="41">
        <v>48.63</v>
      </c>
      <c r="M43" s="40">
        <f t="shared" si="5"/>
        <v>97.26</v>
      </c>
      <c r="P43"/>
      <c r="Q43"/>
      <c r="R43"/>
    </row>
    <row r="44" spans="1:21" x14ac:dyDescent="0.35">
      <c r="A44" s="16" t="s">
        <v>49</v>
      </c>
      <c r="B44" s="8" t="s">
        <v>118</v>
      </c>
      <c r="C44" s="8" t="s">
        <v>119</v>
      </c>
      <c r="D44" s="9">
        <v>2</v>
      </c>
      <c r="E44" s="10">
        <v>0</v>
      </c>
      <c r="F44" s="11">
        <f t="shared" si="0"/>
        <v>2</v>
      </c>
      <c r="G44" s="11"/>
      <c r="H44" s="18"/>
      <c r="I44" s="11">
        <v>2</v>
      </c>
      <c r="J44" s="12"/>
      <c r="K44" t="s">
        <v>217</v>
      </c>
      <c r="L44" s="41">
        <v>42.06</v>
      </c>
      <c r="M44" s="40">
        <f t="shared" si="5"/>
        <v>84.12</v>
      </c>
      <c r="P44"/>
      <c r="Q44"/>
      <c r="R44"/>
      <c r="S44"/>
      <c r="T44"/>
      <c r="U44"/>
    </row>
    <row r="45" spans="1:21" x14ac:dyDescent="0.35">
      <c r="A45" s="16" t="s">
        <v>55</v>
      </c>
      <c r="B45" s="8" t="s">
        <v>120</v>
      </c>
      <c r="C45" s="8" t="s">
        <v>121</v>
      </c>
      <c r="D45" s="9">
        <v>2</v>
      </c>
      <c r="E45" s="10">
        <v>0</v>
      </c>
      <c r="F45" s="11">
        <f t="shared" si="0"/>
        <v>2</v>
      </c>
      <c r="G45" s="11"/>
      <c r="H45" s="18"/>
      <c r="I45" s="11">
        <v>2</v>
      </c>
      <c r="J45" s="14"/>
      <c r="K45" t="s">
        <v>217</v>
      </c>
      <c r="L45" s="41">
        <v>1.75</v>
      </c>
      <c r="M45" s="40">
        <f t="shared" si="5"/>
        <v>3.5</v>
      </c>
      <c r="P45"/>
      <c r="Q45"/>
      <c r="R45"/>
      <c r="S45"/>
      <c r="T45"/>
      <c r="U45"/>
    </row>
    <row r="46" spans="1:21" x14ac:dyDescent="0.35">
      <c r="A46" s="16" t="s">
        <v>122</v>
      </c>
      <c r="B46" s="8" t="s">
        <v>123</v>
      </c>
      <c r="C46" s="8" t="s">
        <v>124</v>
      </c>
      <c r="D46" s="9">
        <v>2</v>
      </c>
      <c r="E46" s="10">
        <v>0</v>
      </c>
      <c r="F46" s="11">
        <f t="shared" si="0"/>
        <v>2</v>
      </c>
      <c r="G46" s="12"/>
      <c r="H46" s="13"/>
      <c r="I46" s="12">
        <v>2</v>
      </c>
      <c r="J46" s="14"/>
      <c r="K46" t="s">
        <v>217</v>
      </c>
      <c r="L46" s="41">
        <v>1.45</v>
      </c>
      <c r="M46" s="40">
        <f t="shared" si="5"/>
        <v>2.9</v>
      </c>
      <c r="P46"/>
      <c r="Q46"/>
      <c r="R46"/>
      <c r="S46"/>
      <c r="T46"/>
      <c r="U46"/>
    </row>
    <row r="47" spans="1:21" x14ac:dyDescent="0.35">
      <c r="A47" s="19" t="s">
        <v>125</v>
      </c>
      <c r="B47" s="22" t="s">
        <v>126</v>
      </c>
      <c r="C47" s="22">
        <v>8595568916846</v>
      </c>
      <c r="D47" s="9">
        <v>16</v>
      </c>
      <c r="E47" s="10">
        <v>15</v>
      </c>
      <c r="F47" s="11">
        <f t="shared" si="0"/>
        <v>19</v>
      </c>
      <c r="G47" s="12"/>
      <c r="H47" s="13"/>
      <c r="I47" s="12">
        <v>19</v>
      </c>
      <c r="J47" s="14"/>
      <c r="K47" t="s">
        <v>217</v>
      </c>
      <c r="L47" s="41">
        <v>8.64</v>
      </c>
      <c r="M47" s="40">
        <f t="shared" si="5"/>
        <v>164.16000000000003</v>
      </c>
      <c r="P47"/>
      <c r="Q47"/>
      <c r="R47"/>
      <c r="S47"/>
      <c r="T47"/>
      <c r="U47"/>
    </row>
    <row r="48" spans="1:21" x14ac:dyDescent="0.35">
      <c r="A48" s="19" t="s">
        <v>127</v>
      </c>
      <c r="B48" s="22" t="s">
        <v>128</v>
      </c>
      <c r="C48" s="22">
        <v>8595568927972</v>
      </c>
      <c r="D48" s="9">
        <v>76</v>
      </c>
      <c r="E48" s="10">
        <v>20</v>
      </c>
      <c r="F48" s="11">
        <f t="shared" si="0"/>
        <v>92</v>
      </c>
      <c r="G48" s="11"/>
      <c r="H48" s="18"/>
      <c r="I48" s="11">
        <v>92</v>
      </c>
      <c r="J48" s="14"/>
      <c r="K48" t="s">
        <v>217</v>
      </c>
      <c r="L48" s="41">
        <v>1.38</v>
      </c>
      <c r="M48" s="40">
        <f t="shared" si="5"/>
        <v>126.96</v>
      </c>
      <c r="P48"/>
      <c r="Q48"/>
      <c r="R48"/>
      <c r="S48"/>
      <c r="T48"/>
      <c r="U48"/>
    </row>
    <row r="49" spans="1:21" x14ac:dyDescent="0.35">
      <c r="A49" s="19" t="s">
        <v>63</v>
      </c>
      <c r="B49" s="22" t="s">
        <v>129</v>
      </c>
      <c r="C49" s="22">
        <v>8595568943101</v>
      </c>
      <c r="D49" s="13">
        <v>13</v>
      </c>
      <c r="E49" s="10">
        <v>10</v>
      </c>
      <c r="F49" s="25">
        <f t="shared" si="0"/>
        <v>15</v>
      </c>
      <c r="G49" s="12"/>
      <c r="H49" s="13"/>
      <c r="I49" s="13">
        <v>15</v>
      </c>
      <c r="J49" s="42" t="s">
        <v>93</v>
      </c>
      <c r="K49" t="s">
        <v>217</v>
      </c>
      <c r="L49" s="41">
        <v>12.78</v>
      </c>
      <c r="M49" s="40">
        <f t="shared" si="5"/>
        <v>191.7</v>
      </c>
      <c r="P49"/>
      <c r="Q49"/>
      <c r="R49"/>
      <c r="S49"/>
      <c r="T49"/>
      <c r="U49"/>
    </row>
    <row r="50" spans="1:21" x14ac:dyDescent="0.35">
      <c r="A50" s="19" t="s">
        <v>127</v>
      </c>
      <c r="B50" s="22" t="s">
        <v>130</v>
      </c>
      <c r="C50" s="22">
        <v>8595568927965</v>
      </c>
      <c r="D50" s="9">
        <v>30</v>
      </c>
      <c r="E50" s="10">
        <v>20</v>
      </c>
      <c r="F50" s="11">
        <f t="shared" si="0"/>
        <v>36</v>
      </c>
      <c r="G50" s="11"/>
      <c r="H50" s="18"/>
      <c r="I50" s="11">
        <v>36</v>
      </c>
      <c r="J50" s="14"/>
      <c r="K50" t="s">
        <v>217</v>
      </c>
      <c r="L50" s="41">
        <v>1</v>
      </c>
      <c r="M50" s="40">
        <f t="shared" si="5"/>
        <v>36</v>
      </c>
      <c r="P50"/>
      <c r="Q50"/>
      <c r="R50"/>
      <c r="S50"/>
      <c r="T50"/>
      <c r="U50"/>
    </row>
    <row r="51" spans="1:21" x14ac:dyDescent="0.35">
      <c r="A51" s="19" t="s">
        <v>131</v>
      </c>
      <c r="B51" s="22" t="s">
        <v>132</v>
      </c>
      <c r="C51" s="22">
        <v>8595568928726</v>
      </c>
      <c r="D51" s="9">
        <v>20</v>
      </c>
      <c r="E51" s="10">
        <v>20</v>
      </c>
      <c r="F51" s="11">
        <f t="shared" si="0"/>
        <v>24</v>
      </c>
      <c r="G51" s="11"/>
      <c r="H51" s="18"/>
      <c r="I51" s="11">
        <v>24</v>
      </c>
      <c r="J51" s="14"/>
      <c r="K51" s="5" t="s">
        <v>217</v>
      </c>
      <c r="L51" s="40">
        <v>0.1</v>
      </c>
      <c r="M51" s="40">
        <f t="shared" si="5"/>
        <v>2.4000000000000004</v>
      </c>
    </row>
    <row r="52" spans="1:21" x14ac:dyDescent="0.35">
      <c r="A52" s="19" t="s">
        <v>70</v>
      </c>
      <c r="B52" s="22" t="s">
        <v>133</v>
      </c>
      <c r="C52" s="22">
        <v>8595568928757</v>
      </c>
      <c r="D52" s="9">
        <v>59</v>
      </c>
      <c r="E52" s="10">
        <v>20</v>
      </c>
      <c r="F52" s="11">
        <f t="shared" si="0"/>
        <v>71</v>
      </c>
      <c r="G52" s="11"/>
      <c r="H52" s="18"/>
      <c r="I52" s="11">
        <v>71</v>
      </c>
      <c r="J52" s="14"/>
      <c r="K52" s="5" t="s">
        <v>217</v>
      </c>
      <c r="L52" s="40">
        <v>1.08</v>
      </c>
      <c r="M52" s="40">
        <f t="shared" si="5"/>
        <v>76.680000000000007</v>
      </c>
    </row>
    <row r="53" spans="1:21" x14ac:dyDescent="0.35">
      <c r="A53" s="19" t="s">
        <v>72</v>
      </c>
      <c r="B53" s="22" t="s">
        <v>134</v>
      </c>
      <c r="C53" s="22">
        <v>8595568928702</v>
      </c>
      <c r="D53" s="9">
        <v>59</v>
      </c>
      <c r="E53" s="10">
        <v>20</v>
      </c>
      <c r="F53" s="11">
        <f t="shared" si="0"/>
        <v>71</v>
      </c>
      <c r="G53" s="11"/>
      <c r="H53" s="18"/>
      <c r="I53" s="11">
        <v>71</v>
      </c>
      <c r="J53" s="14"/>
      <c r="K53" s="5" t="s">
        <v>217</v>
      </c>
      <c r="L53" s="40">
        <v>0.43</v>
      </c>
      <c r="M53" s="40">
        <f t="shared" si="5"/>
        <v>30.53</v>
      </c>
    </row>
    <row r="54" spans="1:21" x14ac:dyDescent="0.35">
      <c r="A54" s="6" t="s">
        <v>135</v>
      </c>
      <c r="B54" s="8" t="s">
        <v>136</v>
      </c>
      <c r="C54" s="8" t="s">
        <v>137</v>
      </c>
      <c r="D54" s="9">
        <v>18</v>
      </c>
      <c r="E54" s="10">
        <v>10</v>
      </c>
      <c r="F54" s="11">
        <f t="shared" si="0"/>
        <v>20</v>
      </c>
      <c r="G54" s="12" t="s">
        <v>93</v>
      </c>
      <c r="H54" s="13">
        <f>F54*3</f>
        <v>60</v>
      </c>
      <c r="I54" s="13">
        <v>60</v>
      </c>
      <c r="J54" s="14"/>
      <c r="K54" s="5" t="s">
        <v>217</v>
      </c>
      <c r="L54" s="40">
        <v>23.93</v>
      </c>
      <c r="M54" s="40">
        <f t="shared" si="5"/>
        <v>1435.8</v>
      </c>
    </row>
    <row r="55" spans="1:21" x14ac:dyDescent="0.35">
      <c r="A55" s="16" t="s">
        <v>16</v>
      </c>
      <c r="B55" s="8" t="s">
        <v>138</v>
      </c>
      <c r="C55" s="8" t="s">
        <v>139</v>
      </c>
      <c r="D55" s="9">
        <v>27</v>
      </c>
      <c r="E55" s="10">
        <v>10</v>
      </c>
      <c r="F55" s="11">
        <f t="shared" si="0"/>
        <v>30</v>
      </c>
      <c r="G55" s="12" t="s">
        <v>11</v>
      </c>
      <c r="H55" s="13">
        <f>F55*2</f>
        <v>60</v>
      </c>
      <c r="I55" s="13">
        <v>60</v>
      </c>
      <c r="J55" s="14"/>
      <c r="K55" s="5" t="s">
        <v>217</v>
      </c>
      <c r="L55" s="40">
        <v>10.82</v>
      </c>
      <c r="M55" s="40">
        <f t="shared" si="5"/>
        <v>649.20000000000005</v>
      </c>
    </row>
    <row r="56" spans="1:21" x14ac:dyDescent="0.35">
      <c r="A56" s="19" t="s">
        <v>25</v>
      </c>
      <c r="B56" s="21" t="s">
        <v>140</v>
      </c>
      <c r="C56" s="21" t="s">
        <v>141</v>
      </c>
      <c r="D56" s="9">
        <v>2</v>
      </c>
      <c r="E56" s="10">
        <v>0</v>
      </c>
      <c r="F56" s="11">
        <f t="shared" si="0"/>
        <v>2</v>
      </c>
      <c r="G56" s="11"/>
      <c r="H56" s="18"/>
      <c r="I56" s="11">
        <v>2</v>
      </c>
      <c r="J56" s="12"/>
      <c r="K56" s="5" t="s">
        <v>218</v>
      </c>
      <c r="L56" s="40">
        <v>23.58</v>
      </c>
      <c r="M56" s="40">
        <f t="shared" si="5"/>
        <v>47.16</v>
      </c>
    </row>
    <row r="57" spans="1:21" x14ac:dyDescent="0.35">
      <c r="A57" s="19" t="s">
        <v>28</v>
      </c>
      <c r="B57" s="21" t="s">
        <v>142</v>
      </c>
      <c r="C57" s="21" t="s">
        <v>143</v>
      </c>
      <c r="D57" s="9">
        <v>2</v>
      </c>
      <c r="E57" s="10">
        <v>0</v>
      </c>
      <c r="F57" s="11">
        <f t="shared" si="0"/>
        <v>2</v>
      </c>
      <c r="G57" s="11"/>
      <c r="H57" s="18"/>
      <c r="I57" s="11">
        <v>2</v>
      </c>
      <c r="J57" s="12"/>
      <c r="K57" s="5" t="s">
        <v>218</v>
      </c>
      <c r="L57" s="40">
        <v>7.85</v>
      </c>
      <c r="M57" s="40">
        <f t="shared" si="5"/>
        <v>15.7</v>
      </c>
    </row>
    <row r="58" spans="1:21" x14ac:dyDescent="0.35">
      <c r="A58" s="19" t="s">
        <v>31</v>
      </c>
      <c r="B58" s="21" t="s">
        <v>144</v>
      </c>
      <c r="C58" s="21" t="s">
        <v>145</v>
      </c>
      <c r="D58" s="9">
        <v>4</v>
      </c>
      <c r="E58" s="10">
        <v>0</v>
      </c>
      <c r="F58" s="11">
        <f t="shared" si="0"/>
        <v>4</v>
      </c>
      <c r="G58" s="12"/>
      <c r="H58" s="18"/>
      <c r="I58" s="11">
        <v>4</v>
      </c>
      <c r="J58" s="14"/>
      <c r="K58" s="5" t="s">
        <v>221</v>
      </c>
      <c r="L58" s="40">
        <v>18.37</v>
      </c>
      <c r="M58" s="40">
        <f t="shared" si="5"/>
        <v>73.48</v>
      </c>
    </row>
    <row r="59" spans="1:21" x14ac:dyDescent="0.35">
      <c r="A59" s="19" t="s">
        <v>34</v>
      </c>
      <c r="B59" s="21" t="s">
        <v>146</v>
      </c>
      <c r="C59" s="21" t="s">
        <v>147</v>
      </c>
      <c r="D59" s="9">
        <v>4</v>
      </c>
      <c r="E59" s="10">
        <v>0</v>
      </c>
      <c r="F59" s="11">
        <f t="shared" si="0"/>
        <v>4</v>
      </c>
      <c r="G59" s="11"/>
      <c r="H59" s="18"/>
      <c r="I59" s="11">
        <v>4</v>
      </c>
      <c r="J59" s="14"/>
      <c r="K59" s="5" t="s">
        <v>221</v>
      </c>
      <c r="L59" s="40">
        <v>10.67</v>
      </c>
      <c r="M59" s="40">
        <f t="shared" si="5"/>
        <v>42.68</v>
      </c>
    </row>
    <row r="60" spans="1:21" x14ac:dyDescent="0.35">
      <c r="A60" s="19" t="s">
        <v>40</v>
      </c>
      <c r="B60" s="8" t="s">
        <v>148</v>
      </c>
      <c r="C60" s="8" t="s">
        <v>149</v>
      </c>
      <c r="D60" s="9">
        <v>10</v>
      </c>
      <c r="E60" s="10">
        <v>10</v>
      </c>
      <c r="F60" s="11">
        <f t="shared" si="0"/>
        <v>11</v>
      </c>
      <c r="G60" s="12"/>
      <c r="H60" s="18"/>
      <c r="I60" s="11">
        <v>11</v>
      </c>
      <c r="J60" s="12"/>
      <c r="K60" s="5" t="s">
        <v>222</v>
      </c>
      <c r="L60" s="40">
        <v>29.35</v>
      </c>
      <c r="M60" s="40">
        <f t="shared" si="5"/>
        <v>322.85000000000002</v>
      </c>
    </row>
    <row r="61" spans="1:21" x14ac:dyDescent="0.35">
      <c r="A61" s="19" t="s">
        <v>43</v>
      </c>
      <c r="B61" s="21" t="s">
        <v>150</v>
      </c>
      <c r="C61" s="21" t="s">
        <v>151</v>
      </c>
      <c r="D61" s="9">
        <v>10</v>
      </c>
      <c r="E61" s="10">
        <v>10</v>
      </c>
      <c r="F61" s="11">
        <f t="shared" si="0"/>
        <v>11</v>
      </c>
      <c r="G61" s="11"/>
      <c r="H61" s="18"/>
      <c r="I61" s="11">
        <v>11</v>
      </c>
      <c r="J61" s="12"/>
      <c r="K61" s="5" t="s">
        <v>223</v>
      </c>
      <c r="L61" s="40">
        <v>13.71</v>
      </c>
      <c r="M61" s="40">
        <f t="shared" si="5"/>
        <v>150.81</v>
      </c>
    </row>
    <row r="62" spans="1:21" x14ac:dyDescent="0.35">
      <c r="A62" s="16" t="s">
        <v>46</v>
      </c>
      <c r="B62" s="8" t="s">
        <v>152</v>
      </c>
      <c r="C62" s="8" t="s">
        <v>153</v>
      </c>
      <c r="D62" s="9">
        <v>1</v>
      </c>
      <c r="E62" s="10">
        <v>0</v>
      </c>
      <c r="F62" s="11">
        <f t="shared" si="0"/>
        <v>1</v>
      </c>
      <c r="G62" s="11"/>
      <c r="H62" s="18"/>
      <c r="I62" s="11">
        <v>1</v>
      </c>
      <c r="J62" s="12"/>
      <c r="K62" s="5" t="s">
        <v>218</v>
      </c>
      <c r="L62" s="40">
        <v>33.61</v>
      </c>
      <c r="M62" s="40">
        <f t="shared" si="5"/>
        <v>33.61</v>
      </c>
    </row>
    <row r="63" spans="1:21" x14ac:dyDescent="0.35">
      <c r="A63" s="16" t="s">
        <v>49</v>
      </c>
      <c r="B63" s="8" t="s">
        <v>154</v>
      </c>
      <c r="C63" s="8" t="s">
        <v>155</v>
      </c>
      <c r="D63" s="9">
        <v>1</v>
      </c>
      <c r="E63" s="10">
        <v>0</v>
      </c>
      <c r="F63" s="11">
        <f t="shared" si="0"/>
        <v>1</v>
      </c>
      <c r="G63" s="11"/>
      <c r="H63" s="18"/>
      <c r="I63" s="11">
        <v>1</v>
      </c>
      <c r="J63" s="14"/>
      <c r="K63" s="5" t="s">
        <v>218</v>
      </c>
      <c r="L63" s="41">
        <v>18.440000000000001</v>
      </c>
      <c r="M63" s="40">
        <f t="shared" si="5"/>
        <v>18.440000000000001</v>
      </c>
      <c r="P63"/>
      <c r="Q63"/>
      <c r="R63"/>
      <c r="S63"/>
      <c r="T63"/>
      <c r="U63"/>
    </row>
    <row r="64" spans="1:21" x14ac:dyDescent="0.35">
      <c r="A64" s="16" t="s">
        <v>55</v>
      </c>
      <c r="B64" s="8" t="s">
        <v>156</v>
      </c>
      <c r="C64" s="8" t="s">
        <v>157</v>
      </c>
      <c r="D64" s="9">
        <v>5</v>
      </c>
      <c r="E64" s="10">
        <v>0</v>
      </c>
      <c r="F64" s="11">
        <f t="shared" si="0"/>
        <v>5</v>
      </c>
      <c r="G64" s="12"/>
      <c r="H64" s="18"/>
      <c r="I64" s="11">
        <v>5</v>
      </c>
      <c r="J64" s="14"/>
      <c r="K64" s="5" t="s">
        <v>217</v>
      </c>
      <c r="L64" s="41">
        <v>1.83</v>
      </c>
      <c r="M64" s="40">
        <f t="shared" si="5"/>
        <v>9.15</v>
      </c>
      <c r="P64"/>
      <c r="Q64"/>
      <c r="R64"/>
      <c r="S64"/>
      <c r="T64"/>
      <c r="U64"/>
    </row>
    <row r="65" spans="1:21" x14ac:dyDescent="0.35">
      <c r="A65" s="19" t="s">
        <v>158</v>
      </c>
      <c r="B65" s="22" t="s">
        <v>159</v>
      </c>
      <c r="C65" s="22">
        <v>8595568916822</v>
      </c>
      <c r="D65" s="9">
        <v>38</v>
      </c>
      <c r="E65" s="10">
        <v>15</v>
      </c>
      <c r="F65" s="9">
        <f t="shared" si="0"/>
        <v>44</v>
      </c>
      <c r="G65" s="11"/>
      <c r="H65" s="18"/>
      <c r="I65" s="11">
        <v>44</v>
      </c>
      <c r="J65" s="14"/>
      <c r="K65" s="5" t="s">
        <v>217</v>
      </c>
      <c r="L65" s="40">
        <v>10.18</v>
      </c>
      <c r="M65" s="40">
        <f t="shared" si="5"/>
        <v>447.91999999999996</v>
      </c>
    </row>
    <row r="66" spans="1:21" x14ac:dyDescent="0.35">
      <c r="A66" s="19" t="s">
        <v>160</v>
      </c>
      <c r="B66" s="22" t="s">
        <v>161</v>
      </c>
      <c r="C66" s="22">
        <v>8595057640146</v>
      </c>
      <c r="D66" s="9">
        <v>4</v>
      </c>
      <c r="E66" s="10">
        <v>0</v>
      </c>
      <c r="F66" s="11">
        <f t="shared" si="0"/>
        <v>4</v>
      </c>
      <c r="G66" s="11"/>
      <c r="H66" s="18"/>
      <c r="I66" s="11">
        <v>4</v>
      </c>
      <c r="J66" s="14"/>
      <c r="K66" s="5" t="s">
        <v>217</v>
      </c>
      <c r="L66" s="40">
        <v>13.32</v>
      </c>
      <c r="M66" s="40">
        <f t="shared" si="5"/>
        <v>53.28</v>
      </c>
    </row>
    <row r="67" spans="1:21" x14ac:dyDescent="0.35">
      <c r="A67" s="19" t="s">
        <v>162</v>
      </c>
      <c r="B67" s="22" t="s">
        <v>163</v>
      </c>
      <c r="C67" s="22">
        <v>8595568932549</v>
      </c>
      <c r="D67" s="9">
        <v>20</v>
      </c>
      <c r="E67" s="10">
        <v>20</v>
      </c>
      <c r="F67" s="9">
        <f t="shared" ref="F67:F91" si="6">ROUNDUP(D67+(D67*(E67/100)),0)</f>
        <v>24</v>
      </c>
      <c r="G67" s="11"/>
      <c r="H67" s="18"/>
      <c r="I67" s="11">
        <v>24</v>
      </c>
      <c r="J67" s="14"/>
      <c r="K67" s="5" t="s">
        <v>217</v>
      </c>
      <c r="L67" s="40">
        <v>15.1</v>
      </c>
      <c r="M67" s="40">
        <f t="shared" si="5"/>
        <v>362.4</v>
      </c>
    </row>
    <row r="68" spans="1:21" x14ac:dyDescent="0.35">
      <c r="A68" s="19" t="s">
        <v>164</v>
      </c>
      <c r="B68" s="22" t="s">
        <v>165</v>
      </c>
      <c r="C68" s="22" t="s">
        <v>166</v>
      </c>
      <c r="D68" s="9">
        <v>40</v>
      </c>
      <c r="E68" s="10">
        <v>20</v>
      </c>
      <c r="F68" s="11">
        <f t="shared" si="6"/>
        <v>48</v>
      </c>
      <c r="G68" s="11"/>
      <c r="H68" s="18"/>
      <c r="I68" s="11">
        <v>48</v>
      </c>
      <c r="J68" s="14"/>
      <c r="K68" s="5" t="s">
        <v>217</v>
      </c>
      <c r="L68" s="40">
        <v>0.61</v>
      </c>
      <c r="M68" s="40">
        <f t="shared" si="5"/>
        <v>29.28</v>
      </c>
    </row>
    <row r="69" spans="1:21" x14ac:dyDescent="0.35">
      <c r="A69" s="19" t="s">
        <v>167</v>
      </c>
      <c r="B69" s="22" t="s">
        <v>168</v>
      </c>
      <c r="C69" s="22" t="s">
        <v>169</v>
      </c>
      <c r="D69" s="9">
        <v>40</v>
      </c>
      <c r="E69" s="10">
        <v>20</v>
      </c>
      <c r="F69" s="11">
        <f t="shared" si="6"/>
        <v>48</v>
      </c>
      <c r="G69" s="11"/>
      <c r="H69" s="18"/>
      <c r="I69" s="11">
        <v>48</v>
      </c>
      <c r="J69" s="14"/>
      <c r="K69" s="5" t="s">
        <v>217</v>
      </c>
      <c r="L69" s="40">
        <v>0.05</v>
      </c>
      <c r="M69" s="40">
        <f t="shared" si="5"/>
        <v>2.4000000000000004</v>
      </c>
    </row>
    <row r="70" spans="1:21" x14ac:dyDescent="0.35">
      <c r="A70" s="19" t="s">
        <v>170</v>
      </c>
      <c r="B70" s="22" t="s">
        <v>171</v>
      </c>
      <c r="C70" s="22" t="s">
        <v>172</v>
      </c>
      <c r="D70" s="9">
        <v>40</v>
      </c>
      <c r="E70" s="10">
        <v>20</v>
      </c>
      <c r="F70" s="11">
        <f t="shared" si="6"/>
        <v>48</v>
      </c>
      <c r="G70" s="11"/>
      <c r="H70" s="18"/>
      <c r="I70" s="11">
        <v>48</v>
      </c>
      <c r="J70" s="14"/>
      <c r="K70" s="5" t="s">
        <v>217</v>
      </c>
      <c r="L70" s="41">
        <v>0.15</v>
      </c>
      <c r="M70" s="40">
        <f t="shared" si="5"/>
        <v>7.1999999999999993</v>
      </c>
      <c r="P70"/>
      <c r="Q70"/>
      <c r="R70"/>
      <c r="S70"/>
      <c r="T70"/>
      <c r="U70"/>
    </row>
    <row r="71" spans="1:21" x14ac:dyDescent="0.35">
      <c r="A71" s="19" t="s">
        <v>173</v>
      </c>
      <c r="B71" s="22" t="s">
        <v>174</v>
      </c>
      <c r="C71" s="22" t="s">
        <v>175</v>
      </c>
      <c r="D71" s="9">
        <v>20</v>
      </c>
      <c r="E71" s="10">
        <v>20</v>
      </c>
      <c r="F71" s="11">
        <f t="shared" si="6"/>
        <v>24</v>
      </c>
      <c r="G71" s="11"/>
      <c r="H71" s="18"/>
      <c r="I71" s="11">
        <v>24</v>
      </c>
      <c r="J71" s="14"/>
      <c r="K71" s="5" t="s">
        <v>217</v>
      </c>
      <c r="L71" s="41">
        <v>6.43</v>
      </c>
      <c r="M71" s="40">
        <f t="shared" si="5"/>
        <v>154.32</v>
      </c>
      <c r="P71"/>
      <c r="Q71"/>
      <c r="R71"/>
      <c r="S71"/>
      <c r="T71"/>
      <c r="U71"/>
    </row>
    <row r="72" spans="1:21" x14ac:dyDescent="0.35">
      <c r="A72" s="19" t="s">
        <v>176</v>
      </c>
      <c r="B72" s="22" t="s">
        <v>177</v>
      </c>
      <c r="C72" s="22">
        <v>8595057633452</v>
      </c>
      <c r="D72" s="9">
        <v>4</v>
      </c>
      <c r="E72" s="10">
        <v>0</v>
      </c>
      <c r="F72" s="11">
        <f t="shared" si="6"/>
        <v>4</v>
      </c>
      <c r="G72" s="11"/>
      <c r="H72" s="18"/>
      <c r="I72" s="11">
        <v>4</v>
      </c>
      <c r="J72" s="14"/>
      <c r="K72" s="5" t="s">
        <v>217</v>
      </c>
      <c r="L72" s="41">
        <v>9.06</v>
      </c>
      <c r="M72" s="40">
        <f t="shared" si="5"/>
        <v>36.24</v>
      </c>
      <c r="P72"/>
      <c r="Q72"/>
      <c r="R72"/>
      <c r="S72"/>
      <c r="T72"/>
      <c r="U72"/>
    </row>
    <row r="73" spans="1:21" x14ac:dyDescent="0.35">
      <c r="A73" s="6" t="s">
        <v>178</v>
      </c>
      <c r="B73" s="22" t="s">
        <v>179</v>
      </c>
      <c r="C73" s="22">
        <v>8595057696297</v>
      </c>
      <c r="D73" s="9">
        <v>4</v>
      </c>
      <c r="E73" s="10">
        <v>10</v>
      </c>
      <c r="F73" s="11">
        <f t="shared" si="6"/>
        <v>5</v>
      </c>
      <c r="G73" s="12" t="s">
        <v>93</v>
      </c>
      <c r="H73" s="13">
        <f>F73*3</f>
        <v>15</v>
      </c>
      <c r="I73" s="13">
        <v>15</v>
      </c>
      <c r="J73" s="14"/>
      <c r="K73" s="5" t="s">
        <v>224</v>
      </c>
      <c r="L73" s="41">
        <v>60.2</v>
      </c>
      <c r="M73" s="40">
        <f t="shared" si="5"/>
        <v>903</v>
      </c>
      <c r="P73"/>
      <c r="Q73"/>
      <c r="R73"/>
      <c r="S73"/>
      <c r="T73"/>
      <c r="U73"/>
    </row>
    <row r="74" spans="1:21" x14ac:dyDescent="0.35">
      <c r="A74" s="16" t="s">
        <v>16</v>
      </c>
      <c r="B74" s="22" t="s">
        <v>180</v>
      </c>
      <c r="C74" s="22">
        <v>8595057657977</v>
      </c>
      <c r="D74" s="9">
        <v>6</v>
      </c>
      <c r="E74" s="10">
        <v>10</v>
      </c>
      <c r="F74" s="11">
        <f t="shared" si="6"/>
        <v>7</v>
      </c>
      <c r="G74" s="12" t="s">
        <v>11</v>
      </c>
      <c r="H74" s="13">
        <f>F74*2</f>
        <v>14</v>
      </c>
      <c r="I74" s="13">
        <v>14</v>
      </c>
      <c r="J74" s="14"/>
      <c r="K74" s="5" t="s">
        <v>217</v>
      </c>
      <c r="L74" s="41">
        <v>31.52</v>
      </c>
      <c r="M74" s="40">
        <f t="shared" si="5"/>
        <v>441.28</v>
      </c>
      <c r="P74"/>
      <c r="Q74"/>
      <c r="R74"/>
      <c r="S74"/>
      <c r="T74"/>
      <c r="U74"/>
    </row>
    <row r="75" spans="1:21" x14ac:dyDescent="0.35">
      <c r="A75" s="19" t="s">
        <v>22</v>
      </c>
      <c r="B75" s="22" t="s">
        <v>181</v>
      </c>
      <c r="C75" s="22">
        <v>8595568938053</v>
      </c>
      <c r="D75" s="9">
        <v>10</v>
      </c>
      <c r="E75" s="10">
        <v>20</v>
      </c>
      <c r="F75" s="11">
        <f t="shared" si="6"/>
        <v>12</v>
      </c>
      <c r="G75" s="11"/>
      <c r="H75" s="18"/>
      <c r="I75" s="11">
        <v>12</v>
      </c>
      <c r="J75" s="14"/>
      <c r="K75" t="s">
        <v>217</v>
      </c>
      <c r="L75" s="41">
        <v>7.78</v>
      </c>
      <c r="M75" s="40">
        <f t="shared" si="5"/>
        <v>93.36</v>
      </c>
      <c r="P75"/>
      <c r="Q75"/>
      <c r="R75"/>
      <c r="S75"/>
      <c r="T75"/>
      <c r="U75"/>
    </row>
    <row r="76" spans="1:21" x14ac:dyDescent="0.35">
      <c r="A76" s="19" t="s">
        <v>37</v>
      </c>
      <c r="B76" s="22" t="s">
        <v>182</v>
      </c>
      <c r="C76" s="22">
        <v>8595568938077</v>
      </c>
      <c r="D76" s="9">
        <v>2</v>
      </c>
      <c r="E76" s="10">
        <v>20</v>
      </c>
      <c r="F76" s="11">
        <f t="shared" si="6"/>
        <v>3</v>
      </c>
      <c r="G76" s="11"/>
      <c r="H76" s="18"/>
      <c r="I76" s="11">
        <v>3</v>
      </c>
      <c r="J76" s="14"/>
      <c r="K76" s="5" t="s">
        <v>217</v>
      </c>
      <c r="L76" s="41">
        <v>3.25</v>
      </c>
      <c r="M76" s="40">
        <f t="shared" si="5"/>
        <v>9.75</v>
      </c>
      <c r="P76"/>
      <c r="Q76"/>
      <c r="R76"/>
      <c r="S76"/>
      <c r="T76"/>
      <c r="U76"/>
    </row>
    <row r="77" spans="1:21" x14ac:dyDescent="0.35">
      <c r="A77" s="19" t="s">
        <v>183</v>
      </c>
      <c r="B77" s="22" t="s">
        <v>184</v>
      </c>
      <c r="C77" s="22">
        <v>8595568939227</v>
      </c>
      <c r="D77" s="9">
        <v>22</v>
      </c>
      <c r="E77" s="10">
        <v>20</v>
      </c>
      <c r="F77" s="11">
        <f t="shared" si="6"/>
        <v>27</v>
      </c>
      <c r="G77" s="11"/>
      <c r="H77" s="18"/>
      <c r="I77" s="11">
        <v>27</v>
      </c>
      <c r="J77" s="14"/>
      <c r="K77" s="5" t="s">
        <v>217</v>
      </c>
      <c r="L77" s="41">
        <v>1.94</v>
      </c>
      <c r="M77" s="40">
        <f t="shared" si="5"/>
        <v>52.379999999999995</v>
      </c>
      <c r="P77"/>
      <c r="Q77"/>
      <c r="R77"/>
      <c r="S77"/>
      <c r="T77"/>
      <c r="U77"/>
    </row>
    <row r="78" spans="1:21" x14ac:dyDescent="0.35">
      <c r="A78" s="19" t="s">
        <v>185</v>
      </c>
      <c r="B78" s="22" t="s">
        <v>186</v>
      </c>
      <c r="C78" s="22">
        <v>8595568929631</v>
      </c>
      <c r="D78" s="9">
        <v>22</v>
      </c>
      <c r="E78" s="10">
        <v>20</v>
      </c>
      <c r="F78" s="11">
        <f t="shared" si="6"/>
        <v>27</v>
      </c>
      <c r="G78" s="11"/>
      <c r="H78" s="18"/>
      <c r="I78" s="11">
        <v>27</v>
      </c>
      <c r="J78" s="14"/>
      <c r="K78" s="5" t="s">
        <v>218</v>
      </c>
      <c r="L78" s="41">
        <v>1.27</v>
      </c>
      <c r="M78" s="40">
        <f t="shared" si="5"/>
        <v>34.29</v>
      </c>
      <c r="P78"/>
      <c r="Q78"/>
      <c r="R78"/>
      <c r="S78"/>
      <c r="T78"/>
      <c r="U78"/>
    </row>
    <row r="79" spans="1:21" x14ac:dyDescent="0.35">
      <c r="A79" s="16" t="s">
        <v>187</v>
      </c>
      <c r="B79" s="20" t="s">
        <v>188</v>
      </c>
      <c r="C79" s="22">
        <v>8595057692947</v>
      </c>
      <c r="D79" s="9">
        <v>2029</v>
      </c>
      <c r="E79" s="10">
        <v>20</v>
      </c>
      <c r="F79" s="11">
        <f t="shared" si="6"/>
        <v>2435</v>
      </c>
      <c r="G79" s="11"/>
      <c r="H79" s="18"/>
      <c r="I79" s="11">
        <v>2435</v>
      </c>
      <c r="J79" s="14"/>
      <c r="K79" s="5" t="s">
        <v>217</v>
      </c>
      <c r="L79" s="41">
        <v>0.15</v>
      </c>
      <c r="M79" s="40">
        <f t="shared" si="5"/>
        <v>365.25</v>
      </c>
      <c r="P79"/>
      <c r="Q79"/>
      <c r="R79"/>
      <c r="S79"/>
      <c r="T79"/>
      <c r="U79"/>
    </row>
    <row r="80" spans="1:21" x14ac:dyDescent="0.35">
      <c r="A80" s="16" t="s">
        <v>189</v>
      </c>
      <c r="B80" s="20" t="s">
        <v>190</v>
      </c>
      <c r="C80" s="22">
        <v>8595057672185</v>
      </c>
      <c r="D80" s="9">
        <v>779</v>
      </c>
      <c r="E80" s="10">
        <v>15</v>
      </c>
      <c r="F80" s="11">
        <f t="shared" si="6"/>
        <v>896</v>
      </c>
      <c r="H80" s="18"/>
      <c r="I80" s="11">
        <v>896</v>
      </c>
      <c r="J80" s="14"/>
      <c r="K80" s="5" t="s">
        <v>217</v>
      </c>
      <c r="L80" s="41">
        <v>0.63</v>
      </c>
      <c r="M80" s="40">
        <f t="shared" si="5"/>
        <v>564.48</v>
      </c>
      <c r="P80"/>
      <c r="Q80"/>
      <c r="R80"/>
      <c r="S80"/>
      <c r="T80"/>
      <c r="U80"/>
    </row>
    <row r="81" spans="1:18" x14ac:dyDescent="0.35">
      <c r="A81" s="16" t="s">
        <v>191</v>
      </c>
      <c r="B81" s="20" t="s">
        <v>192</v>
      </c>
      <c r="C81" s="22">
        <v>8595057669932</v>
      </c>
      <c r="D81" s="9">
        <v>3</v>
      </c>
      <c r="E81" s="10">
        <v>0</v>
      </c>
      <c r="F81" s="11">
        <f t="shared" si="6"/>
        <v>3</v>
      </c>
      <c r="G81" s="11"/>
      <c r="H81" s="18"/>
      <c r="I81" s="11">
        <v>3</v>
      </c>
      <c r="J81" s="14"/>
      <c r="K81" s="5" t="s">
        <v>217</v>
      </c>
      <c r="L81" s="40">
        <v>3.39</v>
      </c>
      <c r="M81" s="40">
        <f t="shared" si="5"/>
        <v>10.17</v>
      </c>
    </row>
    <row r="82" spans="1:18" ht="43.5" x14ac:dyDescent="0.35">
      <c r="A82" s="19" t="s">
        <v>193</v>
      </c>
      <c r="B82" s="20" t="s">
        <v>194</v>
      </c>
      <c r="C82" s="22">
        <v>8595568939609</v>
      </c>
      <c r="D82" s="13">
        <v>33</v>
      </c>
      <c r="E82" s="10">
        <v>10</v>
      </c>
      <c r="F82" s="25">
        <f t="shared" si="6"/>
        <v>37</v>
      </c>
      <c r="G82" s="48" t="s">
        <v>229</v>
      </c>
      <c r="H82" s="50" t="s">
        <v>11</v>
      </c>
      <c r="I82" s="18">
        <v>38</v>
      </c>
      <c r="J82" s="49" t="s">
        <v>195</v>
      </c>
      <c r="K82" s="5" t="s">
        <v>230</v>
      </c>
      <c r="L82" s="40">
        <v>6.02</v>
      </c>
      <c r="M82" s="40">
        <f t="shared" si="5"/>
        <v>228.76</v>
      </c>
    </row>
    <row r="83" spans="1:18" x14ac:dyDescent="0.35">
      <c r="A83" s="19" t="s">
        <v>196</v>
      </c>
      <c r="B83" s="20" t="s">
        <v>197</v>
      </c>
      <c r="C83" s="22">
        <v>8595057642232</v>
      </c>
      <c r="D83" s="9">
        <v>354</v>
      </c>
      <c r="E83" s="10">
        <v>10</v>
      </c>
      <c r="F83" s="9">
        <f>ROUNDUP(D83+(D83*(E83/100)),0)</f>
        <v>390</v>
      </c>
      <c r="G83" s="11"/>
      <c r="H83" s="18"/>
      <c r="I83" s="11">
        <v>400</v>
      </c>
      <c r="J83" s="14"/>
      <c r="K83" s="5" t="s">
        <v>217</v>
      </c>
      <c r="L83" s="41">
        <v>1.85</v>
      </c>
      <c r="M83" s="40">
        <f t="shared" si="5"/>
        <v>740</v>
      </c>
      <c r="P83"/>
      <c r="Q83"/>
      <c r="R83"/>
    </row>
    <row r="84" spans="1:18" x14ac:dyDescent="0.35">
      <c r="A84" s="19" t="s">
        <v>198</v>
      </c>
      <c r="B84" s="20" t="s">
        <v>199</v>
      </c>
      <c r="C84" s="22">
        <v>8595057642249</v>
      </c>
      <c r="D84" s="9">
        <v>45</v>
      </c>
      <c r="E84" s="10">
        <v>10</v>
      </c>
      <c r="F84" s="9">
        <f t="shared" si="6"/>
        <v>50</v>
      </c>
      <c r="G84" s="11"/>
      <c r="H84" s="18"/>
      <c r="I84" s="11">
        <v>50</v>
      </c>
      <c r="J84" s="14"/>
      <c r="K84" s="5" t="s">
        <v>217</v>
      </c>
      <c r="L84" s="40">
        <v>2.02</v>
      </c>
      <c r="M84" s="40">
        <f t="shared" si="5"/>
        <v>101</v>
      </c>
    </row>
    <row r="85" spans="1:18" x14ac:dyDescent="0.35">
      <c r="A85" s="19" t="s">
        <v>200</v>
      </c>
      <c r="B85" s="20" t="s">
        <v>201</v>
      </c>
      <c r="C85" s="22">
        <v>8595057635401</v>
      </c>
      <c r="D85" s="9">
        <v>90</v>
      </c>
      <c r="E85" s="27">
        <v>10</v>
      </c>
      <c r="F85" s="9">
        <f t="shared" si="6"/>
        <v>99</v>
      </c>
      <c r="G85" s="11"/>
      <c r="H85" s="18"/>
      <c r="I85" s="11">
        <v>100</v>
      </c>
      <c r="J85" s="14"/>
      <c r="K85" s="5" t="s">
        <v>217</v>
      </c>
      <c r="L85" s="41">
        <v>2.3199999999999998</v>
      </c>
      <c r="M85" s="40">
        <f t="shared" si="5"/>
        <v>231.99999999999997</v>
      </c>
      <c r="P85"/>
      <c r="Q85"/>
      <c r="R85"/>
    </row>
    <row r="86" spans="1:18" x14ac:dyDescent="0.35">
      <c r="A86" s="16" t="s">
        <v>16</v>
      </c>
      <c r="B86" s="7" t="s">
        <v>202</v>
      </c>
      <c r="C86" s="8" t="s">
        <v>203</v>
      </c>
      <c r="D86" s="9">
        <v>5</v>
      </c>
      <c r="E86" s="27">
        <v>0</v>
      </c>
      <c r="F86" s="25">
        <f t="shared" si="6"/>
        <v>5</v>
      </c>
      <c r="G86" s="47" t="s">
        <v>228</v>
      </c>
      <c r="H86" s="18"/>
      <c r="I86" s="18">
        <v>5</v>
      </c>
      <c r="J86" s="29" t="s">
        <v>204</v>
      </c>
      <c r="K86"/>
      <c r="L86" s="41"/>
      <c r="M86" s="40">
        <f t="shared" si="5"/>
        <v>0</v>
      </c>
    </row>
    <row r="87" spans="1:18" x14ac:dyDescent="0.35">
      <c r="A87" s="19" t="s">
        <v>125</v>
      </c>
      <c r="B87" s="20" t="s">
        <v>205</v>
      </c>
      <c r="C87" s="22">
        <v>8595568934192</v>
      </c>
      <c r="D87" s="9">
        <v>12</v>
      </c>
      <c r="E87" s="27">
        <v>0</v>
      </c>
      <c r="F87" s="9">
        <f t="shared" si="6"/>
        <v>12</v>
      </c>
      <c r="G87" s="28"/>
      <c r="H87" s="18"/>
      <c r="I87" s="11">
        <v>12</v>
      </c>
      <c r="J87" s="29" t="s">
        <v>204</v>
      </c>
      <c r="K87" s="5" t="s">
        <v>217</v>
      </c>
      <c r="L87" s="41">
        <v>17.100000000000001</v>
      </c>
      <c r="M87" s="40">
        <f t="shared" si="5"/>
        <v>205.20000000000002</v>
      </c>
    </row>
    <row r="88" spans="1:18" x14ac:dyDescent="0.35">
      <c r="A88" s="30" t="s">
        <v>206</v>
      </c>
      <c r="B88" s="8" t="s">
        <v>207</v>
      </c>
      <c r="C88" s="8" t="s">
        <v>208</v>
      </c>
      <c r="D88" s="9">
        <v>3</v>
      </c>
      <c r="E88" s="27">
        <v>0</v>
      </c>
      <c r="F88" s="9">
        <f t="shared" si="6"/>
        <v>3</v>
      </c>
      <c r="G88" s="28"/>
      <c r="H88" s="18"/>
      <c r="I88" s="18">
        <v>9</v>
      </c>
      <c r="J88" s="29" t="s">
        <v>204</v>
      </c>
      <c r="K88" s="5" t="s">
        <v>231</v>
      </c>
      <c r="L88" s="41">
        <v>28.01</v>
      </c>
      <c r="M88" s="40">
        <f t="shared" si="5"/>
        <v>252.09</v>
      </c>
    </row>
    <row r="89" spans="1:18" x14ac:dyDescent="0.35">
      <c r="A89" s="16" t="s">
        <v>16</v>
      </c>
      <c r="B89" s="8" t="s">
        <v>209</v>
      </c>
      <c r="C89" s="8" t="s">
        <v>210</v>
      </c>
      <c r="D89" s="9">
        <v>5</v>
      </c>
      <c r="E89" s="27">
        <v>0</v>
      </c>
      <c r="F89" s="9">
        <f t="shared" si="6"/>
        <v>5</v>
      </c>
      <c r="G89" s="28"/>
      <c r="H89" s="18"/>
      <c r="I89" s="18">
        <v>10</v>
      </c>
      <c r="J89" s="29" t="s">
        <v>204</v>
      </c>
      <c r="K89" s="5" t="s">
        <v>217</v>
      </c>
      <c r="L89" s="41">
        <v>24.81</v>
      </c>
      <c r="M89" s="40">
        <f t="shared" si="5"/>
        <v>248.1</v>
      </c>
    </row>
    <row r="90" spans="1:18" x14ac:dyDescent="0.35">
      <c r="A90" s="19" t="s">
        <v>211</v>
      </c>
      <c r="B90" s="22" t="s">
        <v>212</v>
      </c>
      <c r="C90" s="22">
        <v>8595568916853</v>
      </c>
      <c r="D90" s="9">
        <v>4</v>
      </c>
      <c r="E90" s="27">
        <v>10</v>
      </c>
      <c r="F90" s="9">
        <f t="shared" si="6"/>
        <v>5</v>
      </c>
      <c r="G90" s="28"/>
      <c r="H90" s="18"/>
      <c r="I90" s="11">
        <v>5</v>
      </c>
      <c r="J90" s="29" t="s">
        <v>204</v>
      </c>
      <c r="K90" s="5" t="s">
        <v>217</v>
      </c>
      <c r="L90" s="41">
        <v>11.45</v>
      </c>
      <c r="M90" s="40">
        <f t="shared" si="5"/>
        <v>57.25</v>
      </c>
    </row>
    <row r="91" spans="1:18" x14ac:dyDescent="0.35">
      <c r="A91" s="19" t="s">
        <v>213</v>
      </c>
      <c r="B91" s="22" t="s">
        <v>214</v>
      </c>
      <c r="C91" s="22">
        <v>8595057628649</v>
      </c>
      <c r="D91" s="9">
        <v>2</v>
      </c>
      <c r="E91" s="27">
        <v>0</v>
      </c>
      <c r="F91" s="9">
        <f t="shared" si="6"/>
        <v>2</v>
      </c>
      <c r="G91" s="28"/>
      <c r="H91" s="18"/>
      <c r="I91" s="11">
        <v>2</v>
      </c>
      <c r="J91" s="29" t="s">
        <v>204</v>
      </c>
      <c r="K91" s="5" t="s">
        <v>217</v>
      </c>
      <c r="L91" s="41">
        <v>22.73</v>
      </c>
      <c r="M91" s="40">
        <f t="shared" si="5"/>
        <v>45.46</v>
      </c>
    </row>
    <row r="92" spans="1:18" x14ac:dyDescent="0.35">
      <c r="A92" s="31"/>
      <c r="B92"/>
      <c r="C92"/>
      <c r="F92" s="32"/>
      <c r="G92" s="32"/>
      <c r="H92" s="33"/>
      <c r="I92" s="32"/>
      <c r="J92"/>
      <c r="K92"/>
      <c r="L92" s="41"/>
      <c r="N92"/>
      <c r="O92"/>
    </row>
    <row r="93" spans="1:18" ht="23.5" x14ac:dyDescent="0.35">
      <c r="A93" s="34" t="s">
        <v>215</v>
      </c>
      <c r="B93"/>
      <c r="C93"/>
      <c r="F93" s="32"/>
      <c r="G93" s="32"/>
      <c r="H93" s="33"/>
      <c r="I93" s="32"/>
      <c r="J93"/>
      <c r="K93"/>
      <c r="L93" s="41" t="s">
        <v>227</v>
      </c>
      <c r="M93" s="41">
        <f>SUBTOTAL(9,M2:M91)</f>
        <v>20683.760000000002</v>
      </c>
      <c r="N93"/>
      <c r="O93"/>
    </row>
    <row r="94" spans="1:18" x14ac:dyDescent="0.35">
      <c r="A94" s="31"/>
      <c r="B94"/>
      <c r="C94"/>
      <c r="E94" s="32"/>
      <c r="F94" s="32"/>
      <c r="G94" s="32"/>
      <c r="H94" s="33"/>
      <c r="I94" s="32"/>
      <c r="J94"/>
      <c r="K94"/>
      <c r="L94" s="41"/>
      <c r="M94" s="45"/>
      <c r="N94"/>
      <c r="O94"/>
      <c r="P94"/>
      <c r="Q94"/>
      <c r="R94"/>
    </row>
    <row r="95" spans="1:18" x14ac:dyDescent="0.35">
      <c r="A95" s="31"/>
      <c r="B95"/>
      <c r="C95"/>
      <c r="E95" s="32"/>
      <c r="F95" s="32"/>
      <c r="G95" s="32"/>
      <c r="H95" s="33"/>
      <c r="I95" s="32"/>
      <c r="J95"/>
      <c r="K95"/>
      <c r="L95" s="46"/>
      <c r="M95" s="46"/>
      <c r="N95"/>
      <c r="O95"/>
      <c r="P95"/>
      <c r="Q95"/>
      <c r="R95"/>
    </row>
    <row r="96" spans="1:18" x14ac:dyDescent="0.35">
      <c r="A96" s="31"/>
      <c r="B96"/>
      <c r="C96"/>
      <c r="E96" s="32"/>
      <c r="F96" s="32"/>
      <c r="G96" s="32"/>
      <c r="H96" s="33"/>
      <c r="I96" s="32"/>
      <c r="J96"/>
      <c r="K96"/>
      <c r="L96" s="41"/>
      <c r="M96" s="41"/>
      <c r="N96"/>
      <c r="O96"/>
      <c r="P96"/>
      <c r="Q96"/>
      <c r="R96"/>
    </row>
    <row r="97" spans="1:21" x14ac:dyDescent="0.35">
      <c r="A97" s="31"/>
      <c r="B97"/>
      <c r="C97"/>
      <c r="E97" s="32"/>
      <c r="F97" s="32"/>
      <c r="G97" s="32"/>
      <c r="H97" s="33"/>
      <c r="I97" s="32"/>
      <c r="J97"/>
      <c r="K97"/>
      <c r="L97" s="41"/>
      <c r="M97" s="41"/>
      <c r="N97"/>
      <c r="O97"/>
      <c r="P97"/>
      <c r="Q97"/>
      <c r="R97"/>
    </row>
    <row r="98" spans="1:21" x14ac:dyDescent="0.35">
      <c r="A98" s="31"/>
      <c r="B98"/>
      <c r="C98"/>
      <c r="K98"/>
      <c r="L98" s="41"/>
      <c r="M98" s="41"/>
      <c r="N98"/>
      <c r="O98"/>
      <c r="P98"/>
      <c r="Q98"/>
      <c r="R98"/>
      <c r="S98"/>
      <c r="T98"/>
      <c r="U98"/>
    </row>
    <row r="99" spans="1:21" x14ac:dyDescent="0.35">
      <c r="A99" s="31"/>
      <c r="B99"/>
      <c r="C99"/>
      <c r="K99"/>
      <c r="L99" s="41"/>
      <c r="M99" s="41"/>
      <c r="N99"/>
      <c r="O99"/>
      <c r="P99"/>
      <c r="Q99"/>
      <c r="R99"/>
      <c r="S99"/>
      <c r="T99"/>
      <c r="U99"/>
    </row>
    <row r="100" spans="1:21" x14ac:dyDescent="0.35">
      <c r="A100" s="31"/>
      <c r="B100"/>
      <c r="C100"/>
      <c r="K100"/>
      <c r="L100" s="41"/>
      <c r="M100" s="41"/>
      <c r="N100"/>
      <c r="O100"/>
      <c r="P100"/>
      <c r="Q100"/>
      <c r="R100"/>
      <c r="S100"/>
      <c r="T100"/>
      <c r="U100"/>
    </row>
    <row r="101" spans="1:21" x14ac:dyDescent="0.35">
      <c r="A101" s="31"/>
      <c r="B101"/>
      <c r="C101"/>
      <c r="K101"/>
      <c r="L101" s="41"/>
      <c r="M101" s="41"/>
      <c r="N101"/>
      <c r="O101"/>
      <c r="P101"/>
      <c r="Q101"/>
      <c r="R101"/>
      <c r="S101"/>
      <c r="T101"/>
      <c r="U101"/>
    </row>
    <row r="102" spans="1:21" x14ac:dyDescent="0.35">
      <c r="A102" s="31"/>
      <c r="B102"/>
      <c r="C102"/>
      <c r="K102"/>
      <c r="L102" s="41"/>
      <c r="M102" s="41"/>
      <c r="N102"/>
      <c r="O102"/>
      <c r="P102"/>
      <c r="Q102"/>
      <c r="R102"/>
      <c r="S102"/>
      <c r="T102"/>
      <c r="U102"/>
    </row>
    <row r="103" spans="1:21" x14ac:dyDescent="0.35">
      <c r="A103" s="31"/>
      <c r="B103"/>
      <c r="C103"/>
      <c r="K103"/>
      <c r="L103" s="41"/>
      <c r="M103" s="41"/>
      <c r="N103"/>
      <c r="O103"/>
      <c r="P103"/>
      <c r="Q103"/>
      <c r="R103"/>
      <c r="S103"/>
      <c r="T103"/>
      <c r="U103"/>
    </row>
    <row r="104" spans="1:21" x14ac:dyDescent="0.35">
      <c r="A104" s="31"/>
      <c r="B104"/>
      <c r="C104"/>
      <c r="K104"/>
      <c r="L104" s="41"/>
      <c r="M104" s="41"/>
      <c r="N104"/>
      <c r="O104"/>
      <c r="P104"/>
      <c r="Q104"/>
      <c r="R104"/>
      <c r="S104"/>
      <c r="T104"/>
      <c r="U104"/>
    </row>
    <row r="105" spans="1:21" x14ac:dyDescent="0.35">
      <c r="A105" s="31"/>
      <c r="B105"/>
      <c r="C105"/>
    </row>
    <row r="106" spans="1:21" x14ac:dyDescent="0.35">
      <c r="A106" s="31"/>
      <c r="B106"/>
      <c r="C106"/>
    </row>
    <row r="107" spans="1:21" x14ac:dyDescent="0.35">
      <c r="A107" s="31"/>
      <c r="B107"/>
      <c r="C107"/>
    </row>
    <row r="108" spans="1:21" x14ac:dyDescent="0.35">
      <c r="A108" s="31"/>
      <c r="B108"/>
      <c r="C108"/>
      <c r="E108" s="32"/>
      <c r="F108" s="32"/>
      <c r="G108" s="32"/>
      <c r="H108" s="33"/>
      <c r="I108" s="32"/>
      <c r="J108"/>
      <c r="K108"/>
      <c r="L108" s="41"/>
      <c r="M108" s="41"/>
      <c r="N108"/>
      <c r="O108"/>
      <c r="P108"/>
      <c r="Q108"/>
      <c r="R108"/>
    </row>
    <row r="109" spans="1:21" x14ac:dyDescent="0.35">
      <c r="A109" s="31"/>
      <c r="B109"/>
      <c r="C109"/>
      <c r="E109" s="32"/>
      <c r="F109" s="32"/>
      <c r="G109" s="32"/>
      <c r="H109" s="33"/>
      <c r="I109" s="32"/>
      <c r="J109"/>
      <c r="K109"/>
      <c r="L109" s="41"/>
      <c r="M109" s="41"/>
      <c r="N109"/>
      <c r="O109"/>
      <c r="P109"/>
      <c r="Q109"/>
      <c r="R109"/>
    </row>
    <row r="110" spans="1:21" x14ac:dyDescent="0.35">
      <c r="A110" s="31"/>
      <c r="B110"/>
      <c r="C110"/>
      <c r="F110" s="32"/>
      <c r="G110" s="32"/>
      <c r="H110" s="33"/>
      <c r="I110" s="32"/>
      <c r="J110"/>
      <c r="K110"/>
      <c r="L110" s="41"/>
      <c r="M110" s="41"/>
      <c r="N110"/>
      <c r="O110"/>
    </row>
    <row r="111" spans="1:21" x14ac:dyDescent="0.35">
      <c r="A111" s="31"/>
      <c r="B111"/>
      <c r="C111"/>
      <c r="F111" s="32"/>
      <c r="G111" s="32"/>
      <c r="H111" s="33"/>
      <c r="I111" s="32"/>
      <c r="J111"/>
      <c r="K111"/>
      <c r="L111" s="41"/>
      <c r="M111" s="41"/>
      <c r="N111"/>
      <c r="O111"/>
    </row>
    <row r="112" spans="1:21" x14ac:dyDescent="0.35">
      <c r="A112" s="31"/>
      <c r="B112"/>
      <c r="C112"/>
      <c r="F112" s="32"/>
      <c r="G112" s="32"/>
      <c r="H112" s="33"/>
      <c r="I112" s="32"/>
      <c r="J112"/>
      <c r="K112"/>
      <c r="L112" s="41"/>
      <c r="M112" s="41"/>
      <c r="N112"/>
      <c r="O112"/>
    </row>
    <row r="113" spans="1:21" x14ac:dyDescent="0.35">
      <c r="A113" s="31"/>
      <c r="B113"/>
      <c r="C113"/>
      <c r="F113" s="32"/>
      <c r="G113" s="32"/>
      <c r="H113" s="33"/>
      <c r="I113" s="32"/>
      <c r="J113"/>
      <c r="K113"/>
      <c r="L113" s="41"/>
      <c r="M113" s="41"/>
      <c r="N113"/>
      <c r="O113"/>
    </row>
    <row r="114" spans="1:21" x14ac:dyDescent="0.35">
      <c r="A114" s="31"/>
      <c r="B114"/>
      <c r="C114"/>
      <c r="F114" s="32"/>
      <c r="G114" s="32"/>
      <c r="H114" s="33"/>
      <c r="I114" s="32"/>
      <c r="J114"/>
      <c r="K114"/>
      <c r="L114" s="41"/>
      <c r="M114" s="41"/>
      <c r="N114"/>
      <c r="O114"/>
    </row>
    <row r="115" spans="1:21" x14ac:dyDescent="0.35">
      <c r="A115" s="31"/>
      <c r="B115"/>
      <c r="C115"/>
      <c r="F115" s="32"/>
      <c r="G115" s="32"/>
      <c r="H115" s="33"/>
      <c r="I115" s="32"/>
      <c r="J115"/>
      <c r="K115"/>
      <c r="L115" s="41"/>
      <c r="M115" s="41"/>
      <c r="N115"/>
      <c r="O115"/>
    </row>
    <row r="116" spans="1:21" x14ac:dyDescent="0.35">
      <c r="A116" s="31"/>
      <c r="B116"/>
      <c r="C116"/>
      <c r="F116" s="32"/>
      <c r="G116" s="32"/>
      <c r="H116" s="33"/>
      <c r="I116" s="32"/>
      <c r="J116"/>
      <c r="K116"/>
      <c r="L116" s="41"/>
      <c r="M116" s="41"/>
      <c r="N116"/>
      <c r="O116"/>
    </row>
    <row r="117" spans="1:21" x14ac:dyDescent="0.35">
      <c r="A117" s="31"/>
      <c r="B117"/>
      <c r="C117"/>
      <c r="F117" s="32"/>
      <c r="G117" s="32"/>
      <c r="H117" s="33"/>
      <c r="I117" s="32"/>
      <c r="J117"/>
      <c r="K117"/>
      <c r="L117" s="41"/>
      <c r="M117" s="41"/>
      <c r="N117"/>
      <c r="O117"/>
    </row>
    <row r="118" spans="1:21" x14ac:dyDescent="0.35">
      <c r="A118" s="31"/>
      <c r="B118"/>
      <c r="C118"/>
      <c r="E118" s="32"/>
      <c r="F118" s="32"/>
      <c r="G118" s="32"/>
      <c r="H118" s="33"/>
      <c r="I118" s="32"/>
      <c r="J118"/>
      <c r="K118"/>
      <c r="L118" s="41"/>
      <c r="M118" s="41"/>
      <c r="N118"/>
      <c r="O118"/>
      <c r="P118"/>
      <c r="Q118"/>
      <c r="R118"/>
    </row>
    <row r="119" spans="1:21" x14ac:dyDescent="0.35">
      <c r="A119" s="31"/>
      <c r="B119"/>
      <c r="C119"/>
      <c r="E119" s="32"/>
      <c r="F119" s="32"/>
      <c r="G119" s="32"/>
      <c r="H119" s="33"/>
      <c r="I119" s="32"/>
      <c r="J119"/>
      <c r="K119"/>
      <c r="L119" s="41"/>
      <c r="M119" s="41"/>
      <c r="N119"/>
      <c r="O119"/>
      <c r="P119"/>
      <c r="Q119"/>
      <c r="R119"/>
    </row>
    <row r="120" spans="1:21" x14ac:dyDescent="0.35">
      <c r="A120" s="31"/>
      <c r="B120"/>
      <c r="C120"/>
      <c r="E120" s="32"/>
      <c r="F120" s="32"/>
      <c r="G120" s="32"/>
      <c r="H120" s="33"/>
      <c r="I120" s="32"/>
      <c r="J120"/>
      <c r="K120"/>
      <c r="L120" s="41"/>
      <c r="M120" s="41"/>
      <c r="N120"/>
      <c r="O120"/>
      <c r="P120"/>
      <c r="Q120"/>
      <c r="R120"/>
    </row>
    <row r="121" spans="1:21" x14ac:dyDescent="0.35">
      <c r="A121" s="31"/>
      <c r="B121"/>
      <c r="C121"/>
      <c r="E121" s="32"/>
      <c r="F121" s="32"/>
      <c r="G121" s="32"/>
      <c r="H121" s="33"/>
      <c r="I121" s="32"/>
      <c r="J121"/>
      <c r="K121"/>
      <c r="L121" s="41"/>
      <c r="M121" s="41"/>
      <c r="N121"/>
      <c r="O121"/>
      <c r="P121"/>
      <c r="Q121"/>
      <c r="R121"/>
    </row>
    <row r="122" spans="1:21" x14ac:dyDescent="0.35">
      <c r="A122" s="31"/>
      <c r="B122"/>
      <c r="C122"/>
      <c r="K122"/>
      <c r="L122" s="41"/>
      <c r="M122" s="41"/>
      <c r="N122"/>
      <c r="O122"/>
      <c r="P122"/>
      <c r="Q122"/>
      <c r="R122"/>
      <c r="S122"/>
      <c r="T122"/>
      <c r="U122"/>
    </row>
    <row r="123" spans="1:21" x14ac:dyDescent="0.35">
      <c r="A123" s="31"/>
      <c r="B123"/>
      <c r="C123"/>
      <c r="K123"/>
      <c r="L123" s="41"/>
      <c r="M123" s="41"/>
      <c r="N123"/>
      <c r="O123"/>
      <c r="P123"/>
      <c r="Q123"/>
      <c r="R123"/>
      <c r="S123"/>
      <c r="T123"/>
      <c r="U123"/>
    </row>
    <row r="124" spans="1:21" x14ac:dyDescent="0.35">
      <c r="A124" s="31"/>
      <c r="B124"/>
      <c r="C124"/>
      <c r="K124"/>
      <c r="L124" s="41"/>
      <c r="M124" s="41"/>
      <c r="N124"/>
      <c r="O124"/>
      <c r="P124"/>
      <c r="Q124"/>
      <c r="R124"/>
      <c r="S124"/>
      <c r="T124"/>
      <c r="U124"/>
    </row>
    <row r="125" spans="1:21" x14ac:dyDescent="0.35">
      <c r="A125" s="31"/>
      <c r="B125"/>
      <c r="C125"/>
      <c r="K125"/>
      <c r="L125" s="41"/>
      <c r="M125" s="41"/>
      <c r="N125"/>
      <c r="O125"/>
      <c r="P125"/>
      <c r="Q125"/>
      <c r="R125"/>
      <c r="S125"/>
      <c r="T125"/>
      <c r="U125"/>
    </row>
    <row r="126" spans="1:21" x14ac:dyDescent="0.35">
      <c r="A126" s="31"/>
      <c r="B126"/>
      <c r="C126"/>
      <c r="K126"/>
      <c r="L126" s="41"/>
      <c r="M126" s="41"/>
      <c r="N126"/>
      <c r="O126"/>
      <c r="P126"/>
      <c r="Q126"/>
      <c r="R126"/>
      <c r="S126"/>
      <c r="T126"/>
      <c r="U126"/>
    </row>
    <row r="127" spans="1:21" x14ac:dyDescent="0.35">
      <c r="A127" s="31"/>
      <c r="B127"/>
      <c r="C127"/>
      <c r="K127"/>
      <c r="L127" s="41"/>
      <c r="M127" s="41"/>
      <c r="N127"/>
      <c r="O127"/>
      <c r="P127"/>
      <c r="Q127"/>
      <c r="R127"/>
      <c r="S127"/>
      <c r="T127"/>
      <c r="U127"/>
    </row>
    <row r="128" spans="1:21" x14ac:dyDescent="0.35">
      <c r="A128" s="31"/>
      <c r="B128"/>
      <c r="C128"/>
      <c r="K128"/>
      <c r="L128" s="41"/>
      <c r="M128" s="41"/>
      <c r="N128"/>
      <c r="O128"/>
      <c r="P128"/>
      <c r="Q128"/>
      <c r="R128"/>
      <c r="S128"/>
      <c r="T128"/>
      <c r="U128"/>
    </row>
    <row r="129" spans="1:21" x14ac:dyDescent="0.35">
      <c r="A129" s="31"/>
      <c r="B129"/>
      <c r="C129"/>
      <c r="K129"/>
      <c r="L129" s="41"/>
      <c r="M129" s="41"/>
      <c r="N129"/>
      <c r="O129"/>
      <c r="P129"/>
      <c r="Q129"/>
      <c r="R129"/>
      <c r="S129"/>
      <c r="T129"/>
      <c r="U129"/>
    </row>
    <row r="130" spans="1:21" x14ac:dyDescent="0.35">
      <c r="A130" s="31"/>
      <c r="B130"/>
      <c r="C130"/>
      <c r="K130"/>
      <c r="L130" s="41"/>
      <c r="M130" s="41"/>
      <c r="N130"/>
      <c r="O130"/>
      <c r="P130"/>
      <c r="Q130"/>
      <c r="R130"/>
      <c r="S130"/>
      <c r="T130"/>
      <c r="U130"/>
    </row>
    <row r="131" spans="1:21" x14ac:dyDescent="0.35">
      <c r="A131" s="31"/>
      <c r="B131"/>
      <c r="C131"/>
      <c r="K131"/>
      <c r="L131" s="41"/>
      <c r="M131" s="41"/>
      <c r="N131"/>
      <c r="O131"/>
      <c r="P131"/>
      <c r="Q131"/>
      <c r="R131"/>
      <c r="S131"/>
      <c r="T131"/>
      <c r="U131"/>
    </row>
    <row r="132" spans="1:21" x14ac:dyDescent="0.35">
      <c r="A132" s="31"/>
      <c r="B132"/>
      <c r="C132"/>
      <c r="K132"/>
      <c r="L132" s="41"/>
      <c r="M132" s="41"/>
      <c r="N132"/>
      <c r="O132"/>
      <c r="P132"/>
      <c r="Q132"/>
      <c r="R132"/>
      <c r="S132"/>
      <c r="T132"/>
      <c r="U132"/>
    </row>
    <row r="133" spans="1:21" x14ac:dyDescent="0.35">
      <c r="A133" s="31"/>
      <c r="B133"/>
      <c r="C133"/>
    </row>
    <row r="134" spans="1:21" x14ac:dyDescent="0.35">
      <c r="A134" s="31"/>
      <c r="B134"/>
      <c r="C134"/>
    </row>
    <row r="135" spans="1:21" x14ac:dyDescent="0.35">
      <c r="A135" s="31"/>
      <c r="B135"/>
      <c r="C135"/>
    </row>
    <row r="136" spans="1:21" x14ac:dyDescent="0.35">
      <c r="A136" s="31"/>
      <c r="B136"/>
      <c r="C136"/>
      <c r="E136" s="32"/>
      <c r="F136" s="32"/>
      <c r="G136" s="32"/>
      <c r="H136" s="33"/>
      <c r="I136" s="32"/>
      <c r="J136"/>
      <c r="K136"/>
      <c r="L136" s="41"/>
      <c r="M136" s="41"/>
      <c r="N136"/>
      <c r="O136"/>
      <c r="P136"/>
      <c r="Q136"/>
      <c r="R136"/>
    </row>
    <row r="137" spans="1:21" x14ac:dyDescent="0.35">
      <c r="A137" s="31"/>
      <c r="B137"/>
      <c r="C137"/>
      <c r="E137" s="32"/>
      <c r="F137" s="32"/>
      <c r="G137" s="32"/>
      <c r="H137" s="33"/>
      <c r="I137" s="32"/>
      <c r="J137"/>
      <c r="K137"/>
      <c r="L137" s="41"/>
      <c r="M137" s="41"/>
      <c r="N137"/>
      <c r="O137"/>
      <c r="P137"/>
      <c r="Q137"/>
      <c r="R137"/>
    </row>
    <row r="138" spans="1:21" x14ac:dyDescent="0.35">
      <c r="A138" s="31"/>
      <c r="B138"/>
      <c r="C138"/>
      <c r="F138" s="32"/>
      <c r="G138" s="32"/>
      <c r="H138" s="33"/>
      <c r="I138" s="32"/>
      <c r="J138"/>
      <c r="K138"/>
      <c r="L138" s="41"/>
      <c r="M138" s="41"/>
      <c r="N138"/>
      <c r="O138"/>
    </row>
    <row r="139" spans="1:21" x14ac:dyDescent="0.35">
      <c r="A139" s="31"/>
      <c r="B139"/>
      <c r="C139"/>
      <c r="F139" s="32"/>
      <c r="G139" s="32"/>
      <c r="H139" s="33"/>
      <c r="I139" s="32"/>
      <c r="J139"/>
      <c r="K139"/>
      <c r="L139" s="41"/>
      <c r="M139" s="41"/>
      <c r="N139"/>
      <c r="O139"/>
    </row>
    <row r="140" spans="1:21" x14ac:dyDescent="0.35">
      <c r="A140" s="31"/>
      <c r="B140"/>
      <c r="C140"/>
      <c r="F140" s="32"/>
      <c r="G140" s="32"/>
      <c r="H140" s="33"/>
      <c r="I140" s="32"/>
      <c r="J140"/>
      <c r="K140"/>
      <c r="L140" s="41"/>
      <c r="M140" s="41"/>
      <c r="N140"/>
      <c r="O140"/>
    </row>
    <row r="141" spans="1:21" x14ac:dyDescent="0.35">
      <c r="A141" s="31"/>
      <c r="B141"/>
      <c r="C141"/>
      <c r="F141" s="32"/>
      <c r="G141" s="32"/>
      <c r="H141" s="33"/>
      <c r="I141" s="32"/>
      <c r="J141"/>
      <c r="K141"/>
      <c r="L141" s="41"/>
      <c r="M141" s="41"/>
      <c r="N141"/>
      <c r="O141"/>
    </row>
    <row r="142" spans="1:21" x14ac:dyDescent="0.35">
      <c r="A142" s="31"/>
      <c r="B142"/>
      <c r="C142"/>
      <c r="F142" s="32"/>
      <c r="G142" s="32"/>
      <c r="H142" s="33"/>
      <c r="I142" s="32"/>
      <c r="J142"/>
      <c r="K142"/>
      <c r="L142" s="41"/>
      <c r="M142" s="41"/>
      <c r="N142"/>
      <c r="O142"/>
    </row>
    <row r="143" spans="1:21" x14ac:dyDescent="0.35">
      <c r="A143" s="31"/>
      <c r="B143"/>
      <c r="C143"/>
      <c r="F143" s="32"/>
      <c r="G143" s="32"/>
      <c r="H143" s="33"/>
      <c r="I143" s="32"/>
      <c r="J143"/>
      <c r="K143"/>
      <c r="L143" s="41"/>
      <c r="M143" s="41"/>
      <c r="N143"/>
      <c r="O143"/>
    </row>
    <row r="144" spans="1:21" x14ac:dyDescent="0.35">
      <c r="A144" s="31"/>
      <c r="B144"/>
      <c r="C144"/>
      <c r="F144" s="32"/>
      <c r="G144" s="32"/>
      <c r="H144" s="33"/>
      <c r="I144" s="32"/>
      <c r="J144"/>
      <c r="K144"/>
      <c r="L144" s="41"/>
      <c r="M144" s="41"/>
      <c r="N144"/>
      <c r="O144"/>
    </row>
    <row r="145" spans="1:21" x14ac:dyDescent="0.35">
      <c r="A145" s="31"/>
      <c r="B145"/>
      <c r="C145"/>
      <c r="F145" s="32"/>
      <c r="G145" s="32"/>
      <c r="H145" s="33"/>
      <c r="I145" s="32"/>
      <c r="J145"/>
      <c r="K145"/>
      <c r="L145" s="41"/>
      <c r="M145" s="41"/>
      <c r="N145"/>
      <c r="O145"/>
    </row>
    <row r="146" spans="1:21" x14ac:dyDescent="0.35">
      <c r="A146" s="31"/>
      <c r="B146"/>
      <c r="C146"/>
      <c r="E146" s="32"/>
      <c r="F146" s="32"/>
      <c r="G146" s="32"/>
      <c r="H146" s="33"/>
      <c r="I146" s="32"/>
      <c r="J146"/>
      <c r="K146"/>
      <c r="L146" s="41"/>
      <c r="M146" s="41"/>
      <c r="N146"/>
      <c r="O146"/>
      <c r="P146"/>
      <c r="Q146"/>
      <c r="R146"/>
    </row>
    <row r="147" spans="1:21" x14ac:dyDescent="0.35">
      <c r="A147" s="31"/>
      <c r="B147"/>
      <c r="C147"/>
      <c r="E147" s="32"/>
      <c r="F147" s="32"/>
      <c r="G147" s="32"/>
      <c r="H147" s="33"/>
      <c r="I147" s="32"/>
      <c r="J147"/>
      <c r="K147"/>
      <c r="L147" s="41"/>
      <c r="M147" s="41"/>
      <c r="N147"/>
      <c r="O147"/>
      <c r="P147"/>
      <c r="Q147"/>
      <c r="R147"/>
    </row>
    <row r="148" spans="1:21" x14ac:dyDescent="0.35">
      <c r="A148" s="31"/>
      <c r="B148"/>
      <c r="C148"/>
      <c r="E148" s="32"/>
      <c r="F148" s="32"/>
      <c r="G148" s="32"/>
      <c r="H148" s="33"/>
      <c r="I148" s="32"/>
      <c r="J148"/>
      <c r="K148"/>
      <c r="L148" s="41"/>
      <c r="M148" s="41"/>
      <c r="N148"/>
      <c r="O148"/>
      <c r="P148"/>
      <c r="Q148"/>
      <c r="R148"/>
    </row>
    <row r="149" spans="1:21" x14ac:dyDescent="0.35">
      <c r="A149" s="31"/>
      <c r="B149"/>
      <c r="C149"/>
      <c r="E149" s="32"/>
      <c r="F149" s="32"/>
      <c r="G149" s="32"/>
      <c r="H149" s="33"/>
      <c r="I149" s="32"/>
      <c r="J149"/>
      <c r="K149"/>
      <c r="L149" s="41"/>
      <c r="M149" s="41"/>
      <c r="N149"/>
      <c r="O149"/>
      <c r="P149"/>
      <c r="Q149"/>
      <c r="R149"/>
    </row>
    <row r="150" spans="1:21" x14ac:dyDescent="0.35">
      <c r="A150" s="31"/>
      <c r="B150"/>
      <c r="C150"/>
      <c r="E150" s="32"/>
      <c r="F150" s="32"/>
      <c r="G150" s="32"/>
      <c r="H150" s="33"/>
      <c r="I150" s="32"/>
      <c r="J150"/>
      <c r="K150"/>
      <c r="L150" s="41"/>
      <c r="M150" s="41"/>
      <c r="N150"/>
      <c r="O150"/>
      <c r="P150"/>
      <c r="Q150"/>
      <c r="R150"/>
    </row>
    <row r="151" spans="1:21" x14ac:dyDescent="0.35">
      <c r="A151" s="31"/>
      <c r="B151"/>
      <c r="C151"/>
      <c r="K151"/>
      <c r="L151" s="41"/>
      <c r="M151" s="41"/>
      <c r="N151"/>
      <c r="O151"/>
      <c r="P151"/>
      <c r="Q151"/>
      <c r="R151"/>
      <c r="S151"/>
      <c r="T151"/>
      <c r="U151"/>
    </row>
    <row r="152" spans="1:21" x14ac:dyDescent="0.35">
      <c r="A152" s="31"/>
      <c r="B152"/>
      <c r="C152"/>
      <c r="K152"/>
      <c r="L152" s="41"/>
      <c r="M152" s="41"/>
      <c r="N152"/>
      <c r="O152"/>
      <c r="P152"/>
      <c r="Q152"/>
      <c r="R152"/>
      <c r="S152"/>
      <c r="T152"/>
      <c r="U152"/>
    </row>
    <row r="153" spans="1:21" x14ac:dyDescent="0.35">
      <c r="A153" s="31"/>
      <c r="B153"/>
      <c r="C153"/>
      <c r="K153"/>
      <c r="L153" s="41"/>
      <c r="M153" s="41"/>
      <c r="N153"/>
      <c r="O153"/>
      <c r="P153"/>
      <c r="Q153"/>
      <c r="R153"/>
      <c r="S153"/>
      <c r="T153"/>
      <c r="U153"/>
    </row>
    <row r="154" spans="1:21" x14ac:dyDescent="0.35">
      <c r="A154" s="31"/>
      <c r="B154"/>
      <c r="C154"/>
      <c r="K154"/>
      <c r="L154" s="41"/>
      <c r="M154" s="41"/>
      <c r="N154"/>
      <c r="O154"/>
      <c r="P154"/>
      <c r="Q154"/>
      <c r="R154"/>
      <c r="S154"/>
      <c r="T154"/>
      <c r="U154"/>
    </row>
    <row r="155" spans="1:21" x14ac:dyDescent="0.35">
      <c r="A155" s="31"/>
      <c r="B155"/>
      <c r="C155"/>
      <c r="K155"/>
      <c r="L155" s="41"/>
      <c r="M155" s="41"/>
      <c r="N155"/>
      <c r="O155"/>
      <c r="P155"/>
      <c r="Q155"/>
      <c r="R155"/>
      <c r="S155"/>
      <c r="T155"/>
      <c r="U155"/>
    </row>
    <row r="156" spans="1:21" x14ac:dyDescent="0.35">
      <c r="A156" s="31"/>
      <c r="B156"/>
      <c r="C156"/>
      <c r="K156"/>
      <c r="L156" s="41"/>
      <c r="M156" s="41"/>
      <c r="N156"/>
      <c r="O156"/>
      <c r="P156"/>
      <c r="Q156"/>
      <c r="R156"/>
      <c r="S156"/>
      <c r="T156"/>
      <c r="U156"/>
    </row>
    <row r="157" spans="1:21" x14ac:dyDescent="0.35">
      <c r="A157" s="31"/>
      <c r="B157"/>
      <c r="C157"/>
      <c r="K157"/>
      <c r="L157" s="41"/>
      <c r="M157" s="41"/>
      <c r="N157"/>
      <c r="O157"/>
      <c r="P157"/>
      <c r="Q157"/>
      <c r="R157"/>
      <c r="S157"/>
      <c r="T157"/>
      <c r="U157"/>
    </row>
    <row r="158" spans="1:21" x14ac:dyDescent="0.35">
      <c r="A158" s="31"/>
      <c r="B158"/>
      <c r="C158"/>
      <c r="K158"/>
      <c r="L158" s="41"/>
      <c r="M158" s="41"/>
      <c r="N158"/>
      <c r="O158"/>
      <c r="P158"/>
      <c r="Q158"/>
      <c r="R158"/>
      <c r="S158"/>
      <c r="T158"/>
      <c r="U158"/>
    </row>
    <row r="159" spans="1:21" x14ac:dyDescent="0.35">
      <c r="A159" s="31"/>
      <c r="B159"/>
      <c r="C159"/>
      <c r="K159"/>
      <c r="L159" s="41"/>
      <c r="M159" s="41"/>
      <c r="N159"/>
      <c r="O159"/>
      <c r="P159"/>
      <c r="Q159"/>
      <c r="R159"/>
      <c r="S159"/>
      <c r="T159"/>
      <c r="U159"/>
    </row>
    <row r="160" spans="1:21" x14ac:dyDescent="0.35">
      <c r="A160" s="31"/>
      <c r="B160"/>
      <c r="C160"/>
      <c r="K160"/>
      <c r="L160" s="41"/>
      <c r="M160" s="41"/>
      <c r="N160"/>
      <c r="O160"/>
      <c r="P160"/>
      <c r="Q160"/>
      <c r="R160"/>
      <c r="S160"/>
      <c r="T160"/>
      <c r="U160"/>
    </row>
    <row r="161" spans="1:21" x14ac:dyDescent="0.35">
      <c r="A161" s="31"/>
      <c r="B161"/>
      <c r="C161"/>
      <c r="K161"/>
      <c r="L161" s="41"/>
      <c r="M161" s="41"/>
      <c r="N161"/>
      <c r="O161"/>
      <c r="P161"/>
      <c r="Q161"/>
      <c r="R161"/>
      <c r="S161"/>
      <c r="T161"/>
      <c r="U161"/>
    </row>
    <row r="162" spans="1:21" x14ac:dyDescent="0.35">
      <c r="A162" s="31"/>
      <c r="B162"/>
      <c r="C162"/>
      <c r="K162"/>
      <c r="L162" s="41"/>
      <c r="M162" s="41"/>
      <c r="N162"/>
      <c r="O162"/>
      <c r="P162"/>
      <c r="Q162"/>
      <c r="R162"/>
      <c r="S162"/>
      <c r="T162"/>
      <c r="U162"/>
    </row>
    <row r="163" spans="1:21" x14ac:dyDescent="0.35">
      <c r="A163" s="31"/>
      <c r="B163"/>
      <c r="C163"/>
    </row>
    <row r="164" spans="1:21" x14ac:dyDescent="0.35">
      <c r="A164" s="31"/>
      <c r="B164"/>
      <c r="C164"/>
    </row>
    <row r="165" spans="1:21" x14ac:dyDescent="0.35">
      <c r="A165" s="31"/>
      <c r="B165"/>
      <c r="C165"/>
    </row>
    <row r="166" spans="1:21" x14ac:dyDescent="0.35">
      <c r="A166" s="31"/>
      <c r="B166"/>
      <c r="C166"/>
      <c r="E166" s="32"/>
      <c r="F166" s="32"/>
      <c r="G166" s="32"/>
      <c r="H166" s="33"/>
      <c r="I166" s="32"/>
      <c r="J166"/>
      <c r="K166"/>
      <c r="L166" s="41"/>
      <c r="M166" s="41"/>
      <c r="N166"/>
      <c r="O166"/>
      <c r="P166"/>
      <c r="Q166"/>
      <c r="R166"/>
    </row>
    <row r="167" spans="1:21" x14ac:dyDescent="0.35">
      <c r="A167" s="31"/>
      <c r="B167"/>
      <c r="C167"/>
      <c r="E167" s="32"/>
      <c r="F167" s="32"/>
      <c r="G167" s="32"/>
      <c r="H167" s="33"/>
      <c r="I167" s="32"/>
      <c r="J167"/>
      <c r="K167"/>
      <c r="L167" s="41"/>
      <c r="M167" s="41"/>
      <c r="N167"/>
      <c r="O167"/>
      <c r="P167"/>
      <c r="Q167"/>
      <c r="R167"/>
    </row>
    <row r="168" spans="1:21" x14ac:dyDescent="0.35">
      <c r="A168" s="31"/>
      <c r="B168"/>
      <c r="C168"/>
      <c r="F168" s="32"/>
      <c r="G168" s="32"/>
      <c r="H168" s="33"/>
      <c r="I168" s="32"/>
      <c r="J168"/>
      <c r="K168"/>
      <c r="L168" s="41"/>
      <c r="M168" s="41"/>
      <c r="N168"/>
      <c r="O168"/>
    </row>
    <row r="169" spans="1:21" x14ac:dyDescent="0.35">
      <c r="A169" s="31"/>
      <c r="B169"/>
      <c r="C169"/>
      <c r="F169" s="32"/>
      <c r="G169" s="32"/>
      <c r="H169" s="33"/>
      <c r="I169" s="32"/>
      <c r="J169"/>
      <c r="K169"/>
      <c r="L169" s="41"/>
      <c r="M169" s="41"/>
      <c r="N169"/>
      <c r="O169"/>
    </row>
    <row r="170" spans="1:21" x14ac:dyDescent="0.35">
      <c r="A170" s="31"/>
      <c r="B170"/>
      <c r="C170"/>
      <c r="F170" s="32"/>
      <c r="G170" s="32"/>
      <c r="H170" s="33"/>
      <c r="I170" s="32"/>
      <c r="J170"/>
      <c r="K170"/>
      <c r="L170" s="41"/>
      <c r="M170" s="41"/>
      <c r="N170"/>
      <c r="O170"/>
    </row>
    <row r="171" spans="1:21" x14ac:dyDescent="0.35">
      <c r="A171" s="31"/>
      <c r="B171"/>
      <c r="C171"/>
      <c r="F171" s="32"/>
      <c r="G171" s="32"/>
      <c r="H171" s="33"/>
      <c r="I171" s="32"/>
      <c r="J171"/>
      <c r="K171"/>
      <c r="L171" s="41"/>
      <c r="M171" s="41"/>
      <c r="N171"/>
      <c r="O171"/>
    </row>
    <row r="172" spans="1:21" x14ac:dyDescent="0.35">
      <c r="A172" s="31"/>
      <c r="B172"/>
      <c r="C172"/>
      <c r="F172" s="32"/>
      <c r="G172" s="32"/>
      <c r="H172" s="33"/>
      <c r="I172" s="32"/>
      <c r="J172"/>
      <c r="K172"/>
      <c r="L172" s="41"/>
      <c r="M172" s="41"/>
      <c r="N172"/>
      <c r="O172"/>
    </row>
    <row r="173" spans="1:21" x14ac:dyDescent="0.35">
      <c r="A173" s="31"/>
      <c r="B173"/>
      <c r="C173"/>
      <c r="F173" s="32"/>
      <c r="G173" s="32"/>
      <c r="H173" s="33"/>
      <c r="I173" s="32"/>
      <c r="J173"/>
      <c r="K173"/>
      <c r="L173" s="41"/>
      <c r="M173" s="41"/>
      <c r="N173"/>
      <c r="O173"/>
    </row>
    <row r="174" spans="1:21" x14ac:dyDescent="0.35">
      <c r="A174" s="31"/>
      <c r="B174"/>
      <c r="C174"/>
      <c r="F174" s="32"/>
      <c r="G174" s="32"/>
      <c r="H174" s="33"/>
      <c r="I174" s="32"/>
      <c r="J174"/>
      <c r="K174"/>
      <c r="L174" s="41"/>
      <c r="M174" s="41"/>
      <c r="N174"/>
      <c r="O174"/>
    </row>
    <row r="175" spans="1:21" x14ac:dyDescent="0.35">
      <c r="A175" s="31"/>
      <c r="B175"/>
      <c r="C175"/>
      <c r="F175" s="32"/>
      <c r="G175" s="32"/>
      <c r="H175" s="33"/>
      <c r="I175" s="32"/>
      <c r="J175"/>
      <c r="K175"/>
      <c r="L175" s="41"/>
      <c r="M175" s="41"/>
      <c r="N175"/>
      <c r="O175"/>
    </row>
    <row r="176" spans="1:21" x14ac:dyDescent="0.35">
      <c r="A176" s="31"/>
      <c r="B176"/>
      <c r="C176"/>
      <c r="E176" s="32"/>
      <c r="F176" s="32"/>
      <c r="G176" s="32"/>
      <c r="H176" s="33"/>
      <c r="I176" s="32"/>
      <c r="J176"/>
      <c r="K176"/>
      <c r="L176" s="41"/>
      <c r="M176" s="41"/>
      <c r="N176"/>
      <c r="O176"/>
      <c r="P176"/>
      <c r="Q176"/>
      <c r="R176"/>
    </row>
    <row r="177" spans="1:21" x14ac:dyDescent="0.35">
      <c r="A177" s="31"/>
      <c r="B177"/>
      <c r="C177"/>
      <c r="E177" s="32"/>
      <c r="F177" s="32"/>
      <c r="G177" s="32"/>
      <c r="H177" s="33"/>
      <c r="I177" s="32"/>
      <c r="J177"/>
      <c r="K177"/>
      <c r="L177" s="41"/>
      <c r="M177" s="41"/>
      <c r="N177"/>
      <c r="O177"/>
      <c r="P177"/>
      <c r="Q177"/>
      <c r="R177"/>
    </row>
    <row r="178" spans="1:21" x14ac:dyDescent="0.35">
      <c r="A178" s="31"/>
      <c r="B178"/>
      <c r="C178"/>
      <c r="E178" s="32"/>
      <c r="F178" s="32"/>
      <c r="G178" s="32"/>
      <c r="H178" s="33"/>
      <c r="I178" s="32"/>
      <c r="J178"/>
      <c r="K178"/>
      <c r="L178" s="41"/>
      <c r="M178" s="41"/>
      <c r="N178"/>
      <c r="O178"/>
      <c r="P178"/>
      <c r="Q178"/>
      <c r="R178"/>
    </row>
    <row r="179" spans="1:21" x14ac:dyDescent="0.35">
      <c r="A179" s="31"/>
      <c r="B179"/>
      <c r="C179"/>
      <c r="E179" s="32"/>
      <c r="F179" s="32"/>
      <c r="G179" s="32"/>
      <c r="H179" s="33"/>
      <c r="I179" s="32"/>
      <c r="J179"/>
      <c r="K179"/>
      <c r="L179" s="41"/>
      <c r="M179" s="41"/>
      <c r="N179"/>
      <c r="O179"/>
      <c r="P179"/>
      <c r="Q179"/>
      <c r="R179"/>
    </row>
    <row r="180" spans="1:21" x14ac:dyDescent="0.35">
      <c r="A180" s="31"/>
      <c r="B180"/>
      <c r="C180"/>
      <c r="E180" s="32"/>
      <c r="F180" s="32"/>
      <c r="G180" s="32"/>
      <c r="H180" s="33"/>
      <c r="I180" s="32"/>
      <c r="J180"/>
      <c r="K180"/>
      <c r="L180" s="41"/>
      <c r="M180" s="41"/>
      <c r="N180"/>
      <c r="O180"/>
      <c r="P180"/>
      <c r="Q180"/>
      <c r="R180"/>
    </row>
    <row r="181" spans="1:21" x14ac:dyDescent="0.35">
      <c r="A181" s="31"/>
      <c r="B181"/>
      <c r="C181"/>
      <c r="E181" s="32"/>
      <c r="F181" s="32"/>
      <c r="G181" s="32"/>
      <c r="H181" s="33"/>
      <c r="I181" s="32"/>
      <c r="J181"/>
      <c r="K181"/>
      <c r="L181" s="41"/>
      <c r="M181" s="41"/>
      <c r="N181"/>
      <c r="O181"/>
      <c r="P181"/>
      <c r="Q181"/>
      <c r="R181"/>
    </row>
    <row r="182" spans="1:21" x14ac:dyDescent="0.35">
      <c r="A182" s="31"/>
      <c r="B182"/>
      <c r="C182"/>
      <c r="K182"/>
      <c r="L182" s="41"/>
      <c r="M182" s="41"/>
      <c r="N182"/>
      <c r="O182"/>
      <c r="P182"/>
      <c r="Q182"/>
      <c r="R182"/>
      <c r="S182"/>
      <c r="T182"/>
      <c r="U182"/>
    </row>
    <row r="183" spans="1:21" x14ac:dyDescent="0.35">
      <c r="A183" s="31"/>
      <c r="B183"/>
      <c r="C183"/>
      <c r="K183"/>
      <c r="L183" s="41"/>
      <c r="M183" s="41"/>
      <c r="N183"/>
      <c r="O183"/>
      <c r="P183"/>
      <c r="Q183"/>
      <c r="R183"/>
      <c r="S183"/>
      <c r="T183"/>
      <c r="U183"/>
    </row>
    <row r="184" spans="1:21" x14ac:dyDescent="0.35">
      <c r="A184" s="31"/>
      <c r="B184"/>
      <c r="C184"/>
      <c r="K184"/>
      <c r="L184" s="41"/>
      <c r="M184" s="41"/>
      <c r="N184"/>
      <c r="O184"/>
      <c r="P184"/>
      <c r="Q184"/>
      <c r="R184"/>
      <c r="S184"/>
      <c r="T184"/>
      <c r="U184"/>
    </row>
    <row r="185" spans="1:21" x14ac:dyDescent="0.35">
      <c r="A185" s="31"/>
      <c r="B185"/>
      <c r="C185"/>
      <c r="K185"/>
      <c r="L185" s="41"/>
      <c r="M185" s="41"/>
      <c r="N185"/>
      <c r="O185"/>
      <c r="P185"/>
      <c r="Q185"/>
      <c r="R185"/>
      <c r="S185"/>
      <c r="T185"/>
      <c r="U185"/>
    </row>
    <row r="186" spans="1:21" x14ac:dyDescent="0.35">
      <c r="A186" s="31"/>
      <c r="B186"/>
      <c r="C186"/>
      <c r="K186"/>
      <c r="L186" s="41"/>
      <c r="M186" s="41"/>
      <c r="N186"/>
      <c r="O186"/>
      <c r="P186"/>
      <c r="Q186"/>
      <c r="R186"/>
      <c r="S186"/>
      <c r="T186"/>
      <c r="U186"/>
    </row>
    <row r="187" spans="1:21" x14ac:dyDescent="0.35">
      <c r="A187" s="31"/>
      <c r="B187"/>
      <c r="C187"/>
      <c r="K187"/>
      <c r="L187" s="41"/>
      <c r="M187" s="41"/>
      <c r="N187"/>
      <c r="O187"/>
      <c r="P187"/>
      <c r="Q187"/>
      <c r="R187"/>
      <c r="S187"/>
      <c r="T187"/>
      <c r="U187"/>
    </row>
    <row r="188" spans="1:21" x14ac:dyDescent="0.35">
      <c r="A188" s="31"/>
      <c r="B188"/>
      <c r="C188"/>
      <c r="K188"/>
      <c r="L188" s="41"/>
      <c r="M188" s="41"/>
      <c r="N188"/>
      <c r="O188"/>
      <c r="P188"/>
      <c r="Q188"/>
      <c r="R188"/>
      <c r="S188"/>
      <c r="T188"/>
      <c r="U188"/>
    </row>
    <row r="189" spans="1:21" x14ac:dyDescent="0.35">
      <c r="A189" s="31"/>
      <c r="B189"/>
      <c r="C189"/>
      <c r="K189"/>
      <c r="L189" s="41"/>
      <c r="M189" s="41"/>
      <c r="N189"/>
      <c r="O189"/>
      <c r="P189"/>
      <c r="Q189"/>
      <c r="R189"/>
      <c r="S189"/>
      <c r="T189"/>
      <c r="U189"/>
    </row>
    <row r="190" spans="1:21" x14ac:dyDescent="0.35">
      <c r="A190" s="31"/>
      <c r="B190"/>
      <c r="C190"/>
      <c r="K190"/>
      <c r="L190" s="41"/>
      <c r="M190" s="41"/>
      <c r="N190"/>
      <c r="O190"/>
      <c r="P190"/>
      <c r="Q190"/>
      <c r="R190"/>
      <c r="S190"/>
      <c r="T190"/>
      <c r="U190"/>
    </row>
    <row r="191" spans="1:21" x14ac:dyDescent="0.35">
      <c r="A191" s="31"/>
      <c r="B191"/>
      <c r="C191"/>
      <c r="K191"/>
      <c r="L191" s="41"/>
      <c r="M191" s="41"/>
      <c r="N191"/>
      <c r="O191"/>
      <c r="P191"/>
      <c r="Q191"/>
      <c r="R191"/>
      <c r="S191"/>
      <c r="T191"/>
      <c r="U191"/>
    </row>
    <row r="192" spans="1:21" x14ac:dyDescent="0.35">
      <c r="A192" s="31"/>
      <c r="B192"/>
      <c r="C192"/>
      <c r="K192"/>
      <c r="L192" s="41"/>
      <c r="M192" s="41"/>
      <c r="N192"/>
      <c r="O192"/>
      <c r="P192"/>
      <c r="Q192"/>
      <c r="R192"/>
      <c r="S192"/>
      <c r="T192"/>
      <c r="U192"/>
    </row>
    <row r="193" spans="1:21" x14ac:dyDescent="0.35">
      <c r="A193" s="31"/>
      <c r="B193"/>
      <c r="C193"/>
      <c r="K193"/>
      <c r="L193" s="41"/>
      <c r="M193" s="41"/>
      <c r="N193"/>
      <c r="O193"/>
      <c r="P193"/>
      <c r="Q193"/>
      <c r="R193"/>
      <c r="S193"/>
      <c r="T193"/>
      <c r="U193"/>
    </row>
    <row r="194" spans="1:21" x14ac:dyDescent="0.35">
      <c r="A194" s="31"/>
      <c r="B194"/>
      <c r="C194"/>
    </row>
    <row r="195" spans="1:21" x14ac:dyDescent="0.35">
      <c r="A195" s="31"/>
      <c r="B195"/>
      <c r="C195"/>
    </row>
    <row r="196" spans="1:21" x14ac:dyDescent="0.35">
      <c r="A196" s="31"/>
      <c r="B196"/>
      <c r="C196"/>
    </row>
    <row r="197" spans="1:21" x14ac:dyDescent="0.35">
      <c r="A197" s="31"/>
      <c r="B197"/>
      <c r="C197"/>
      <c r="E197" s="32"/>
      <c r="F197" s="32"/>
      <c r="G197" s="32"/>
      <c r="H197" s="33"/>
      <c r="I197" s="32"/>
      <c r="J197"/>
      <c r="K197"/>
      <c r="L197" s="41"/>
      <c r="M197" s="41"/>
      <c r="N197"/>
      <c r="O197"/>
      <c r="P197"/>
      <c r="Q197"/>
      <c r="R197"/>
    </row>
    <row r="198" spans="1:21" x14ac:dyDescent="0.35">
      <c r="A198" s="31"/>
      <c r="B198"/>
      <c r="C198"/>
      <c r="E198" s="32"/>
      <c r="F198" s="32"/>
      <c r="G198" s="32"/>
      <c r="H198" s="33"/>
      <c r="I198" s="32"/>
      <c r="J198"/>
      <c r="K198"/>
      <c r="L198" s="41"/>
      <c r="M198" s="41"/>
      <c r="N198"/>
      <c r="O198"/>
      <c r="P198"/>
      <c r="Q198"/>
      <c r="R198"/>
    </row>
    <row r="199" spans="1:21" x14ac:dyDescent="0.35">
      <c r="A199" s="31"/>
      <c r="B199"/>
      <c r="C199"/>
      <c r="F199" s="32"/>
      <c r="G199" s="32"/>
      <c r="H199" s="33"/>
      <c r="I199" s="32"/>
      <c r="J199"/>
      <c r="K199"/>
      <c r="L199" s="41"/>
      <c r="M199" s="41"/>
      <c r="N199"/>
      <c r="O199"/>
    </row>
    <row r="200" spans="1:21" x14ac:dyDescent="0.35">
      <c r="A200" s="31"/>
      <c r="B200"/>
      <c r="C200"/>
      <c r="F200" s="32"/>
      <c r="G200" s="32"/>
      <c r="H200" s="33"/>
      <c r="I200" s="32"/>
      <c r="J200"/>
      <c r="K200"/>
      <c r="L200" s="41"/>
      <c r="M200" s="41"/>
      <c r="N200"/>
      <c r="O200"/>
    </row>
    <row r="201" spans="1:21" x14ac:dyDescent="0.35">
      <c r="A201" s="31"/>
      <c r="B201"/>
      <c r="C201"/>
      <c r="F201" s="32"/>
      <c r="G201" s="32"/>
      <c r="H201" s="33"/>
      <c r="I201" s="32"/>
      <c r="J201"/>
      <c r="K201"/>
      <c r="L201" s="41"/>
      <c r="M201" s="41"/>
      <c r="N201"/>
      <c r="O201"/>
    </row>
    <row r="202" spans="1:21" x14ac:dyDescent="0.35">
      <c r="A202" s="31"/>
      <c r="B202"/>
      <c r="C202"/>
      <c r="F202" s="32"/>
      <c r="G202" s="32"/>
      <c r="H202" s="33"/>
      <c r="I202" s="32"/>
      <c r="J202"/>
      <c r="K202"/>
      <c r="L202" s="41"/>
      <c r="M202" s="41"/>
      <c r="N202"/>
      <c r="O202"/>
    </row>
    <row r="203" spans="1:21" x14ac:dyDescent="0.35">
      <c r="A203" s="31"/>
      <c r="B203"/>
      <c r="C203"/>
      <c r="F203" s="32"/>
      <c r="G203" s="32"/>
      <c r="H203" s="33"/>
      <c r="I203" s="32"/>
      <c r="J203"/>
      <c r="K203"/>
      <c r="L203" s="41"/>
      <c r="M203" s="41"/>
      <c r="N203"/>
      <c r="O203"/>
    </row>
    <row r="204" spans="1:21" x14ac:dyDescent="0.35">
      <c r="A204" s="31"/>
      <c r="B204"/>
      <c r="C204"/>
      <c r="F204" s="32"/>
      <c r="G204" s="32"/>
      <c r="H204" s="33"/>
      <c r="I204" s="32"/>
      <c r="J204"/>
      <c r="K204"/>
      <c r="L204" s="41"/>
      <c r="M204" s="41"/>
      <c r="N204"/>
      <c r="O204"/>
    </row>
    <row r="205" spans="1:21" x14ac:dyDescent="0.35">
      <c r="A205" s="31"/>
      <c r="B205"/>
      <c r="C205"/>
      <c r="F205" s="32"/>
      <c r="G205" s="32"/>
      <c r="H205" s="33"/>
      <c r="I205" s="32"/>
      <c r="J205"/>
      <c r="K205"/>
      <c r="L205" s="41"/>
      <c r="M205" s="41"/>
      <c r="N205"/>
      <c r="O205"/>
    </row>
    <row r="206" spans="1:21" x14ac:dyDescent="0.35">
      <c r="A206" s="31"/>
      <c r="B206"/>
      <c r="C206"/>
      <c r="F206" s="32"/>
      <c r="G206" s="32"/>
      <c r="H206" s="33"/>
      <c r="I206" s="32"/>
      <c r="J206"/>
      <c r="K206"/>
      <c r="L206" s="41"/>
      <c r="M206" s="41"/>
      <c r="N206"/>
      <c r="O206"/>
    </row>
    <row r="207" spans="1:21" x14ac:dyDescent="0.35">
      <c r="A207" s="31"/>
      <c r="B207"/>
      <c r="C207"/>
      <c r="E207" s="32"/>
      <c r="F207" s="32"/>
      <c r="G207" s="32"/>
      <c r="H207" s="33"/>
      <c r="I207" s="32"/>
      <c r="J207"/>
      <c r="K207"/>
      <c r="L207" s="41"/>
      <c r="M207" s="41"/>
      <c r="N207"/>
      <c r="O207"/>
      <c r="P207"/>
      <c r="Q207"/>
      <c r="R207"/>
    </row>
    <row r="208" spans="1:21" x14ac:dyDescent="0.35">
      <c r="A208" s="31"/>
      <c r="B208"/>
      <c r="C208"/>
      <c r="E208" s="32"/>
      <c r="F208" s="32"/>
      <c r="G208" s="32"/>
      <c r="H208" s="33"/>
      <c r="I208" s="32"/>
      <c r="J208"/>
      <c r="K208"/>
      <c r="L208" s="41"/>
      <c r="M208" s="41"/>
      <c r="N208"/>
      <c r="O208"/>
      <c r="P208"/>
      <c r="Q208"/>
      <c r="R208"/>
    </row>
    <row r="209" spans="1:21" x14ac:dyDescent="0.35">
      <c r="A209" s="31"/>
      <c r="B209"/>
      <c r="C209"/>
      <c r="E209" s="32"/>
      <c r="F209" s="32"/>
      <c r="G209" s="32"/>
      <c r="H209" s="33"/>
      <c r="I209" s="32"/>
      <c r="J209"/>
      <c r="K209"/>
      <c r="L209" s="41"/>
      <c r="M209" s="41"/>
      <c r="N209"/>
      <c r="O209"/>
      <c r="P209"/>
      <c r="Q209"/>
      <c r="R209"/>
    </row>
    <row r="210" spans="1:21" x14ac:dyDescent="0.35">
      <c r="A210" s="31"/>
      <c r="B210"/>
      <c r="C210"/>
      <c r="E210" s="32"/>
      <c r="F210" s="32"/>
      <c r="G210" s="32"/>
      <c r="H210" s="33"/>
      <c r="I210" s="32"/>
      <c r="J210"/>
      <c r="K210"/>
      <c r="L210" s="41"/>
      <c r="M210" s="41"/>
      <c r="N210"/>
      <c r="O210"/>
      <c r="P210"/>
      <c r="Q210"/>
      <c r="R210"/>
    </row>
    <row r="211" spans="1:21" x14ac:dyDescent="0.35">
      <c r="A211" s="31"/>
      <c r="B211"/>
      <c r="C211"/>
      <c r="K211"/>
      <c r="L211" s="41"/>
      <c r="M211" s="41"/>
      <c r="N211"/>
      <c r="O211"/>
      <c r="P211"/>
      <c r="Q211"/>
      <c r="R211"/>
      <c r="S211"/>
      <c r="T211"/>
      <c r="U211"/>
    </row>
    <row r="212" spans="1:21" x14ac:dyDescent="0.35">
      <c r="A212" s="31"/>
      <c r="B212"/>
      <c r="C212"/>
      <c r="K212"/>
      <c r="L212" s="41"/>
      <c r="M212" s="41"/>
      <c r="N212"/>
      <c r="O212"/>
      <c r="P212"/>
      <c r="Q212"/>
      <c r="R212"/>
      <c r="S212"/>
      <c r="T212"/>
      <c r="U212"/>
    </row>
    <row r="213" spans="1:21" x14ac:dyDescent="0.35">
      <c r="A213" s="31"/>
      <c r="B213"/>
      <c r="C213"/>
      <c r="K213"/>
      <c r="L213" s="41"/>
      <c r="M213" s="41"/>
      <c r="N213"/>
      <c r="O213"/>
      <c r="P213"/>
      <c r="Q213"/>
      <c r="R213"/>
      <c r="S213"/>
      <c r="T213"/>
      <c r="U213"/>
    </row>
    <row r="214" spans="1:21" x14ac:dyDescent="0.35">
      <c r="A214" s="31"/>
      <c r="B214"/>
      <c r="C214"/>
      <c r="K214"/>
      <c r="L214" s="41"/>
      <c r="M214" s="41"/>
      <c r="N214"/>
      <c r="O214"/>
      <c r="P214"/>
      <c r="Q214"/>
      <c r="R214"/>
      <c r="S214"/>
      <c r="T214"/>
      <c r="U214"/>
    </row>
    <row r="215" spans="1:21" x14ac:dyDescent="0.35">
      <c r="A215" s="31"/>
      <c r="B215"/>
      <c r="C215"/>
      <c r="K215"/>
      <c r="L215" s="41"/>
      <c r="M215" s="41"/>
      <c r="N215"/>
      <c r="O215"/>
      <c r="P215"/>
      <c r="Q215"/>
      <c r="R215"/>
      <c r="S215"/>
      <c r="T215"/>
      <c r="U215"/>
    </row>
    <row r="216" spans="1:21" x14ac:dyDescent="0.35">
      <c r="A216" s="31"/>
      <c r="B216"/>
      <c r="C216"/>
      <c r="K216"/>
      <c r="L216" s="41"/>
      <c r="M216" s="41"/>
      <c r="N216"/>
      <c r="O216"/>
      <c r="P216"/>
      <c r="Q216"/>
      <c r="R216"/>
      <c r="S216"/>
      <c r="T216"/>
      <c r="U216"/>
    </row>
    <row r="217" spans="1:21" x14ac:dyDescent="0.35">
      <c r="A217" s="31"/>
      <c r="B217"/>
      <c r="C217"/>
      <c r="K217"/>
      <c r="L217" s="41"/>
      <c r="M217" s="41"/>
      <c r="N217"/>
      <c r="O217"/>
      <c r="P217"/>
      <c r="Q217"/>
      <c r="R217"/>
      <c r="S217"/>
      <c r="T217"/>
      <c r="U217"/>
    </row>
    <row r="218" spans="1:21" x14ac:dyDescent="0.35">
      <c r="A218" s="31"/>
      <c r="B218"/>
      <c r="C218"/>
      <c r="K218"/>
      <c r="L218" s="41"/>
      <c r="M218" s="41"/>
      <c r="N218"/>
      <c r="O218"/>
      <c r="P218"/>
      <c r="Q218"/>
      <c r="R218"/>
      <c r="S218"/>
      <c r="T218"/>
      <c r="U218"/>
    </row>
    <row r="219" spans="1:21" x14ac:dyDescent="0.35">
      <c r="A219" s="31"/>
      <c r="B219"/>
      <c r="C219"/>
      <c r="K219"/>
      <c r="L219" s="41"/>
      <c r="M219" s="41"/>
      <c r="N219"/>
      <c r="O219"/>
      <c r="P219"/>
      <c r="Q219"/>
      <c r="R219"/>
      <c r="S219"/>
      <c r="T219"/>
      <c r="U219"/>
    </row>
    <row r="220" spans="1:21" x14ac:dyDescent="0.35">
      <c r="A220" s="31"/>
      <c r="B220"/>
      <c r="C220"/>
      <c r="K220"/>
      <c r="L220" s="41"/>
      <c r="M220" s="41"/>
      <c r="N220"/>
      <c r="O220"/>
      <c r="P220"/>
      <c r="Q220"/>
      <c r="R220"/>
      <c r="S220"/>
      <c r="T220"/>
      <c r="U220"/>
    </row>
    <row r="221" spans="1:21" x14ac:dyDescent="0.35">
      <c r="A221" s="31"/>
      <c r="B221"/>
      <c r="C221"/>
      <c r="K221"/>
      <c r="L221" s="41"/>
      <c r="M221" s="41"/>
      <c r="N221"/>
      <c r="O221"/>
      <c r="P221"/>
      <c r="Q221"/>
      <c r="R221"/>
      <c r="S221"/>
      <c r="T221"/>
      <c r="U221"/>
    </row>
    <row r="222" spans="1:21" x14ac:dyDescent="0.35">
      <c r="A222" s="31"/>
      <c r="B222"/>
      <c r="C222"/>
    </row>
    <row r="223" spans="1:21" x14ac:dyDescent="0.35">
      <c r="A223" s="31"/>
      <c r="B223"/>
      <c r="C223"/>
    </row>
    <row r="224" spans="1:21" x14ac:dyDescent="0.35">
      <c r="A224" s="31"/>
      <c r="B224"/>
      <c r="C224"/>
    </row>
    <row r="225" spans="1:21" x14ac:dyDescent="0.35">
      <c r="A225" s="31"/>
      <c r="B225"/>
      <c r="C225"/>
    </row>
    <row r="226" spans="1:21" x14ac:dyDescent="0.35">
      <c r="A226" s="31"/>
      <c r="B226"/>
      <c r="C226"/>
    </row>
    <row r="227" spans="1:21" x14ac:dyDescent="0.35">
      <c r="A227" s="31"/>
      <c r="B227"/>
      <c r="C227"/>
    </row>
    <row r="228" spans="1:21" x14ac:dyDescent="0.35">
      <c r="A228" s="31"/>
      <c r="B228"/>
      <c r="C228"/>
    </row>
    <row r="229" spans="1:21" x14ac:dyDescent="0.35">
      <c r="A229" s="31"/>
      <c r="B229"/>
      <c r="C229"/>
    </row>
    <row r="230" spans="1:21" x14ac:dyDescent="0.35">
      <c r="A230" s="31"/>
      <c r="B230"/>
      <c r="C230"/>
    </row>
    <row r="231" spans="1:21" x14ac:dyDescent="0.35">
      <c r="A231" s="31"/>
      <c r="B231"/>
      <c r="C231"/>
    </row>
    <row r="232" spans="1:21" x14ac:dyDescent="0.35">
      <c r="A232" s="31"/>
      <c r="B232"/>
      <c r="C232"/>
      <c r="K232"/>
      <c r="L232" s="41"/>
      <c r="M232" s="41"/>
      <c r="N232"/>
      <c r="O232"/>
      <c r="P232"/>
      <c r="Q232"/>
      <c r="R232"/>
      <c r="S232"/>
      <c r="T232"/>
      <c r="U232"/>
    </row>
    <row r="233" spans="1:21" x14ac:dyDescent="0.35">
      <c r="A233" s="31"/>
      <c r="B233"/>
      <c r="C233"/>
      <c r="K233"/>
      <c r="L233" s="41"/>
      <c r="M233" s="41"/>
      <c r="N233"/>
      <c r="O233"/>
      <c r="P233"/>
      <c r="Q233"/>
      <c r="R233"/>
      <c r="S233"/>
      <c r="T233"/>
      <c r="U233"/>
    </row>
    <row r="234" spans="1:21" x14ac:dyDescent="0.35">
      <c r="A234" s="31"/>
      <c r="B234"/>
      <c r="C234"/>
    </row>
    <row r="235" spans="1:21" x14ac:dyDescent="0.35">
      <c r="A235" s="31"/>
      <c r="B235"/>
      <c r="C235"/>
    </row>
    <row r="236" spans="1:21" x14ac:dyDescent="0.35">
      <c r="A236" s="31"/>
      <c r="B236"/>
      <c r="C236"/>
    </row>
    <row r="237" spans="1:21" x14ac:dyDescent="0.35">
      <c r="A237" s="31"/>
      <c r="B237"/>
      <c r="C237"/>
    </row>
    <row r="238" spans="1:21" x14ac:dyDescent="0.35">
      <c r="A238" s="31"/>
      <c r="B238"/>
      <c r="C238"/>
    </row>
    <row r="239" spans="1:21" x14ac:dyDescent="0.35">
      <c r="A239" s="31"/>
      <c r="B239"/>
      <c r="C239"/>
    </row>
    <row r="240" spans="1:21" x14ac:dyDescent="0.35">
      <c r="A240" s="31"/>
      <c r="B240"/>
      <c r="C240"/>
    </row>
    <row r="241" spans="1:21" x14ac:dyDescent="0.35">
      <c r="A241" s="31"/>
      <c r="B241"/>
      <c r="C241"/>
    </row>
    <row r="242" spans="1:21" x14ac:dyDescent="0.35">
      <c r="A242" s="31"/>
      <c r="B242"/>
      <c r="C242"/>
    </row>
    <row r="243" spans="1:21" x14ac:dyDescent="0.35">
      <c r="A243" s="31"/>
      <c r="B243"/>
      <c r="C243"/>
    </row>
    <row r="244" spans="1:21" x14ac:dyDescent="0.35">
      <c r="A244" s="31"/>
      <c r="B244"/>
      <c r="C244"/>
      <c r="K244"/>
      <c r="L244" s="41"/>
      <c r="M244" s="41"/>
      <c r="N244"/>
      <c r="O244"/>
      <c r="P244"/>
      <c r="Q244"/>
      <c r="R244"/>
      <c r="S244"/>
      <c r="T244"/>
      <c r="U244"/>
    </row>
    <row r="245" spans="1:21" x14ac:dyDescent="0.35">
      <c r="A245" s="31"/>
      <c r="B245"/>
      <c r="C245"/>
      <c r="K245"/>
      <c r="L245" s="41"/>
      <c r="M245" s="41"/>
      <c r="N245"/>
      <c r="O245"/>
      <c r="P245"/>
      <c r="Q245"/>
      <c r="R245"/>
      <c r="S245"/>
      <c r="T245"/>
      <c r="U245"/>
    </row>
    <row r="246" spans="1:21" x14ac:dyDescent="0.35">
      <c r="A246" s="31"/>
      <c r="B246"/>
      <c r="C246"/>
    </row>
    <row r="247" spans="1:21" x14ac:dyDescent="0.35">
      <c r="A247" s="31"/>
      <c r="B247"/>
      <c r="C247"/>
    </row>
    <row r="248" spans="1:21" x14ac:dyDescent="0.35">
      <c r="A248" s="31"/>
      <c r="B248"/>
      <c r="C248"/>
    </row>
    <row r="249" spans="1:21" x14ac:dyDescent="0.35">
      <c r="A249" s="31"/>
      <c r="B249"/>
      <c r="C249"/>
    </row>
    <row r="250" spans="1:21" x14ac:dyDescent="0.35">
      <c r="A250" s="31"/>
      <c r="B250"/>
      <c r="C250"/>
    </row>
    <row r="251" spans="1:21" x14ac:dyDescent="0.35">
      <c r="A251" s="31"/>
      <c r="B251"/>
      <c r="C251"/>
    </row>
    <row r="252" spans="1:21" x14ac:dyDescent="0.35">
      <c r="A252" s="31"/>
      <c r="B252"/>
      <c r="C252"/>
    </row>
    <row r="253" spans="1:21" x14ac:dyDescent="0.35">
      <c r="A253" s="31"/>
      <c r="B253"/>
      <c r="C253"/>
    </row>
    <row r="254" spans="1:21" x14ac:dyDescent="0.35">
      <c r="A254" s="31"/>
      <c r="B254"/>
      <c r="C254"/>
    </row>
    <row r="255" spans="1:21" x14ac:dyDescent="0.35">
      <c r="A255" s="31"/>
      <c r="B255"/>
      <c r="C255"/>
    </row>
    <row r="256" spans="1:21" x14ac:dyDescent="0.35">
      <c r="A256" s="31"/>
      <c r="B256"/>
      <c r="C256"/>
    </row>
    <row r="257" spans="1:21" x14ac:dyDescent="0.35">
      <c r="A257" s="31"/>
      <c r="B257"/>
      <c r="C257"/>
      <c r="K257"/>
      <c r="L257" s="41"/>
      <c r="M257" s="41"/>
      <c r="N257"/>
      <c r="O257"/>
      <c r="P257"/>
      <c r="Q257"/>
      <c r="R257"/>
      <c r="S257"/>
      <c r="T257"/>
      <c r="U257"/>
    </row>
    <row r="258" spans="1:21" x14ac:dyDescent="0.35">
      <c r="A258" s="31"/>
      <c r="B258"/>
      <c r="C258"/>
      <c r="K258"/>
      <c r="L258" s="41"/>
      <c r="M258" s="41"/>
      <c r="N258"/>
      <c r="O258"/>
      <c r="P258"/>
      <c r="Q258"/>
      <c r="R258"/>
      <c r="S258"/>
      <c r="T258"/>
      <c r="U258"/>
    </row>
    <row r="259" spans="1:21" x14ac:dyDescent="0.35">
      <c r="A259" s="31"/>
      <c r="B259"/>
      <c r="C259"/>
    </row>
    <row r="260" spans="1:21" x14ac:dyDescent="0.35">
      <c r="A260" s="31"/>
      <c r="B260"/>
      <c r="C260"/>
    </row>
    <row r="261" spans="1:21" x14ac:dyDescent="0.35">
      <c r="A261" s="31"/>
      <c r="B261"/>
      <c r="C261"/>
    </row>
    <row r="262" spans="1:21" x14ac:dyDescent="0.35">
      <c r="A262" s="31"/>
      <c r="B262"/>
      <c r="C262"/>
    </row>
    <row r="263" spans="1:21" x14ac:dyDescent="0.35">
      <c r="A263" s="31"/>
      <c r="B263"/>
      <c r="C263"/>
    </row>
    <row r="264" spans="1:21" x14ac:dyDescent="0.35">
      <c r="A264" s="31"/>
      <c r="B264"/>
      <c r="C264"/>
    </row>
    <row r="265" spans="1:21" x14ac:dyDescent="0.35">
      <c r="A265" s="31"/>
      <c r="B265"/>
      <c r="C265"/>
    </row>
    <row r="266" spans="1:21" x14ac:dyDescent="0.35">
      <c r="A266" s="31"/>
      <c r="B266"/>
      <c r="C266"/>
    </row>
    <row r="267" spans="1:21" x14ac:dyDescent="0.35">
      <c r="A267" s="31"/>
      <c r="B267"/>
      <c r="C267"/>
    </row>
    <row r="268" spans="1:21" x14ac:dyDescent="0.35">
      <c r="A268" s="31"/>
      <c r="B268"/>
      <c r="C268"/>
    </row>
    <row r="269" spans="1:21" x14ac:dyDescent="0.35">
      <c r="A269" s="31"/>
      <c r="B269"/>
      <c r="C269"/>
      <c r="K269"/>
      <c r="L269" s="41"/>
      <c r="M269" s="41"/>
      <c r="N269"/>
      <c r="O269"/>
      <c r="P269"/>
      <c r="Q269"/>
      <c r="R269"/>
      <c r="S269"/>
      <c r="T269"/>
      <c r="U269"/>
    </row>
    <row r="270" spans="1:21" x14ac:dyDescent="0.35">
      <c r="A270" s="31"/>
      <c r="B270"/>
      <c r="C270"/>
      <c r="K270"/>
      <c r="L270" s="41"/>
      <c r="M270" s="41"/>
      <c r="N270"/>
      <c r="O270"/>
      <c r="P270"/>
      <c r="Q270"/>
      <c r="R270"/>
      <c r="S270"/>
      <c r="T270"/>
      <c r="U270"/>
    </row>
    <row r="271" spans="1:21" x14ac:dyDescent="0.35">
      <c r="A271" s="31"/>
      <c r="B271"/>
      <c r="C271"/>
    </row>
    <row r="272" spans="1:21" x14ac:dyDescent="0.35">
      <c r="A272" s="31"/>
      <c r="B272"/>
      <c r="C272"/>
    </row>
    <row r="273" spans="1:21" x14ac:dyDescent="0.35">
      <c r="A273" s="31"/>
      <c r="B273"/>
      <c r="C273"/>
    </row>
    <row r="274" spans="1:21" x14ac:dyDescent="0.35">
      <c r="A274" s="31"/>
      <c r="B274"/>
      <c r="C274"/>
      <c r="E274" s="32"/>
      <c r="F274" s="32"/>
      <c r="G274" s="32"/>
      <c r="H274" s="33"/>
      <c r="I274" s="32"/>
      <c r="J274"/>
      <c r="K274"/>
      <c r="L274" s="41"/>
      <c r="M274" s="41"/>
      <c r="N274"/>
      <c r="O274"/>
      <c r="P274"/>
      <c r="Q274"/>
      <c r="R274"/>
    </row>
    <row r="275" spans="1:21" x14ac:dyDescent="0.35">
      <c r="A275" s="31"/>
      <c r="B275"/>
      <c r="C275"/>
      <c r="E275" s="32"/>
      <c r="F275" s="32"/>
      <c r="G275" s="32"/>
      <c r="H275" s="33"/>
      <c r="I275" s="32"/>
      <c r="J275"/>
      <c r="K275"/>
      <c r="L275" s="41"/>
      <c r="M275" s="41"/>
      <c r="N275"/>
      <c r="O275"/>
      <c r="P275"/>
      <c r="Q275"/>
      <c r="R275"/>
    </row>
    <row r="276" spans="1:21" x14ac:dyDescent="0.35">
      <c r="A276" s="31"/>
      <c r="B276"/>
      <c r="C276"/>
      <c r="F276" s="32"/>
      <c r="G276" s="32"/>
      <c r="H276" s="33"/>
      <c r="I276" s="32"/>
      <c r="J276"/>
      <c r="K276"/>
      <c r="L276" s="41"/>
      <c r="M276" s="41"/>
      <c r="N276"/>
      <c r="O276"/>
    </row>
    <row r="277" spans="1:21" x14ac:dyDescent="0.35">
      <c r="A277" s="31"/>
      <c r="B277"/>
      <c r="C277"/>
      <c r="F277" s="32"/>
      <c r="G277" s="32"/>
      <c r="H277" s="33"/>
      <c r="I277" s="32"/>
      <c r="J277"/>
      <c r="K277"/>
      <c r="L277" s="41"/>
      <c r="M277" s="41"/>
      <c r="N277"/>
      <c r="O277"/>
    </row>
    <row r="278" spans="1:21" x14ac:dyDescent="0.35">
      <c r="A278" s="31"/>
      <c r="B278"/>
      <c r="C278"/>
      <c r="F278" s="32"/>
      <c r="G278" s="32"/>
      <c r="H278" s="33"/>
      <c r="I278" s="32"/>
      <c r="J278"/>
      <c r="K278"/>
      <c r="L278" s="41"/>
      <c r="M278" s="41"/>
      <c r="N278"/>
      <c r="O278"/>
    </row>
    <row r="279" spans="1:21" x14ac:dyDescent="0.35">
      <c r="A279" s="31"/>
      <c r="B279"/>
      <c r="C279"/>
      <c r="F279" s="32"/>
      <c r="G279" s="32"/>
      <c r="H279" s="33"/>
      <c r="I279" s="32"/>
      <c r="J279"/>
      <c r="K279"/>
      <c r="L279" s="41"/>
      <c r="M279" s="41"/>
      <c r="N279"/>
      <c r="O279"/>
    </row>
    <row r="280" spans="1:21" x14ac:dyDescent="0.35">
      <c r="A280" s="31"/>
      <c r="B280"/>
      <c r="C280"/>
      <c r="F280" s="32"/>
      <c r="G280" s="32"/>
      <c r="H280" s="33"/>
      <c r="I280" s="32"/>
      <c r="J280"/>
      <c r="K280"/>
      <c r="L280" s="41"/>
      <c r="M280" s="41"/>
      <c r="N280"/>
      <c r="O280"/>
    </row>
    <row r="281" spans="1:21" x14ac:dyDescent="0.35">
      <c r="A281" s="31"/>
      <c r="B281"/>
      <c r="C281"/>
      <c r="F281" s="32"/>
      <c r="G281" s="32"/>
      <c r="H281" s="33"/>
      <c r="I281" s="32"/>
      <c r="J281"/>
      <c r="K281"/>
      <c r="L281" s="41"/>
      <c r="M281" s="41"/>
      <c r="N281"/>
      <c r="O281"/>
    </row>
    <row r="282" spans="1:21" x14ac:dyDescent="0.35">
      <c r="A282" s="31"/>
      <c r="B282"/>
      <c r="C282"/>
      <c r="F282" s="32"/>
      <c r="G282" s="32"/>
      <c r="H282" s="33"/>
      <c r="I282" s="32"/>
      <c r="J282"/>
      <c r="K282"/>
      <c r="L282" s="41"/>
      <c r="M282" s="41"/>
      <c r="N282"/>
      <c r="O282"/>
    </row>
    <row r="283" spans="1:21" x14ac:dyDescent="0.35">
      <c r="A283" s="31"/>
      <c r="B283"/>
      <c r="C283"/>
      <c r="F283" s="32"/>
      <c r="G283" s="32"/>
      <c r="H283" s="33"/>
      <c r="I283" s="32"/>
      <c r="J283"/>
      <c r="K283"/>
      <c r="L283" s="41"/>
      <c r="M283" s="41"/>
      <c r="N283"/>
      <c r="O283"/>
    </row>
    <row r="284" spans="1:21" x14ac:dyDescent="0.35">
      <c r="A284" s="31"/>
      <c r="B284"/>
      <c r="C284"/>
      <c r="E284" s="32"/>
      <c r="F284" s="32"/>
      <c r="G284" s="32"/>
      <c r="H284" s="33"/>
      <c r="I284" s="32"/>
      <c r="J284"/>
      <c r="K284"/>
      <c r="L284" s="41"/>
      <c r="M284" s="41"/>
      <c r="N284"/>
      <c r="O284"/>
      <c r="P284"/>
      <c r="Q284"/>
      <c r="R284"/>
    </row>
    <row r="285" spans="1:21" x14ac:dyDescent="0.35">
      <c r="A285" s="31"/>
      <c r="B285"/>
      <c r="C285"/>
      <c r="E285" s="32"/>
      <c r="F285" s="32"/>
      <c r="G285" s="32"/>
      <c r="H285" s="33"/>
      <c r="I285" s="32"/>
      <c r="J285"/>
      <c r="K285"/>
      <c r="L285" s="41"/>
      <c r="M285" s="41"/>
      <c r="N285"/>
      <c r="O285"/>
      <c r="P285"/>
      <c r="Q285"/>
      <c r="R285"/>
    </row>
    <row r="286" spans="1:21" x14ac:dyDescent="0.35">
      <c r="A286" s="31"/>
      <c r="B286"/>
      <c r="C286"/>
      <c r="E286" s="32"/>
      <c r="F286" s="32"/>
      <c r="G286" s="32"/>
      <c r="H286" s="33"/>
      <c r="I286" s="32"/>
      <c r="J286"/>
      <c r="K286"/>
      <c r="L286" s="41"/>
      <c r="M286" s="41"/>
      <c r="N286"/>
      <c r="O286"/>
      <c r="P286"/>
      <c r="Q286"/>
      <c r="R286"/>
    </row>
    <row r="287" spans="1:21" x14ac:dyDescent="0.35">
      <c r="A287" s="31"/>
      <c r="B287"/>
      <c r="C287"/>
      <c r="E287" s="32"/>
      <c r="F287" s="32"/>
      <c r="G287" s="32"/>
      <c r="H287" s="33"/>
      <c r="I287" s="32"/>
      <c r="J287"/>
      <c r="K287"/>
      <c r="L287" s="41"/>
      <c r="M287" s="41"/>
      <c r="N287"/>
      <c r="O287"/>
      <c r="P287"/>
      <c r="Q287"/>
      <c r="R287"/>
    </row>
    <row r="288" spans="1:21" x14ac:dyDescent="0.35">
      <c r="A288" s="31"/>
      <c r="B288"/>
      <c r="C288"/>
      <c r="K288"/>
      <c r="L288" s="41"/>
      <c r="M288" s="41"/>
      <c r="N288"/>
      <c r="O288"/>
      <c r="P288"/>
      <c r="Q288"/>
      <c r="R288"/>
      <c r="S288"/>
      <c r="T288"/>
      <c r="U288"/>
    </row>
    <row r="289" spans="1:21" x14ac:dyDescent="0.35">
      <c r="A289" s="31"/>
      <c r="B289"/>
      <c r="C289"/>
      <c r="K289"/>
      <c r="L289" s="41"/>
      <c r="M289" s="41"/>
      <c r="N289"/>
      <c r="O289"/>
      <c r="P289"/>
      <c r="Q289"/>
      <c r="R289"/>
      <c r="S289"/>
      <c r="T289"/>
      <c r="U289"/>
    </row>
    <row r="290" spans="1:21" x14ac:dyDescent="0.35">
      <c r="A290" s="31"/>
      <c r="B290"/>
      <c r="C290"/>
      <c r="K290"/>
      <c r="L290" s="41"/>
      <c r="M290" s="41"/>
      <c r="N290"/>
      <c r="O290"/>
      <c r="P290"/>
      <c r="Q290"/>
      <c r="R290"/>
      <c r="S290"/>
      <c r="T290"/>
      <c r="U290"/>
    </row>
    <row r="291" spans="1:21" x14ac:dyDescent="0.35">
      <c r="A291" s="31"/>
      <c r="B291"/>
      <c r="C291"/>
      <c r="K291"/>
      <c r="L291" s="41"/>
      <c r="M291" s="41"/>
      <c r="N291"/>
      <c r="O291"/>
      <c r="P291"/>
      <c r="Q291"/>
      <c r="R291"/>
      <c r="S291"/>
      <c r="T291"/>
      <c r="U291"/>
    </row>
    <row r="292" spans="1:21" x14ac:dyDescent="0.35">
      <c r="A292" s="31"/>
      <c r="B292"/>
      <c r="C292"/>
      <c r="K292"/>
      <c r="L292" s="41"/>
      <c r="M292" s="41"/>
      <c r="N292"/>
      <c r="O292"/>
      <c r="P292"/>
      <c r="Q292"/>
      <c r="R292"/>
      <c r="S292"/>
      <c r="T292"/>
      <c r="U292"/>
    </row>
    <row r="293" spans="1:21" x14ac:dyDescent="0.35">
      <c r="A293" s="31"/>
      <c r="B293"/>
      <c r="C293"/>
      <c r="K293"/>
      <c r="L293" s="41"/>
      <c r="M293" s="41"/>
      <c r="N293"/>
      <c r="O293"/>
      <c r="P293"/>
      <c r="Q293"/>
      <c r="R293"/>
      <c r="S293"/>
      <c r="T293"/>
      <c r="U293"/>
    </row>
    <row r="294" spans="1:21" x14ac:dyDescent="0.35">
      <c r="A294" s="31"/>
      <c r="B294"/>
      <c r="C294"/>
      <c r="K294"/>
      <c r="L294" s="41"/>
      <c r="M294" s="41"/>
      <c r="N294"/>
      <c r="O294"/>
      <c r="P294"/>
      <c r="Q294"/>
      <c r="R294"/>
      <c r="S294"/>
      <c r="T294"/>
      <c r="U294"/>
    </row>
    <row r="295" spans="1:21" x14ac:dyDescent="0.35">
      <c r="A295" s="31"/>
      <c r="B295"/>
      <c r="C295"/>
    </row>
    <row r="296" spans="1:21" x14ac:dyDescent="0.35">
      <c r="A296" s="31"/>
      <c r="B296"/>
      <c r="C296"/>
    </row>
    <row r="297" spans="1:21" x14ac:dyDescent="0.35">
      <c r="A297" s="31"/>
      <c r="B297"/>
      <c r="C297"/>
    </row>
    <row r="298" spans="1:21" x14ac:dyDescent="0.35">
      <c r="A298" s="31"/>
      <c r="B298"/>
      <c r="C298"/>
    </row>
    <row r="299" spans="1:21" x14ac:dyDescent="0.35">
      <c r="A299" s="31"/>
      <c r="B299"/>
      <c r="C299"/>
    </row>
    <row r="300" spans="1:21" x14ac:dyDescent="0.35">
      <c r="A300" s="31"/>
      <c r="B300"/>
      <c r="C300"/>
    </row>
    <row r="301" spans="1:21" x14ac:dyDescent="0.35">
      <c r="A301" s="31"/>
      <c r="B301"/>
      <c r="C301"/>
    </row>
    <row r="302" spans="1:21" x14ac:dyDescent="0.35">
      <c r="A302" s="31"/>
      <c r="B302"/>
      <c r="C302"/>
    </row>
    <row r="303" spans="1:21" x14ac:dyDescent="0.35">
      <c r="A303" s="31"/>
      <c r="B303"/>
      <c r="C303"/>
    </row>
    <row r="304" spans="1:21" x14ac:dyDescent="0.35">
      <c r="A304" s="31"/>
      <c r="B304"/>
      <c r="C304"/>
    </row>
    <row r="305" spans="1:21" x14ac:dyDescent="0.35">
      <c r="A305" s="31"/>
      <c r="B305"/>
      <c r="C305"/>
      <c r="K305"/>
      <c r="L305" s="41"/>
      <c r="M305" s="41"/>
      <c r="N305"/>
      <c r="O305"/>
      <c r="P305"/>
      <c r="Q305"/>
      <c r="R305"/>
      <c r="S305"/>
      <c r="T305"/>
      <c r="U305"/>
    </row>
    <row r="306" spans="1:21" x14ac:dyDescent="0.35">
      <c r="A306" s="31"/>
      <c r="B306"/>
      <c r="C306"/>
      <c r="K306"/>
      <c r="L306" s="41"/>
      <c r="M306" s="41"/>
      <c r="N306"/>
      <c r="O306"/>
      <c r="P306"/>
      <c r="Q306"/>
      <c r="R306"/>
      <c r="S306"/>
      <c r="T306"/>
      <c r="U306"/>
    </row>
    <row r="307" spans="1:21" x14ac:dyDescent="0.35">
      <c r="A307" s="31"/>
      <c r="B307"/>
      <c r="C307"/>
    </row>
    <row r="308" spans="1:21" x14ac:dyDescent="0.35">
      <c r="A308" s="31"/>
      <c r="B308"/>
      <c r="C308"/>
    </row>
    <row r="309" spans="1:21" x14ac:dyDescent="0.35">
      <c r="A309" s="31"/>
      <c r="B309"/>
      <c r="C309"/>
    </row>
    <row r="310" spans="1:21" x14ac:dyDescent="0.35">
      <c r="A310" s="31"/>
      <c r="B310"/>
      <c r="C310"/>
    </row>
    <row r="311" spans="1:21" x14ac:dyDescent="0.35">
      <c r="A311" s="31"/>
      <c r="B311"/>
      <c r="C311"/>
    </row>
    <row r="312" spans="1:21" x14ac:dyDescent="0.35">
      <c r="A312" s="31"/>
      <c r="B312"/>
      <c r="C312"/>
    </row>
    <row r="313" spans="1:21" x14ac:dyDescent="0.35">
      <c r="A313" s="31"/>
      <c r="B313"/>
      <c r="C313"/>
    </row>
    <row r="314" spans="1:21" x14ac:dyDescent="0.35">
      <c r="A314" s="31"/>
      <c r="B314"/>
      <c r="C314"/>
    </row>
    <row r="315" spans="1:21" x14ac:dyDescent="0.35">
      <c r="A315" s="31"/>
      <c r="B315"/>
      <c r="C315"/>
    </row>
    <row r="316" spans="1:21" x14ac:dyDescent="0.35">
      <c r="A316" s="31"/>
      <c r="B316"/>
      <c r="C316"/>
    </row>
    <row r="317" spans="1:21" x14ac:dyDescent="0.35">
      <c r="A317" s="31"/>
      <c r="B317"/>
      <c r="C317"/>
    </row>
    <row r="318" spans="1:21" x14ac:dyDescent="0.35">
      <c r="A318" s="31"/>
      <c r="B318"/>
      <c r="C318"/>
    </row>
    <row r="319" spans="1:21" x14ac:dyDescent="0.35">
      <c r="A319" s="31"/>
      <c r="B319"/>
      <c r="C319"/>
    </row>
    <row r="320" spans="1:21" x14ac:dyDescent="0.35">
      <c r="A320" s="31"/>
      <c r="B320"/>
      <c r="C320"/>
    </row>
    <row r="321" spans="1:31" x14ac:dyDescent="0.35">
      <c r="A321" s="31"/>
      <c r="B321"/>
      <c r="C321"/>
    </row>
    <row r="322" spans="1:31" x14ac:dyDescent="0.35">
      <c r="A322" s="31"/>
      <c r="B322"/>
      <c r="C322"/>
    </row>
    <row r="323" spans="1:31" x14ac:dyDescent="0.35">
      <c r="A323" s="31"/>
      <c r="B323"/>
      <c r="C323"/>
    </row>
    <row r="324" spans="1:31" x14ac:dyDescent="0.35">
      <c r="A324" s="31"/>
      <c r="B324"/>
      <c r="C324"/>
    </row>
    <row r="325" spans="1:31" x14ac:dyDescent="0.35">
      <c r="A325" s="31"/>
      <c r="B325"/>
      <c r="C325"/>
    </row>
    <row r="326" spans="1:31" x14ac:dyDescent="0.35">
      <c r="A326" s="31"/>
      <c r="B326"/>
      <c r="C326"/>
    </row>
    <row r="327" spans="1:31" x14ac:dyDescent="0.35">
      <c r="A327" s="31"/>
      <c r="B327"/>
      <c r="C327"/>
    </row>
    <row r="328" spans="1:31" x14ac:dyDescent="0.35">
      <c r="A328" s="31"/>
      <c r="B328"/>
      <c r="C328"/>
    </row>
    <row r="329" spans="1:31" x14ac:dyDescent="0.35">
      <c r="A329" s="31"/>
      <c r="B329"/>
      <c r="C329"/>
    </row>
    <row r="330" spans="1:31" x14ac:dyDescent="0.35">
      <c r="A330" s="31"/>
      <c r="B330"/>
      <c r="C330"/>
    </row>
    <row r="331" spans="1:31" x14ac:dyDescent="0.35">
      <c r="A331" s="31"/>
      <c r="B331"/>
      <c r="C331"/>
    </row>
    <row r="332" spans="1:31" s="36" customFormat="1" x14ac:dyDescent="0.35">
      <c r="A332" s="31"/>
      <c r="B332"/>
      <c r="C332"/>
      <c r="D332" s="26"/>
      <c r="E332" s="26"/>
      <c r="F332" s="26"/>
      <c r="G332" s="26"/>
      <c r="H332" s="35"/>
      <c r="I332" s="26"/>
      <c r="J332" s="5"/>
      <c r="K332" s="5"/>
      <c r="L332" s="40"/>
      <c r="M332" s="40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spans="1:31" s="36" customFormat="1" x14ac:dyDescent="0.35">
      <c r="A333" s="31"/>
      <c r="B333"/>
      <c r="C333"/>
      <c r="D333" s="26"/>
      <c r="E333" s="26"/>
      <c r="F333" s="26"/>
      <c r="G333" s="26"/>
      <c r="H333" s="35"/>
      <c r="I333" s="26"/>
      <c r="J333" s="5"/>
      <c r="K333" s="5"/>
      <c r="L333" s="40"/>
      <c r="M333" s="40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spans="1:31" s="37" customFormat="1" x14ac:dyDescent="0.35">
      <c r="A334" s="31"/>
      <c r="B334"/>
      <c r="C334"/>
      <c r="D334" s="26"/>
      <c r="E334" s="26"/>
      <c r="F334" s="26"/>
      <c r="G334" s="26"/>
      <c r="H334" s="35"/>
      <c r="I334" s="26"/>
      <c r="J334" s="5"/>
      <c r="K334" s="5"/>
      <c r="L334" s="40"/>
      <c r="M334" s="40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spans="1:31" s="37" customFormat="1" x14ac:dyDescent="0.35">
      <c r="A335" s="31"/>
      <c r="B335"/>
      <c r="C335"/>
      <c r="D335" s="26"/>
      <c r="E335" s="26"/>
      <c r="F335" s="26"/>
      <c r="G335" s="26"/>
      <c r="H335" s="35"/>
      <c r="I335" s="26"/>
      <c r="J335" s="5"/>
      <c r="K335" s="5"/>
      <c r="L335" s="40"/>
      <c r="M335" s="40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spans="1:31" s="37" customFormat="1" x14ac:dyDescent="0.35">
      <c r="A336" s="31"/>
      <c r="B336"/>
      <c r="C336"/>
      <c r="D336" s="26"/>
      <c r="E336" s="26"/>
      <c r="F336" s="26"/>
      <c r="G336" s="26"/>
      <c r="H336" s="35"/>
      <c r="I336" s="26"/>
      <c r="J336" s="5"/>
      <c r="K336" s="5"/>
      <c r="L336" s="40"/>
      <c r="M336" s="40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spans="1:31" s="37" customFormat="1" x14ac:dyDescent="0.35">
      <c r="A337" s="31"/>
      <c r="B337"/>
      <c r="C337"/>
      <c r="D337" s="26"/>
      <c r="E337" s="26"/>
      <c r="F337" s="26"/>
      <c r="G337" s="26"/>
      <c r="H337" s="35"/>
      <c r="I337" s="26"/>
      <c r="J337" s="5"/>
      <c r="K337" s="5"/>
      <c r="L337" s="40"/>
      <c r="M337" s="40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spans="1:31" s="37" customFormat="1" x14ac:dyDescent="0.35">
      <c r="A338" s="31"/>
      <c r="B338"/>
      <c r="C338"/>
      <c r="D338" s="26"/>
      <c r="E338" s="26"/>
      <c r="F338" s="26"/>
      <c r="G338" s="26"/>
      <c r="H338" s="35"/>
      <c r="I338" s="26"/>
      <c r="J338" s="5"/>
      <c r="K338" s="5"/>
      <c r="L338" s="40"/>
      <c r="M338" s="40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spans="1:31" s="37" customFormat="1" x14ac:dyDescent="0.35">
      <c r="A339" s="31"/>
      <c r="B339"/>
      <c r="C339"/>
      <c r="D339" s="26"/>
      <c r="E339" s="26"/>
      <c r="F339" s="26"/>
      <c r="G339" s="26"/>
      <c r="H339" s="35"/>
      <c r="I339" s="26"/>
      <c r="J339" s="5"/>
      <c r="K339" s="5"/>
      <c r="L339" s="40"/>
      <c r="M339" s="40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spans="1:31" s="37" customFormat="1" x14ac:dyDescent="0.35">
      <c r="A340" s="31"/>
      <c r="B340"/>
      <c r="C340"/>
      <c r="D340" s="26"/>
      <c r="E340" s="26"/>
      <c r="F340" s="26"/>
      <c r="G340" s="26"/>
      <c r="H340" s="35"/>
      <c r="I340" s="26"/>
      <c r="J340" s="5"/>
      <c r="K340" s="5"/>
      <c r="L340" s="40"/>
      <c r="M340" s="40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spans="1:31" s="37" customFormat="1" x14ac:dyDescent="0.35">
      <c r="A341" s="31"/>
      <c r="B341"/>
      <c r="C341"/>
      <c r="D341" s="26"/>
      <c r="E341" s="26"/>
      <c r="F341" s="26"/>
      <c r="G341" s="26"/>
      <c r="H341" s="35"/>
      <c r="I341" s="26"/>
      <c r="J341" s="5"/>
      <c r="K341" s="5"/>
      <c r="L341" s="40"/>
      <c r="M341" s="40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spans="1:31" s="37" customFormat="1" x14ac:dyDescent="0.35">
      <c r="A342" s="31"/>
      <c r="B342"/>
      <c r="C342"/>
      <c r="D342" s="26"/>
      <c r="E342" s="26"/>
      <c r="F342" s="26"/>
      <c r="G342" s="26"/>
      <c r="H342" s="35"/>
      <c r="I342" s="26"/>
      <c r="J342" s="5"/>
      <c r="K342" s="5"/>
      <c r="L342" s="40"/>
      <c r="M342" s="40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spans="1:31" s="37" customFormat="1" x14ac:dyDescent="0.35">
      <c r="A343" s="31"/>
      <c r="B343"/>
      <c r="C343"/>
      <c r="D343" s="26"/>
      <c r="E343" s="26"/>
      <c r="F343" s="26"/>
      <c r="G343" s="26"/>
      <c r="H343" s="35"/>
      <c r="I343" s="26"/>
      <c r="J343" s="5"/>
      <c r="K343" s="5"/>
      <c r="L343" s="40"/>
      <c r="M343" s="40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spans="1:31" s="37" customFormat="1" x14ac:dyDescent="0.35">
      <c r="A344" s="31"/>
      <c r="B344"/>
      <c r="C344"/>
      <c r="D344" s="26"/>
      <c r="E344" s="26"/>
      <c r="F344" s="26"/>
      <c r="G344" s="26"/>
      <c r="H344" s="35"/>
      <c r="I344" s="26"/>
      <c r="J344" s="5"/>
      <c r="K344" s="5"/>
      <c r="L344" s="40"/>
      <c r="M344" s="40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spans="1:31" s="37" customFormat="1" x14ac:dyDescent="0.35">
      <c r="A345" s="31"/>
      <c r="B345"/>
      <c r="C345"/>
      <c r="D345" s="26"/>
      <c r="E345" s="26"/>
      <c r="F345" s="26"/>
      <c r="G345" s="26"/>
      <c r="H345" s="35"/>
      <c r="I345" s="26"/>
      <c r="J345" s="5"/>
      <c r="K345" s="5"/>
      <c r="L345" s="40"/>
      <c r="M345" s="40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spans="1:31" x14ac:dyDescent="0.35">
      <c r="A346" s="31"/>
      <c r="B346"/>
      <c r="C346"/>
    </row>
    <row r="347" spans="1:31" x14ac:dyDescent="0.35">
      <c r="A347" s="31"/>
      <c r="B347"/>
      <c r="C347"/>
    </row>
    <row r="348" spans="1:31" s="37" customFormat="1" x14ac:dyDescent="0.35">
      <c r="A348" s="31"/>
      <c r="B348"/>
      <c r="C348"/>
      <c r="D348" s="26"/>
      <c r="E348" s="26"/>
      <c r="F348" s="26"/>
      <c r="G348" s="26"/>
      <c r="H348" s="35"/>
      <c r="I348" s="26"/>
      <c r="J348" s="5"/>
      <c r="K348" s="5"/>
      <c r="L348" s="40"/>
      <c r="M348" s="40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spans="1:31" s="37" customFormat="1" x14ac:dyDescent="0.35">
      <c r="A349" s="31"/>
      <c r="B349"/>
      <c r="C349"/>
      <c r="D349" s="26"/>
      <c r="E349" s="26"/>
      <c r="F349" s="26"/>
      <c r="G349" s="26"/>
      <c r="H349" s="35"/>
      <c r="I349" s="26"/>
      <c r="J349" s="5"/>
      <c r="K349" s="5"/>
      <c r="L349" s="40"/>
      <c r="M349" s="40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spans="1:31" x14ac:dyDescent="0.35">
      <c r="A350" s="31"/>
      <c r="B350"/>
      <c r="C350"/>
    </row>
    <row r="351" spans="1:31" x14ac:dyDescent="0.35">
      <c r="A351" s="31"/>
      <c r="B351"/>
      <c r="C351"/>
    </row>
    <row r="352" spans="1:31" s="26" customFormat="1" x14ac:dyDescent="0.35">
      <c r="A352" s="31"/>
      <c r="B352"/>
      <c r="C352"/>
      <c r="H352" s="35"/>
      <c r="J352" s="5"/>
      <c r="K352" s="5"/>
      <c r="L352" s="40"/>
      <c r="M352" s="40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spans="1:31" s="26" customFormat="1" x14ac:dyDescent="0.35">
      <c r="A353" s="31"/>
      <c r="B353"/>
      <c r="C353"/>
      <c r="H353" s="35"/>
      <c r="J353" s="5"/>
      <c r="K353" s="5"/>
      <c r="L353" s="40"/>
      <c r="M353" s="40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spans="1:31" s="26" customFormat="1" x14ac:dyDescent="0.35">
      <c r="A354" s="31"/>
      <c r="B354"/>
      <c r="C354"/>
      <c r="H354" s="35"/>
      <c r="J354" s="5"/>
      <c r="K354" s="5"/>
      <c r="L354" s="40"/>
      <c r="M354" s="40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spans="1:31" s="26" customFormat="1" x14ac:dyDescent="0.35">
      <c r="A355" s="31"/>
      <c r="B355"/>
      <c r="C355"/>
      <c r="H355" s="35"/>
      <c r="J355" s="5"/>
      <c r="K355" s="5"/>
      <c r="L355" s="40"/>
      <c r="M355" s="40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spans="1:31" s="26" customFormat="1" x14ac:dyDescent="0.35">
      <c r="A356" s="31"/>
      <c r="B356"/>
      <c r="C356"/>
      <c r="H356" s="35"/>
      <c r="J356" s="5"/>
      <c r="K356" s="5"/>
      <c r="L356" s="40"/>
      <c r="M356" s="40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spans="1:31" s="26" customFormat="1" x14ac:dyDescent="0.35">
      <c r="A357" s="31"/>
      <c r="B357"/>
      <c r="C357"/>
      <c r="H357" s="35"/>
      <c r="J357" s="5"/>
      <c r="K357" s="5"/>
      <c r="L357" s="40"/>
      <c r="M357" s="40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spans="1:31" s="26" customFormat="1" x14ac:dyDescent="0.35">
      <c r="A358" s="31"/>
      <c r="B358"/>
      <c r="C358"/>
      <c r="H358" s="35"/>
      <c r="J358" s="5"/>
      <c r="K358" s="5"/>
      <c r="L358" s="40"/>
      <c r="M358" s="40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spans="1:31" s="26" customFormat="1" x14ac:dyDescent="0.35">
      <c r="A359" s="31"/>
      <c r="B359"/>
      <c r="C359"/>
      <c r="H359" s="35"/>
      <c r="J359" s="5"/>
      <c r="K359" s="5"/>
      <c r="L359" s="40"/>
      <c r="M359" s="40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spans="1:31" s="26" customFormat="1" x14ac:dyDescent="0.35">
      <c r="A360" s="31"/>
      <c r="B360"/>
      <c r="C360"/>
      <c r="H360" s="35"/>
      <c r="J360" s="5"/>
      <c r="K360" s="5"/>
      <c r="L360" s="40"/>
      <c r="M360" s="40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spans="1:31" s="26" customFormat="1" x14ac:dyDescent="0.35">
      <c r="A361" s="31"/>
      <c r="B361"/>
      <c r="C361"/>
      <c r="H361" s="35"/>
      <c r="J361" s="5"/>
      <c r="K361" s="5"/>
      <c r="L361" s="40"/>
      <c r="M361" s="40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spans="1:31" s="26" customFormat="1" x14ac:dyDescent="0.35">
      <c r="A362" s="31"/>
      <c r="B362"/>
      <c r="C362"/>
      <c r="H362" s="35"/>
      <c r="J362" s="5"/>
      <c r="K362" s="5"/>
      <c r="L362" s="40"/>
      <c r="M362" s="40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spans="1:31" s="26" customFormat="1" x14ac:dyDescent="0.35">
      <c r="A363" s="31"/>
      <c r="B363"/>
      <c r="C363"/>
      <c r="H363" s="35"/>
      <c r="J363" s="5"/>
      <c r="K363" s="5"/>
      <c r="L363" s="40"/>
      <c r="M363" s="40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spans="1:31" s="26" customFormat="1" x14ac:dyDescent="0.35">
      <c r="A364" s="31"/>
      <c r="B364"/>
      <c r="C364"/>
      <c r="H364" s="35"/>
      <c r="J364" s="5"/>
      <c r="K364" s="5"/>
      <c r="L364" s="40"/>
      <c r="M364" s="40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spans="1:31" s="26" customFormat="1" x14ac:dyDescent="0.35">
      <c r="A365" s="31"/>
      <c r="B365"/>
      <c r="C365"/>
      <c r="H365" s="35"/>
      <c r="J365" s="5"/>
      <c r="K365" s="5"/>
      <c r="L365" s="40"/>
      <c r="M365" s="40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spans="1:31" s="26" customFormat="1" x14ac:dyDescent="0.35">
      <c r="A366" s="31"/>
      <c r="B366"/>
      <c r="C366"/>
      <c r="H366" s="35"/>
      <c r="J366" s="5"/>
      <c r="K366" s="5"/>
      <c r="L366" s="40"/>
      <c r="M366" s="40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spans="1:31" s="26" customFormat="1" x14ac:dyDescent="0.35">
      <c r="A367" s="31"/>
      <c r="B367"/>
      <c r="C367"/>
      <c r="H367" s="35"/>
      <c r="J367" s="5"/>
      <c r="K367" s="5"/>
      <c r="L367" s="40"/>
      <c r="M367" s="40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spans="1:31" x14ac:dyDescent="0.35">
      <c r="A368" s="31"/>
      <c r="B368"/>
      <c r="C368"/>
    </row>
    <row r="369" spans="1:18" x14ac:dyDescent="0.35">
      <c r="A369" s="31"/>
      <c r="B369"/>
      <c r="C369"/>
    </row>
    <row r="370" spans="1:18" x14ac:dyDescent="0.35">
      <c r="A370" s="31"/>
      <c r="B370"/>
      <c r="C370"/>
    </row>
    <row r="371" spans="1:18" x14ac:dyDescent="0.35">
      <c r="A371" s="31"/>
      <c r="B371"/>
      <c r="C371"/>
    </row>
    <row r="372" spans="1:18" x14ac:dyDescent="0.35">
      <c r="A372" s="31"/>
      <c r="B372"/>
      <c r="C372"/>
    </row>
    <row r="373" spans="1:18" x14ac:dyDescent="0.35">
      <c r="A373" s="31"/>
      <c r="B373"/>
      <c r="C373"/>
    </row>
    <row r="374" spans="1:18" x14ac:dyDescent="0.35">
      <c r="A374" s="31"/>
      <c r="B374"/>
      <c r="C374"/>
    </row>
    <row r="375" spans="1:18" x14ac:dyDescent="0.35">
      <c r="A375" s="31"/>
      <c r="B375"/>
      <c r="C375"/>
    </row>
    <row r="376" spans="1:18" x14ac:dyDescent="0.35">
      <c r="A376" s="31"/>
      <c r="B376"/>
      <c r="C376"/>
    </row>
    <row r="377" spans="1:18" x14ac:dyDescent="0.35">
      <c r="A377" s="31"/>
      <c r="B377"/>
      <c r="C377"/>
    </row>
    <row r="378" spans="1:18" x14ac:dyDescent="0.35">
      <c r="A378" s="31"/>
      <c r="B378"/>
      <c r="C378"/>
      <c r="E378" s="32"/>
      <c r="F378" s="32"/>
      <c r="G378" s="32"/>
      <c r="H378" s="33"/>
      <c r="I378" s="32"/>
      <c r="J378"/>
      <c r="K378"/>
      <c r="L378" s="41"/>
      <c r="M378" s="41"/>
      <c r="N378"/>
      <c r="O378"/>
      <c r="P378"/>
      <c r="Q378"/>
      <c r="R378"/>
    </row>
    <row r="379" spans="1:18" x14ac:dyDescent="0.35">
      <c r="A379" s="31"/>
      <c r="B379"/>
      <c r="C379"/>
      <c r="E379" s="32"/>
      <c r="F379" s="32"/>
      <c r="G379" s="32"/>
      <c r="H379" s="33"/>
      <c r="I379" s="32"/>
      <c r="J379"/>
      <c r="K379"/>
      <c r="L379" s="41"/>
      <c r="M379" s="41"/>
      <c r="N379"/>
      <c r="O379"/>
      <c r="P379"/>
      <c r="Q379"/>
      <c r="R379"/>
    </row>
    <row r="380" spans="1:18" x14ac:dyDescent="0.35">
      <c r="A380" s="31"/>
      <c r="B380"/>
      <c r="C380"/>
    </row>
    <row r="381" spans="1:18" x14ac:dyDescent="0.35">
      <c r="A381" s="31"/>
      <c r="B381"/>
      <c r="C381"/>
      <c r="F381" s="32"/>
      <c r="G381" s="32"/>
      <c r="H381" s="33"/>
      <c r="I381" s="32"/>
      <c r="J381"/>
      <c r="K381"/>
      <c r="L381" s="41"/>
      <c r="M381" s="41"/>
      <c r="N381"/>
      <c r="O381"/>
    </row>
    <row r="382" spans="1:18" x14ac:dyDescent="0.35">
      <c r="A382" s="31"/>
      <c r="B382"/>
      <c r="C382"/>
      <c r="F382" s="32"/>
      <c r="G382" s="32"/>
      <c r="H382" s="33"/>
      <c r="I382" s="32"/>
      <c r="J382"/>
      <c r="K382"/>
      <c r="L382" s="41"/>
      <c r="M382" s="41"/>
      <c r="N382"/>
      <c r="O382"/>
    </row>
    <row r="383" spans="1:18" x14ac:dyDescent="0.35">
      <c r="A383" s="31"/>
      <c r="B383"/>
      <c r="C383"/>
      <c r="E383" s="32"/>
      <c r="F383" s="32"/>
      <c r="G383" s="32"/>
      <c r="H383" s="33"/>
      <c r="I383" s="32"/>
      <c r="J383"/>
      <c r="K383"/>
      <c r="L383" s="41"/>
      <c r="M383" s="41"/>
      <c r="N383"/>
      <c r="O383"/>
      <c r="P383"/>
      <c r="Q383"/>
      <c r="R383"/>
    </row>
    <row r="384" spans="1:18" x14ac:dyDescent="0.35">
      <c r="A384" s="31"/>
      <c r="B384"/>
      <c r="C384"/>
      <c r="E384" s="32"/>
      <c r="F384" s="32"/>
      <c r="G384" s="32"/>
      <c r="H384" s="33"/>
      <c r="I384" s="32"/>
      <c r="J384"/>
      <c r="K384"/>
      <c r="L384" s="41"/>
      <c r="M384" s="41"/>
      <c r="N384"/>
      <c r="O384"/>
      <c r="P384"/>
      <c r="Q384"/>
      <c r="R384"/>
    </row>
    <row r="385" spans="1:31" x14ac:dyDescent="0.35">
      <c r="A385" s="31"/>
      <c r="B385"/>
      <c r="C385"/>
      <c r="E385" s="32"/>
      <c r="F385" s="32"/>
      <c r="G385" s="32"/>
      <c r="H385" s="33"/>
      <c r="I385" s="32"/>
      <c r="J385"/>
      <c r="K385"/>
      <c r="L385" s="41"/>
      <c r="M385" s="41"/>
      <c r="N385"/>
      <c r="O385"/>
      <c r="P385"/>
      <c r="Q385"/>
      <c r="R385"/>
    </row>
    <row r="386" spans="1:31" x14ac:dyDescent="0.35">
      <c r="A386" s="31"/>
      <c r="B386"/>
      <c r="C386"/>
      <c r="E386" s="32"/>
      <c r="F386" s="32"/>
      <c r="G386" s="32"/>
      <c r="H386" s="33"/>
      <c r="I386" s="32"/>
      <c r="J386"/>
      <c r="K386"/>
      <c r="L386" s="41"/>
      <c r="M386" s="41"/>
      <c r="N386"/>
      <c r="O386"/>
      <c r="P386"/>
      <c r="Q386"/>
      <c r="R386"/>
    </row>
    <row r="387" spans="1:31" x14ac:dyDescent="0.35">
      <c r="A387" s="31"/>
      <c r="B387"/>
      <c r="C387"/>
    </row>
    <row r="388" spans="1:31" x14ac:dyDescent="0.35">
      <c r="A388" s="31"/>
      <c r="B388"/>
      <c r="C388"/>
      <c r="K388"/>
      <c r="L388" s="41"/>
      <c r="M388" s="41"/>
      <c r="N388"/>
      <c r="O388"/>
      <c r="P388"/>
      <c r="Q388"/>
      <c r="R388"/>
      <c r="S388"/>
      <c r="T388"/>
      <c r="U388"/>
    </row>
    <row r="389" spans="1:31" x14ac:dyDescent="0.35">
      <c r="A389" s="31"/>
      <c r="B389"/>
      <c r="C389"/>
      <c r="K389"/>
      <c r="L389" s="41"/>
      <c r="M389" s="41"/>
      <c r="N389"/>
      <c r="O389"/>
      <c r="P389"/>
      <c r="Q389"/>
      <c r="R389"/>
      <c r="S389"/>
      <c r="T389"/>
      <c r="U389"/>
    </row>
    <row r="390" spans="1:31" x14ac:dyDescent="0.35">
      <c r="A390" s="31"/>
      <c r="B390"/>
      <c r="C390"/>
      <c r="K390"/>
      <c r="L390" s="41"/>
      <c r="M390" s="41"/>
      <c r="N390"/>
      <c r="O390"/>
      <c r="P390"/>
      <c r="Q390"/>
      <c r="R390"/>
      <c r="S390"/>
      <c r="T390"/>
      <c r="U390"/>
    </row>
    <row r="391" spans="1:31" x14ac:dyDescent="0.35">
      <c r="A391" s="31"/>
      <c r="B391"/>
      <c r="C391"/>
      <c r="K391"/>
      <c r="L391" s="41"/>
      <c r="M391" s="41"/>
      <c r="N391"/>
      <c r="O391"/>
      <c r="P391"/>
      <c r="Q391"/>
      <c r="R391"/>
      <c r="S391"/>
      <c r="T391"/>
      <c r="U391"/>
    </row>
    <row r="392" spans="1:31" x14ac:dyDescent="0.35">
      <c r="A392" s="31"/>
      <c r="B392"/>
      <c r="C392"/>
    </row>
    <row r="393" spans="1:31" x14ac:dyDescent="0.35">
      <c r="A393" s="31"/>
      <c r="B393"/>
      <c r="C393"/>
    </row>
    <row r="394" spans="1:31" x14ac:dyDescent="0.35">
      <c r="A394" s="31"/>
      <c r="B394"/>
      <c r="C394"/>
    </row>
    <row r="395" spans="1:31" x14ac:dyDescent="0.35">
      <c r="A395" s="31"/>
      <c r="B395"/>
      <c r="C395"/>
    </row>
    <row r="396" spans="1:31" x14ac:dyDescent="0.35">
      <c r="A396" s="31"/>
      <c r="B396"/>
      <c r="C396"/>
    </row>
    <row r="397" spans="1:31" x14ac:dyDescent="0.35">
      <c r="A397" s="31"/>
      <c r="B397"/>
      <c r="C397"/>
    </row>
    <row r="398" spans="1:31" x14ac:dyDescent="0.35">
      <c r="A398" s="31"/>
      <c r="B398"/>
      <c r="C398"/>
    </row>
    <row r="399" spans="1:31" x14ac:dyDescent="0.35">
      <c r="A399" s="31"/>
      <c r="B399"/>
      <c r="C399"/>
    </row>
    <row r="400" spans="1:31" s="26" customFormat="1" x14ac:dyDescent="0.35">
      <c r="A400" s="31"/>
      <c r="B400"/>
      <c r="C400"/>
      <c r="H400" s="35"/>
      <c r="J400" s="5"/>
      <c r="K400" s="5"/>
      <c r="L400" s="40"/>
      <c r="M400" s="40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spans="1:31" s="26" customFormat="1" x14ac:dyDescent="0.35">
      <c r="A401" s="31"/>
      <c r="B401"/>
      <c r="C401"/>
      <c r="H401" s="35"/>
      <c r="J401" s="5"/>
      <c r="K401" s="5"/>
      <c r="L401" s="40"/>
      <c r="M401" s="40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spans="1:31" s="26" customFormat="1" x14ac:dyDescent="0.35">
      <c r="A402" s="31"/>
      <c r="B402"/>
      <c r="C402"/>
      <c r="H402" s="35"/>
      <c r="J402" s="5"/>
      <c r="K402" s="5"/>
      <c r="L402" s="40"/>
      <c r="M402" s="40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spans="1:31" s="26" customFormat="1" x14ac:dyDescent="0.35">
      <c r="A403" s="31"/>
      <c r="B403"/>
      <c r="C403"/>
      <c r="H403" s="35"/>
      <c r="J403" s="5"/>
      <c r="K403" s="5"/>
      <c r="L403" s="40"/>
      <c r="M403" s="40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spans="1:31" s="26" customFormat="1" x14ac:dyDescent="0.35">
      <c r="A404" s="31"/>
      <c r="B404"/>
      <c r="C404"/>
      <c r="H404" s="35"/>
      <c r="J404" s="5"/>
      <c r="K404" s="5"/>
      <c r="L404" s="40"/>
      <c r="M404" s="40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spans="1:31" s="26" customFormat="1" x14ac:dyDescent="0.35">
      <c r="A405" s="31"/>
      <c r="B405"/>
      <c r="C405"/>
      <c r="H405" s="35"/>
      <c r="J405" s="5"/>
      <c r="K405" s="5"/>
      <c r="L405" s="40"/>
      <c r="M405" s="40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spans="1:31" s="26" customFormat="1" x14ac:dyDescent="0.35">
      <c r="A406" s="31"/>
      <c r="B406"/>
      <c r="C406"/>
      <c r="H406" s="35"/>
      <c r="J406" s="5"/>
      <c r="K406" s="5"/>
      <c r="L406" s="40"/>
      <c r="M406" s="40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spans="1:31" s="26" customFormat="1" x14ac:dyDescent="0.35">
      <c r="A407" s="31"/>
      <c r="B407"/>
      <c r="C407"/>
      <c r="H407" s="35"/>
      <c r="J407" s="5"/>
      <c r="K407" s="5"/>
      <c r="L407" s="40"/>
      <c r="M407" s="40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spans="1:31" s="26" customFormat="1" x14ac:dyDescent="0.35">
      <c r="A408" s="31"/>
      <c r="B408"/>
      <c r="C408"/>
      <c r="H408" s="35"/>
      <c r="J408" s="5"/>
      <c r="K408" s="5"/>
      <c r="L408" s="40"/>
      <c r="M408" s="40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spans="1:31" s="26" customFormat="1" x14ac:dyDescent="0.35">
      <c r="A409" s="31"/>
      <c r="B409"/>
      <c r="C409"/>
      <c r="H409" s="35"/>
      <c r="J409" s="5"/>
      <c r="K409" s="5"/>
      <c r="L409" s="40"/>
      <c r="M409" s="40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spans="1:31" s="26" customFormat="1" x14ac:dyDescent="0.35">
      <c r="A410" s="31"/>
      <c r="B410"/>
      <c r="C410"/>
      <c r="H410" s="35"/>
      <c r="J410" s="5"/>
      <c r="K410" s="5"/>
      <c r="L410" s="40"/>
      <c r="M410" s="40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spans="1:31" s="26" customFormat="1" x14ac:dyDescent="0.35">
      <c r="A411" s="31"/>
      <c r="B411"/>
      <c r="C411"/>
      <c r="H411" s="35"/>
      <c r="J411" s="5"/>
      <c r="K411" s="5"/>
      <c r="L411" s="40"/>
      <c r="M411" s="40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spans="1:31" s="26" customFormat="1" x14ac:dyDescent="0.35">
      <c r="A412" s="31"/>
      <c r="B412"/>
      <c r="C412"/>
      <c r="H412" s="35"/>
      <c r="J412" s="5"/>
      <c r="K412" s="5"/>
      <c r="L412" s="40"/>
      <c r="M412" s="40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spans="1:31" s="26" customFormat="1" x14ac:dyDescent="0.35">
      <c r="A413" s="31"/>
      <c r="B413"/>
      <c r="C413"/>
      <c r="H413" s="35"/>
      <c r="J413" s="5"/>
      <c r="K413" s="5"/>
      <c r="L413" s="40"/>
      <c r="M413" s="40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spans="1:31" s="26" customFormat="1" x14ac:dyDescent="0.35">
      <c r="A414" s="31"/>
      <c r="B414"/>
      <c r="C414"/>
      <c r="H414" s="35"/>
      <c r="J414" s="5"/>
      <c r="K414" s="5"/>
      <c r="L414" s="40"/>
      <c r="M414" s="40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spans="1:31" s="26" customFormat="1" x14ac:dyDescent="0.35">
      <c r="A415" s="31"/>
      <c r="B415"/>
      <c r="C415"/>
      <c r="H415" s="35"/>
      <c r="J415" s="5"/>
      <c r="K415" s="5"/>
      <c r="L415" s="40"/>
      <c r="M415" s="40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spans="1:31" s="26" customFormat="1" x14ac:dyDescent="0.35">
      <c r="A416" s="31"/>
      <c r="B416"/>
      <c r="C416"/>
      <c r="H416" s="35"/>
      <c r="J416" s="5"/>
      <c r="K416" s="5"/>
      <c r="L416" s="40"/>
      <c r="M416" s="40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spans="1:31" s="26" customFormat="1" x14ac:dyDescent="0.35">
      <c r="A417" s="31"/>
      <c r="B417"/>
      <c r="C417"/>
      <c r="H417" s="35"/>
      <c r="J417" s="5"/>
      <c r="K417" s="5"/>
      <c r="L417" s="40"/>
      <c r="M417" s="40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</sheetData>
  <autoFilter ref="A1:J91" xr:uid="{50D0BD45-CBF4-4D62-8839-8FDE8841DB57}">
    <filterColumn colId="3">
      <filters>
        <filter val="1 kom"/>
        <filter val="10 kom"/>
        <filter val="100 kom"/>
        <filter val="11 kom"/>
        <filter val="12 kom"/>
        <filter val="124 kom"/>
        <filter val="13 kom"/>
        <filter val="13,0 m"/>
        <filter val="16 kom"/>
        <filter val="176 kom"/>
        <filter val="18 kom"/>
        <filter val="2 kom"/>
        <filter val="20 kom"/>
        <filter val="2029 kom"/>
        <filter val="22 kom"/>
        <filter val="258 kom"/>
        <filter val="27 kom"/>
        <filter val="3 kom"/>
        <filter val="30 kom"/>
        <filter val="32 kom"/>
        <filter val="33,0 m"/>
        <filter val="354 kom"/>
        <filter val="38 kom"/>
        <filter val="4 kom"/>
        <filter val="40 kom"/>
        <filter val="45 kom"/>
        <filter val="5 kom"/>
        <filter val="5,0 m"/>
        <filter val="50 kom"/>
        <filter val="54 kom"/>
        <filter val="59 kom"/>
        <filter val="6 kom"/>
        <filter val="61 kom"/>
        <filter val="7 kom"/>
        <filter val="76 kom"/>
        <filter val="779 kom"/>
        <filter val="8 kom"/>
        <filter val="9 kom"/>
        <filter val="90 kom"/>
      </filters>
    </filterColumn>
  </autoFilter>
  <conditionalFormatting sqref="B1">
    <cfRule type="duplicateValues" dxfId="5" priority="1"/>
  </conditionalFormatting>
  <conditionalFormatting sqref="B1:C1">
    <cfRule type="duplicateValues" dxfId="4" priority="2"/>
  </conditionalFormatting>
  <conditionalFormatting sqref="C2:C82 C84:C85">
    <cfRule type="duplicateValues" dxfId="3" priority="4"/>
  </conditionalFormatting>
  <conditionalFormatting sqref="C86:C1048576 C83 C1">
    <cfRule type="duplicateValues" dxfId="2" priority="5"/>
    <cfRule type="duplicateValues" dxfId="1" priority="6"/>
  </conditionalFormatting>
  <conditionalFormatting sqref="C418:C1048576">
    <cfRule type="duplicateValues" dxfId="0" priority="3"/>
  </conditionalFormatting>
  <pageMargins left="0.70866141732283472" right="0.70866141732283472" top="0.74803149606299213" bottom="0.74803149606299213" header="0.31496062992125984" footer="0.31496062992125984"/>
  <pageSetup paperSize="8" scale="28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rekapitulacija 09.10.2026.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Božićević</dc:creator>
  <cp:lastModifiedBy>Luka Božićević</cp:lastModifiedBy>
  <dcterms:created xsi:type="dcterms:W3CDTF">2026-10-12T10:49:41Z</dcterms:created>
  <dcterms:modified xsi:type="dcterms:W3CDTF">2026-10-26T13:14:29Z</dcterms:modified>
</cp:coreProperties>
</file>