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I\HPP Perućica\ASB tablice dokumentacije\"/>
    </mc:Choice>
  </mc:AlternateContent>
  <xr:revisionPtr revIDLastSave="0" documentId="13_ncr:1_{23859F74-D656-4AA2-AE5A-420554823231}" xr6:coauthVersionLast="47" xr6:coauthVersionMax="47" xr10:uidLastSave="{00000000-0000-0000-0000-000000000000}"/>
  <bookViews>
    <workbookView xWindow="1860" yWindow="1860" windowWidth="28800" windowHeight="15345" activeTab="6" xr2:uid="{3FE0FD66-A0C3-495B-A7D9-A35B3C0C8510}"/>
  </bookViews>
  <sheets>
    <sheet name="GENERALNE NAPOMENE" sheetId="36" r:id="rId1"/>
    <sheet name="GoW1" sheetId="35" r:id="rId2"/>
    <sheet name="GoW2" sheetId="37" r:id="rId3"/>
    <sheet name="GoW3" sheetId="34" r:id="rId4"/>
    <sheet name="GoW 4" sheetId="19" r:id="rId5"/>
    <sheet name="GoW 6" sheetId="38" r:id="rId6"/>
    <sheet name="GoW 7" sheetId="17" r:id="rId7"/>
    <sheet name="Abbreviations" sheetId="1" r:id="rId8"/>
  </sheets>
  <definedNames>
    <definedName name="_xlnm._FilterDatabase" localSheetId="4" hidden="1">'GoW 4'!$A$3:$AL$26</definedName>
    <definedName name="_xlnm._FilterDatabase" localSheetId="5" hidden="1">'GoW 6'!$A$3:$AM$49</definedName>
    <definedName name="_xlnm._FilterDatabase" localSheetId="6" hidden="1">'GoW 7'!$A$3:$AM$49</definedName>
    <definedName name="_xlnm._FilterDatabase" localSheetId="1" hidden="1">'GoW1'!$3:$26</definedName>
    <definedName name="_xlnm._FilterDatabase" localSheetId="2" hidden="1">'GoW2'!$3:$26</definedName>
    <definedName name="_xlnm._FilterDatabase" localSheetId="3" hidden="1">'GoW3'!$3:$26</definedName>
    <definedName name="Erv" localSheetId="4">'GoW 4'!$E$1:$AA$26</definedName>
    <definedName name="_xlnm.Print_Area" localSheetId="4">'GoW 4'!$E$3:$Z$26</definedName>
    <definedName name="_xlnm.Print_Area" localSheetId="5">'GoW 6'!$E$1:$AA$49</definedName>
    <definedName name="_xlnm.Print_Area" localSheetId="6">'GoW 7'!$E$1:$AA$49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0" i="38" l="1"/>
  <c r="R49" i="38"/>
  <c r="G49" i="38"/>
  <c r="R48" i="38"/>
  <c r="G48" i="38"/>
  <c r="R47" i="38"/>
  <c r="G47" i="38"/>
  <c r="R46" i="38"/>
  <c r="G46" i="38"/>
  <c r="R45" i="38"/>
  <c r="G45" i="38"/>
  <c r="R44" i="38"/>
  <c r="G44" i="38"/>
  <c r="R43" i="38"/>
  <c r="G43" i="38"/>
  <c r="R42" i="38"/>
  <c r="G42" i="38"/>
  <c r="R41" i="38"/>
  <c r="G41" i="38"/>
  <c r="R40" i="38"/>
  <c r="G40" i="38"/>
  <c r="R39" i="38"/>
  <c r="G39" i="38"/>
  <c r="R38" i="38"/>
  <c r="G38" i="38"/>
  <c r="R37" i="38"/>
  <c r="G37" i="38"/>
  <c r="R36" i="38"/>
  <c r="G36" i="38"/>
  <c r="R35" i="38"/>
  <c r="G35" i="38"/>
  <c r="R34" i="38"/>
  <c r="G34" i="38"/>
  <c r="R33" i="38"/>
  <c r="G33" i="38"/>
  <c r="R32" i="38"/>
  <c r="G32" i="38"/>
  <c r="R31" i="38"/>
  <c r="G31" i="38"/>
  <c r="R30" i="38"/>
  <c r="G30" i="38"/>
  <c r="R29" i="38"/>
  <c r="G29" i="38"/>
  <c r="R28" i="38"/>
  <c r="G28" i="38"/>
  <c r="R27" i="38"/>
  <c r="G27" i="38"/>
  <c r="R26" i="38"/>
  <c r="G26" i="38"/>
  <c r="R25" i="38"/>
  <c r="G25" i="38"/>
  <c r="R24" i="38"/>
  <c r="G24" i="38"/>
  <c r="R23" i="38"/>
  <c r="G23" i="38"/>
  <c r="R22" i="38"/>
  <c r="G22" i="38"/>
  <c r="R21" i="38"/>
  <c r="G21" i="38"/>
  <c r="R20" i="38"/>
  <c r="G20" i="38"/>
  <c r="R19" i="38"/>
  <c r="G19" i="38"/>
  <c r="R18" i="38"/>
  <c r="G18" i="38"/>
  <c r="R17" i="38"/>
  <c r="G17" i="38"/>
  <c r="R16" i="38"/>
  <c r="G16" i="38"/>
  <c r="R15" i="38"/>
  <c r="G15" i="38"/>
  <c r="R14" i="38"/>
  <c r="G14" i="38"/>
  <c r="R13" i="38"/>
  <c r="G13" i="38"/>
  <c r="R12" i="38"/>
  <c r="G12" i="38"/>
  <c r="R11" i="38"/>
  <c r="G11" i="38"/>
  <c r="R10" i="38"/>
  <c r="G10" i="38"/>
  <c r="R9" i="38"/>
  <c r="G9" i="38"/>
  <c r="R8" i="38"/>
  <c r="G8" i="38"/>
  <c r="R7" i="38"/>
  <c r="G7" i="38"/>
  <c r="R6" i="38"/>
  <c r="G6" i="38"/>
  <c r="R5" i="38"/>
  <c r="G5" i="38"/>
  <c r="R4" i="38"/>
  <c r="G4" i="38"/>
  <c r="R26" i="37"/>
  <c r="R25" i="37"/>
  <c r="R24" i="37"/>
  <c r="R23" i="37"/>
  <c r="R22" i="37"/>
  <c r="R21" i="37"/>
  <c r="R20" i="37"/>
  <c r="R19" i="37"/>
  <c r="R18" i="37"/>
  <c r="R17" i="37"/>
  <c r="R16" i="37"/>
  <c r="R15" i="37"/>
  <c r="R14" i="37"/>
  <c r="R13" i="37"/>
  <c r="R12" i="37"/>
  <c r="R11" i="37"/>
  <c r="R10" i="37"/>
  <c r="R9" i="37"/>
  <c r="R8" i="37"/>
  <c r="R7" i="37"/>
  <c r="R6" i="37"/>
  <c r="R5" i="37"/>
  <c r="R4" i="37"/>
  <c r="R5" i="34"/>
  <c r="R6" i="34"/>
  <c r="R7" i="34"/>
  <c r="R8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4" i="34"/>
  <c r="R5" i="35"/>
  <c r="R6" i="35"/>
  <c r="R7" i="35"/>
  <c r="R8" i="35"/>
  <c r="R9" i="35"/>
  <c r="R10" i="35"/>
  <c r="R11" i="35"/>
  <c r="R12" i="35"/>
  <c r="R13" i="35"/>
  <c r="R14" i="35"/>
  <c r="R15" i="35"/>
  <c r="R16" i="35"/>
  <c r="R17" i="35"/>
  <c r="R18" i="35"/>
  <c r="R19" i="35"/>
  <c r="R20" i="35"/>
  <c r="R21" i="35"/>
  <c r="R22" i="35"/>
  <c r="R23" i="35"/>
  <c r="R24" i="35"/>
  <c r="R25" i="35"/>
  <c r="R26" i="35"/>
  <c r="R4" i="35"/>
  <c r="R16" i="17"/>
  <c r="R49" i="17"/>
  <c r="G49" i="17"/>
  <c r="R48" i="17"/>
  <c r="G48" i="17"/>
  <c r="R47" i="17"/>
  <c r="G47" i="17"/>
  <c r="R46" i="17"/>
  <c r="G46" i="17"/>
  <c r="R45" i="17"/>
  <c r="G45" i="17"/>
  <c r="R44" i="17"/>
  <c r="G44" i="17"/>
  <c r="R43" i="17"/>
  <c r="G43" i="17"/>
  <c r="R42" i="17"/>
  <c r="G42" i="17"/>
  <c r="R41" i="17"/>
  <c r="G41" i="17"/>
  <c r="R40" i="17"/>
  <c r="G40" i="17"/>
  <c r="R39" i="17"/>
  <c r="G39" i="17"/>
  <c r="R38" i="17"/>
  <c r="G38" i="17"/>
  <c r="R37" i="17"/>
  <c r="G37" i="17"/>
  <c r="R36" i="17"/>
  <c r="G36" i="17"/>
  <c r="R35" i="17"/>
  <c r="G35" i="17"/>
  <c r="R34" i="17"/>
  <c r="G34" i="17"/>
  <c r="R33" i="17"/>
  <c r="G33" i="17"/>
  <c r="R32" i="17"/>
  <c r="G32" i="17"/>
  <c r="R31" i="17"/>
  <c r="G31" i="17"/>
  <c r="R30" i="17"/>
  <c r="G30" i="17"/>
  <c r="R29" i="17"/>
  <c r="G29" i="17"/>
  <c r="R28" i="17"/>
  <c r="G28" i="17"/>
  <c r="R27" i="17"/>
  <c r="G27" i="17"/>
  <c r="R26" i="17"/>
  <c r="G26" i="17"/>
  <c r="R25" i="17"/>
  <c r="G25" i="17"/>
  <c r="R24" i="17"/>
  <c r="G24" i="17"/>
  <c r="R23" i="17"/>
  <c r="G23" i="17"/>
  <c r="R22" i="17"/>
  <c r="G22" i="17"/>
  <c r="R21" i="17"/>
  <c r="G21" i="17"/>
  <c r="R20" i="17"/>
  <c r="G20" i="17"/>
  <c r="R19" i="17"/>
  <c r="G19" i="17"/>
  <c r="R18" i="17"/>
  <c r="G18" i="17"/>
  <c r="R17" i="17"/>
  <c r="G17" i="17"/>
  <c r="G16" i="17"/>
  <c r="R15" i="17"/>
  <c r="G15" i="17"/>
  <c r="R14" i="17"/>
  <c r="G14" i="17"/>
  <c r="R13" i="17"/>
  <c r="G13" i="17"/>
  <c r="R12" i="17"/>
  <c r="G12" i="17"/>
  <c r="R11" i="17"/>
  <c r="G11" i="17"/>
  <c r="R10" i="17"/>
  <c r="G10" i="17"/>
  <c r="R9" i="17"/>
  <c r="G9" i="17"/>
  <c r="R8" i="17"/>
  <c r="G8" i="17"/>
  <c r="R7" i="17"/>
  <c r="G7" i="17"/>
  <c r="R6" i="17"/>
  <c r="G6" i="17"/>
  <c r="R5" i="17"/>
  <c r="G5" i="17"/>
  <c r="R4" i="17"/>
  <c r="G4" i="17"/>
  <c r="Q26" i="19"/>
  <c r="Q25" i="19"/>
  <c r="Q24" i="19"/>
  <c r="Q23" i="19"/>
  <c r="Q22" i="19"/>
  <c r="Q21" i="19"/>
  <c r="Q20" i="19"/>
  <c r="Q19" i="19"/>
  <c r="Q18" i="19"/>
  <c r="Q17" i="19"/>
  <c r="Q16" i="19"/>
  <c r="Q15" i="19"/>
  <c r="Q14" i="19"/>
  <c r="Q13" i="19"/>
  <c r="Q12" i="19"/>
  <c r="Q11" i="19"/>
  <c r="Q10" i="19"/>
  <c r="Q9" i="19"/>
  <c r="Q8" i="19"/>
  <c r="Q7" i="19"/>
  <c r="Q6" i="19"/>
  <c r="Q5" i="19"/>
  <c r="Q4" i="19"/>
  <c r="U4" i="1" l="1"/>
</calcChain>
</file>

<file path=xl/sharedStrings.xml><?xml version="1.0" encoding="utf-8"?>
<sst xmlns="http://schemas.openxmlformats.org/spreadsheetml/2006/main" count="3619" uniqueCount="810">
  <si>
    <t>`</t>
  </si>
  <si>
    <t xml:space="preserve">Document Review Stage 1				</t>
  </si>
  <si>
    <t xml:space="preserve">Document Review Stage 2				</t>
  </si>
  <si>
    <t xml:space="preserve">Document Review Stage 3			</t>
  </si>
  <si>
    <t>GOW 3</t>
  </si>
  <si>
    <t>Contractor's Document Transmittal</t>
  </si>
  <si>
    <t>EPCG Comment</t>
  </si>
  <si>
    <t>Part No</t>
  </si>
  <si>
    <t>Book No</t>
  </si>
  <si>
    <t>Volume No</t>
  </si>
  <si>
    <t>As Built document No(CSD)</t>
  </si>
  <si>
    <t>Employer Identification</t>
  </si>
  <si>
    <t>Numbering acc to Tehnical specification</t>
  </si>
  <si>
    <t>Number Duplication colored red</t>
  </si>
  <si>
    <t>Design</t>
  </si>
  <si>
    <t>Project</t>
  </si>
  <si>
    <t>Part</t>
  </si>
  <si>
    <t>SEGMENT</t>
  </si>
  <si>
    <t>Unit
/Object</t>
  </si>
  <si>
    <t>Document Type</t>
  </si>
  <si>
    <t>Document Number</t>
  </si>
  <si>
    <t>Revision Number</t>
  </si>
  <si>
    <t>Originator</t>
  </si>
  <si>
    <t>VOITH specialist in charge</t>
  </si>
  <si>
    <t>Document No. (CSD)</t>
  </si>
  <si>
    <t>Supplier Document No.</t>
  </si>
  <si>
    <t>Document Title</t>
  </si>
  <si>
    <t>Scheduled Submission</t>
  </si>
  <si>
    <t>Current status of document</t>
  </si>
  <si>
    <t>Letter N</t>
  </si>
  <si>
    <t>Date</t>
  </si>
  <si>
    <t>EPCG Lettter N</t>
  </si>
  <si>
    <t>EPCG Review Result</t>
  </si>
  <si>
    <t>F</t>
  </si>
  <si>
    <t>PER</t>
  </si>
  <si>
    <t>E</t>
  </si>
  <si>
    <t>U3</t>
  </si>
  <si>
    <t>QAD</t>
  </si>
  <si>
    <t>002</t>
  </si>
  <si>
    <t>00</t>
  </si>
  <si>
    <t>VHPO</t>
  </si>
  <si>
    <t>Koppensteiner Stefan</t>
  </si>
  <si>
    <t>001</t>
  </si>
  <si>
    <t>D</t>
  </si>
  <si>
    <t>BOQ</t>
  </si>
  <si>
    <t>DDD</t>
  </si>
  <si>
    <t>AD</t>
  </si>
  <si>
    <t>SOF</t>
  </si>
  <si>
    <t>INS</t>
  </si>
  <si>
    <t>ELNS</t>
  </si>
  <si>
    <t>SCH</t>
  </si>
  <si>
    <t>101</t>
  </si>
  <si>
    <t>TSP</t>
  </si>
  <si>
    <t>CAL</t>
  </si>
  <si>
    <t>SLD</t>
  </si>
  <si>
    <t>LAY</t>
  </si>
  <si>
    <t>C</t>
  </si>
  <si>
    <t>DIM</t>
  </si>
  <si>
    <t>003</t>
  </si>
  <si>
    <t>004</t>
  </si>
  <si>
    <t>005</t>
  </si>
  <si>
    <t>006</t>
  </si>
  <si>
    <t>FLD</t>
  </si>
  <si>
    <t>VHHR</t>
  </si>
  <si>
    <t>HyCon governor series 400 block diagram</t>
  </si>
  <si>
    <t>PERU-01-13-111-12-001</t>
  </si>
  <si>
    <t>Turbine governor topology</t>
  </si>
  <si>
    <t>PERU-01-13-111-14-003</t>
  </si>
  <si>
    <t>ASB</t>
  </si>
  <si>
    <t>Cubicle assembly drawings</t>
  </si>
  <si>
    <t>PERU-01-13-111-23-002</t>
  </si>
  <si>
    <t>LST</t>
  </si>
  <si>
    <t>Equipment specification and quantities - electrical part</t>
  </si>
  <si>
    <t>PERU-01-13-111-31-001</t>
  </si>
  <si>
    <t>Circuit diagrams</t>
  </si>
  <si>
    <t>PERU-01-13-111-33-001</t>
  </si>
  <si>
    <t>ROU</t>
  </si>
  <si>
    <t>Cable diagrams</t>
  </si>
  <si>
    <t>PERU-01-13-111-61-002</t>
  </si>
  <si>
    <t>FAT</t>
  </si>
  <si>
    <t>FAT-Factory Acceptance Test program - electrical part</t>
  </si>
  <si>
    <t>PERU-01-13-111-52-001</t>
  </si>
  <si>
    <t>CMM</t>
  </si>
  <si>
    <t>SAT-Site Acceptance Test program</t>
  </si>
  <si>
    <t>PERU-01-13-111-70-002</t>
  </si>
  <si>
    <t>MAN</t>
  </si>
  <si>
    <t>Operation and maintenance manual - electrical part</t>
  </si>
  <si>
    <t>PERU-01-13-111-70-003</t>
  </si>
  <si>
    <t>HMI operating manual</t>
  </si>
  <si>
    <t>ITP</t>
  </si>
  <si>
    <t>PERU-01-13-111-34-002</t>
  </si>
  <si>
    <t>100</t>
  </si>
  <si>
    <t>Turbine governor signal list</t>
  </si>
  <si>
    <t>PERU-01-13-111-34-003</t>
  </si>
  <si>
    <t>Transfer functions and modelling</t>
  </si>
  <si>
    <t>PERU-01-13-170-31-001</t>
  </si>
  <si>
    <t>Circuit diagram</t>
  </si>
  <si>
    <t>PERU-01-13-170-14-002</t>
  </si>
  <si>
    <t>PERU-01-13-170-23-001</t>
  </si>
  <si>
    <t>Equipment specification and quantities</t>
  </si>
  <si>
    <t>PERU-01-13-170-33-001</t>
  </si>
  <si>
    <t>PERU-01-13-170-61-001</t>
  </si>
  <si>
    <t>FAT-Factory Acceptance Test program</t>
  </si>
  <si>
    <t>PERU-01-13-170-34-001</t>
  </si>
  <si>
    <t>Unit process control signal list</t>
  </si>
  <si>
    <t>PERU-01-13-170-34-002</t>
  </si>
  <si>
    <t>Overview of logical connections</t>
  </si>
  <si>
    <t>PERU-01-13-170-52-001</t>
  </si>
  <si>
    <t>PERU-01-13-170-70 -001</t>
  </si>
  <si>
    <t>Operation and maintenance manual</t>
  </si>
  <si>
    <t>PRT</t>
  </si>
  <si>
    <t>01</t>
  </si>
  <si>
    <t>N/A</t>
  </si>
  <si>
    <t>A</t>
  </si>
  <si>
    <t>Bechtel Karl</t>
  </si>
  <si>
    <t>GOW 4</t>
  </si>
  <si>
    <t>U4</t>
  </si>
  <si>
    <t>PERU-01-14-111-12-001</t>
  </si>
  <si>
    <t>PERU-01-14-111-14-003</t>
  </si>
  <si>
    <t>PERU-01-14-111-23-002</t>
  </si>
  <si>
    <t>PERU-01-14-111-31-001</t>
  </si>
  <si>
    <t>PERU-01-14-111-33-001</t>
  </si>
  <si>
    <t>PERU-01-14-111-61-002</t>
  </si>
  <si>
    <t>PERU-01-14-111-52-001</t>
  </si>
  <si>
    <t>PERU-01-14-111-70-002</t>
  </si>
  <si>
    <t>PERU-01-14-111-70-003</t>
  </si>
  <si>
    <t>PERU-01-14-111-34-002</t>
  </si>
  <si>
    <t>PERU-01-14-111-34-003</t>
  </si>
  <si>
    <t>PERU-01-14-170-31-001</t>
  </si>
  <si>
    <t>PERU-01-14-170-14-002</t>
  </si>
  <si>
    <t>PERU-01-14-170-23-001</t>
  </si>
  <si>
    <t>PERU-01-14-170-33-001</t>
  </si>
  <si>
    <t>PERU-01-14-170-61-001</t>
  </si>
  <si>
    <t>PERU-01-14-170-34-001</t>
  </si>
  <si>
    <t>PERU-01-14-170-34-002</t>
  </si>
  <si>
    <t>PERU-01-14-170-52-001</t>
  </si>
  <si>
    <t>PERU-01-14-170-70 -001</t>
  </si>
  <si>
    <t>Speckl Markus</t>
  </si>
  <si>
    <t>GOW 7</t>
  </si>
  <si>
    <t>U7</t>
  </si>
  <si>
    <t>NA</t>
  </si>
  <si>
    <t>M</t>
  </si>
  <si>
    <t>Ibetsberger Franz</t>
  </si>
  <si>
    <t>U6</t>
  </si>
  <si>
    <t>OTH</t>
  </si>
  <si>
    <t>RPT</t>
  </si>
  <si>
    <t>Gayer Markus</t>
  </si>
  <si>
    <t>03</t>
  </si>
  <si>
    <t>CO</t>
  </si>
  <si>
    <t>Richter Thomas</t>
  </si>
  <si>
    <t>PERU-01-17-111-14-003</t>
  </si>
  <si>
    <t>22044-DD-EE-02-07-104</t>
  </si>
  <si>
    <t>PERU-01-17-111-31-001</t>
  </si>
  <si>
    <t>22044-DD-EE-02-07-100</t>
  </si>
  <si>
    <t>PERU-01-17-111-70-003</t>
  </si>
  <si>
    <t>22044-DD-EE-02-07-400</t>
  </si>
  <si>
    <t>PERU-01-17-111-34-003</t>
  </si>
  <si>
    <t>22044-DD-EE-02-07-302</t>
  </si>
  <si>
    <t>PERU-01-17-111-23-002</t>
  </si>
  <si>
    <t>22044-DD-EE-02-07-102</t>
  </si>
  <si>
    <t>PERU-01-17-111-33-001</t>
  </si>
  <si>
    <t>22044-DD-EE-02-07-101</t>
  </si>
  <si>
    <t>PERU-01-17-111-61-002</t>
  </si>
  <si>
    <t>22044-DD-EE-02-07-200</t>
  </si>
  <si>
    <t>PERU-01-17-111-52-001</t>
  </si>
  <si>
    <t>22044-DD-EE-02-07-210</t>
  </si>
  <si>
    <t>Unit 7 turbine governor cubicle SAT report</t>
  </si>
  <si>
    <t>PERU-01-17-111-70-002</t>
  </si>
  <si>
    <t>22044-DD-EE-02-07-401</t>
  </si>
  <si>
    <t>PERU-01-17-111-31-002</t>
  </si>
  <si>
    <t>22044-DD-EE-02-07-110</t>
  </si>
  <si>
    <t>Unit 7 turbine A junction box circuit diagram</t>
  </si>
  <si>
    <t>PERU-01-17-111-31-003</t>
  </si>
  <si>
    <t>22044-DD-EE-02-07-111</t>
  </si>
  <si>
    <t>Unit 7 turbine B junction box circuit diagram</t>
  </si>
  <si>
    <t>PERU-01-17-111-31-004</t>
  </si>
  <si>
    <t>22044-DD-EE-02-07-112</t>
  </si>
  <si>
    <t>Unit 7 inlet A junction box circuit diagram</t>
  </si>
  <si>
    <t>PERU-01-17-111-31-005</t>
  </si>
  <si>
    <t>22044-DD-EE-02-07-113</t>
  </si>
  <si>
    <t>Unit 7 inlet B junction box circuit diagram</t>
  </si>
  <si>
    <t>PERU-01-17-111-14-005</t>
  </si>
  <si>
    <t>22044-DD-EE-02-07-120</t>
  </si>
  <si>
    <t>Unit 7 turbine A junction box assembly drawing</t>
  </si>
  <si>
    <t>PERU-01-17-111-14-006</t>
  </si>
  <si>
    <t>22044-DD-EE-02-07-121</t>
  </si>
  <si>
    <t>Unit 7 turbine B junction box assembly drawing</t>
  </si>
  <si>
    <t>PERU-01-17-111-14-007</t>
  </si>
  <si>
    <t>Unit 7 inlet A junction box assembly drawing</t>
  </si>
  <si>
    <t>PERU-01-17-111-14-008</t>
  </si>
  <si>
    <t>22044-DD-EE-02-07-123</t>
  </si>
  <si>
    <t>Unit 7 inlet B junction box assembly drawing</t>
  </si>
  <si>
    <t>PERU-01-17-111-33-002</t>
  </si>
  <si>
    <t>22044-DD-EE-02-07-130</t>
  </si>
  <si>
    <t>Unit 7 turbine A junction box cable diagram</t>
  </si>
  <si>
    <t>PERU-01-17-111-33-003</t>
  </si>
  <si>
    <t>22044-DD-EE-02-07-131</t>
  </si>
  <si>
    <t>Unit 7 turbine B junction box cable diagram</t>
  </si>
  <si>
    <t>PERU-01-17-111-33-004</t>
  </si>
  <si>
    <t>22044-DD-EE-02-07-132</t>
  </si>
  <si>
    <t>Unit 7 inlet A junction box cable diagram</t>
  </si>
  <si>
    <t>PERU-01-17-111-33-005</t>
  </si>
  <si>
    <t>22044-DD-EE-02-07-133</t>
  </si>
  <si>
    <t>Unit 7 inlet B junction box cable diagram</t>
  </si>
  <si>
    <t>PERU-01-17-170-14-002</t>
  </si>
  <si>
    <t>22044-DD-EE-08-07-105</t>
  </si>
  <si>
    <t>PERU-01-17-170-23-001</t>
  </si>
  <si>
    <t>22044-DD-EE-08-07-103</t>
  </si>
  <si>
    <t>PERU-01-17-170-31-001</t>
  </si>
  <si>
    <t>22044-DD-EE-08-07-100</t>
  </si>
  <si>
    <t>PERU-01-17-170-33-001</t>
  </si>
  <si>
    <t>22044-DD-EE-08-07-102</t>
  </si>
  <si>
    <t>PERU-01-17-170-61-001</t>
  </si>
  <si>
    <t>22044-DD-EE-08-07-200</t>
  </si>
  <si>
    <t>PERU-01-17-170-52-001</t>
  </si>
  <si>
    <t>22044-DD-EE-08-07-210</t>
  </si>
  <si>
    <t>PERU-01-17-170-70-001</t>
  </si>
  <si>
    <t>22044-DD-EE-08-07-401</t>
  </si>
  <si>
    <t>PERU-01-17-170-12-002</t>
  </si>
  <si>
    <t>22044-DD-EE-08-07-101</t>
  </si>
  <si>
    <t>PERU-01-17-153-33-001</t>
  </si>
  <si>
    <t>Unit subdistribution cubicle circuit diagram</t>
  </si>
  <si>
    <t>PERU-01-17-196-31-001</t>
  </si>
  <si>
    <t>22044-BD-EE-08-07-110</t>
  </si>
  <si>
    <t>Transformer cooling water system control cubicle circuit diagram</t>
  </si>
  <si>
    <t>PERU-01-17-132-31-001</t>
  </si>
  <si>
    <t>22044-BD-EE-08-07-120</t>
  </si>
  <si>
    <t>Busbar duct fan control cubicle circuit daigram</t>
  </si>
  <si>
    <t>PERU-01-17-196-14-001</t>
  </si>
  <si>
    <t>22044-BD-EE-08-07-111</t>
  </si>
  <si>
    <t>Transformer cooling water system control cubicle assembly drawing</t>
  </si>
  <si>
    <t>PERU-01-17-132-14-001</t>
  </si>
  <si>
    <t>22044-BD-EE-08-07-121</t>
  </si>
  <si>
    <t>Busbar duct fan control cubicle assembly drawing</t>
  </si>
  <si>
    <t>PERU-01-17-150-61-001</t>
  </si>
  <si>
    <t>22044-DD-EE-08-07-202</t>
  </si>
  <si>
    <t>Unit 7 subdistribution cubicle FAT report</t>
  </si>
  <si>
    <t>PERU-01-17-196-33-001</t>
  </si>
  <si>
    <t>22044-DD-EE-08-07-120</t>
  </si>
  <si>
    <t>Unit 7 transformer cooling water control system cable diagram</t>
  </si>
  <si>
    <t>PERU-01-17-132-33-001</t>
  </si>
  <si>
    <t>22044-DD-EE-08-07-121</t>
  </si>
  <si>
    <t>Unit 7 busbar duct fan control system cable diagram</t>
  </si>
  <si>
    <t>PERU-01-17-150-33-001</t>
  </si>
  <si>
    <t>22044-DD-EE-08-07-141</t>
  </si>
  <si>
    <t>Unit 7 subdistribution cubicle cable diagram</t>
  </si>
  <si>
    <t>FOU</t>
  </si>
  <si>
    <t>PERU-01-17-170-17-001</t>
  </si>
  <si>
    <t>General arrangement drawing</t>
  </si>
  <si>
    <t>O</t>
  </si>
  <si>
    <t>CDR</t>
  </si>
  <si>
    <t>ORG</t>
  </si>
  <si>
    <t>IEE</t>
  </si>
  <si>
    <t>STY</t>
  </si>
  <si>
    <t>TYP</t>
  </si>
  <si>
    <t>I</t>
  </si>
  <si>
    <t>II</t>
  </si>
  <si>
    <t>U5</t>
  </si>
  <si>
    <t>III</t>
  </si>
  <si>
    <t>B</t>
  </si>
  <si>
    <t>ERC</t>
  </si>
  <si>
    <t>FAT Program</t>
  </si>
  <si>
    <t>KR</t>
  </si>
  <si>
    <t>IMP</t>
  </si>
  <si>
    <t>WSD</t>
  </si>
  <si>
    <t>KA1&amp;KA2</t>
  </si>
  <si>
    <t>TDS</t>
  </si>
  <si>
    <t>KA1</t>
  </si>
  <si>
    <t>KA2</t>
  </si>
  <si>
    <t>VR</t>
  </si>
  <si>
    <t>MK</t>
  </si>
  <si>
    <t>DESIGN</t>
  </si>
  <si>
    <t>OBJECT</t>
  </si>
  <si>
    <t>PART</t>
  </si>
  <si>
    <t>UNIT/OBJECT</t>
  </si>
  <si>
    <t>DOC TYPE</t>
  </si>
  <si>
    <t>DOC NO.</t>
  </si>
  <si>
    <t>REV</t>
  </si>
  <si>
    <t>6</t>
  </si>
  <si>
    <t>BASIC</t>
  </si>
  <si>
    <t>Civil</t>
  </si>
  <si>
    <t>turbines and Appurtenant Equipment</t>
  </si>
  <si>
    <t>U1</t>
  </si>
  <si>
    <t>UNIT 1</t>
  </si>
  <si>
    <t>Bill of Quantities</t>
  </si>
  <si>
    <t>Voith Hydro Austria</t>
  </si>
  <si>
    <t>DETAIL</t>
  </si>
  <si>
    <t>Electrical</t>
  </si>
  <si>
    <t>Turbine Governors</t>
  </si>
  <si>
    <t>U2</t>
  </si>
  <si>
    <t>UNIT 2</t>
  </si>
  <si>
    <t>Calculation</t>
  </si>
  <si>
    <t>Elnos</t>
  </si>
  <si>
    <t>AS BUILT</t>
  </si>
  <si>
    <t>Control System</t>
  </si>
  <si>
    <t>Turbine Inlet Valves</t>
  </si>
  <si>
    <t>UNIT 3</t>
  </si>
  <si>
    <t>CAT</t>
  </si>
  <si>
    <t>Catalogues</t>
  </si>
  <si>
    <t>IEE Technology</t>
  </si>
  <si>
    <t>Field Service Doc</t>
  </si>
  <si>
    <t>Mechanical</t>
  </si>
  <si>
    <t>Unit Excitation and Electrical Braking Systems</t>
  </si>
  <si>
    <t>UNIT 4</t>
  </si>
  <si>
    <t>Construction Drawings</t>
  </si>
  <si>
    <t>EPH</t>
  </si>
  <si>
    <t>Energoprojekt hidroinženjering</t>
  </si>
  <si>
    <t>non applicaable</t>
  </si>
  <si>
    <t>Other</t>
  </si>
  <si>
    <t>Generator Voltage Equipment</t>
  </si>
  <si>
    <t>UNIT 5</t>
  </si>
  <si>
    <t>CIV</t>
  </si>
  <si>
    <t>Civil Drawings</t>
  </si>
  <si>
    <t>Institute Mihajlo Pupin Belgrade</t>
  </si>
  <si>
    <t>Additional document</t>
  </si>
  <si>
    <t>X</t>
  </si>
  <si>
    <t>without information</t>
  </si>
  <si>
    <t>High-Voltage (110 kV) Equipment</t>
  </si>
  <si>
    <t>UNIT 6</t>
  </si>
  <si>
    <t>CRT</t>
  </si>
  <si>
    <t>Certificates</t>
  </si>
  <si>
    <t>EPCG</t>
  </si>
  <si>
    <t>Elektroprivreda Crne Gore</t>
  </si>
  <si>
    <t>Kapfhammer Matthias</t>
  </si>
  <si>
    <t>Arhitecture</t>
  </si>
  <si>
    <t>Unit Electrical Protection Systems</t>
  </si>
  <si>
    <t>UNIT 7</t>
  </si>
  <si>
    <t>Detail Design Documents</t>
  </si>
  <si>
    <t>LANS</t>
  </si>
  <si>
    <t>Vata Isodoro</t>
  </si>
  <si>
    <t>H</t>
  </si>
  <si>
    <t>HVAC</t>
  </si>
  <si>
    <t xml:space="preserve">Unit Control Systems </t>
  </si>
  <si>
    <t>PO</t>
  </si>
  <si>
    <t>POVIJA</t>
  </si>
  <si>
    <t>Dimension Drawings</t>
  </si>
  <si>
    <t>HP</t>
  </si>
  <si>
    <t>Hydrological meaurements and piezzometers</t>
  </si>
  <si>
    <t>Unit and Step-up Transformer Monitoring Systems</t>
  </si>
  <si>
    <t>MARIN KRST</t>
  </si>
  <si>
    <t>Function Logic Diagrams</t>
  </si>
  <si>
    <t>MPLJ</t>
  </si>
  <si>
    <t>Montavar projekt Ljubljana</t>
  </si>
  <si>
    <t>Kiskanc Mehmet</t>
  </si>
  <si>
    <t>Integral Information System</t>
  </si>
  <si>
    <t>SL</t>
  </si>
  <si>
    <t>SLANO</t>
  </si>
  <si>
    <t>Foundation Drawings</t>
  </si>
  <si>
    <t>Saša Stefanović</t>
  </si>
  <si>
    <t>Equipment within Krupac Bottom Outlet Valve Chamber</t>
  </si>
  <si>
    <t>VRTAC</t>
  </si>
  <si>
    <t>HSD</t>
  </si>
  <si>
    <t>Health &amp; Safety Documents</t>
  </si>
  <si>
    <t>Equipment within Slano Bottom Outlet Valve Chamber</t>
  </si>
  <si>
    <t>KRUPAC</t>
  </si>
  <si>
    <t>INF</t>
  </si>
  <si>
    <t>General Information</t>
  </si>
  <si>
    <t>Equipment within Vrtac Spillway and Bottom Outlet Valve Chamber</t>
  </si>
  <si>
    <t>COMMON DOC.</t>
  </si>
  <si>
    <t>Installation Drawings</t>
  </si>
  <si>
    <t>Equipment within Marin Krst Inlet Structure Valve Chamber</t>
  </si>
  <si>
    <t>UNITS KA1&amp;KA2</t>
  </si>
  <si>
    <t>Layout Drawings</t>
  </si>
  <si>
    <t>Not applicable</t>
  </si>
  <si>
    <t>UNIT KA1</t>
  </si>
  <si>
    <t>LAO</t>
  </si>
  <si>
    <t>Loading Drawings</t>
  </si>
  <si>
    <t>Equipment within Povija Surge Tank Valve Chamber</t>
  </si>
  <si>
    <t>UNIT KA2</t>
  </si>
  <si>
    <t>Lists</t>
  </si>
  <si>
    <t>Equipment for Hydrological–Hydraulic Measurements</t>
  </si>
  <si>
    <t>AUXPS</t>
  </si>
  <si>
    <t>AUXILIARY POWER SUPPLY</t>
  </si>
  <si>
    <t>Manuals</t>
  </si>
  <si>
    <t>Organizational Documents</t>
  </si>
  <si>
    <t>Others</t>
  </si>
  <si>
    <t>PID</t>
  </si>
  <si>
    <t>P &amp; I Diagrams</t>
  </si>
  <si>
    <t>QA / Testing related Documents</t>
  </si>
  <si>
    <t>Routing Plans</t>
  </si>
  <si>
    <t>Reports</t>
  </si>
  <si>
    <t>Schematic Diagrams</t>
  </si>
  <si>
    <t>Single Line Diagrams</t>
  </si>
  <si>
    <t>Software related Documents</t>
  </si>
  <si>
    <t>Studies</t>
  </si>
  <si>
    <t>Technical Data Sheets</t>
  </si>
  <si>
    <t>Technical Specifications / Descriptions</t>
  </si>
  <si>
    <t>Typicals</t>
  </si>
  <si>
    <t>XXX</t>
  </si>
  <si>
    <t>Without information</t>
  </si>
  <si>
    <t>Assembly Drawing</t>
  </si>
  <si>
    <t>Workshop drawing</t>
  </si>
  <si>
    <t>Erection Instruction</t>
  </si>
  <si>
    <t>Commissioning Program</t>
  </si>
  <si>
    <t>Protocol</t>
  </si>
  <si>
    <t>3.2./3.2.3</t>
  </si>
  <si>
    <t>3.2./3.2.2.</t>
  </si>
  <si>
    <t>3.1.</t>
  </si>
  <si>
    <t>3.2./3.2.1.</t>
  </si>
  <si>
    <t>Unit 3 technical description of process control</t>
  </si>
  <si>
    <t>PERU-01-13-170-07-001</t>
  </si>
  <si>
    <t>3.5./3.5.2.</t>
  </si>
  <si>
    <t>3.4.</t>
  </si>
  <si>
    <t>3.5./3.5.3.</t>
  </si>
  <si>
    <t>3.3.</t>
  </si>
  <si>
    <t>3.5./3.5.1.</t>
  </si>
  <si>
    <t>JM</t>
  </si>
  <si>
    <t>TT</t>
  </si>
  <si>
    <t>AA</t>
  </si>
  <si>
    <t>Unit 4 technical description of process control</t>
  </si>
  <si>
    <t>PERU-01-14-170-07-001</t>
  </si>
  <si>
    <t>4.2./4.2.3</t>
  </si>
  <si>
    <t>4.2./4.2.2.</t>
  </si>
  <si>
    <t>4.1.</t>
  </si>
  <si>
    <t>4.5./4.5.2.</t>
  </si>
  <si>
    <t>4.4.</t>
  </si>
  <si>
    <t>4.5./4.5.3.</t>
  </si>
  <si>
    <t>4.3.</t>
  </si>
  <si>
    <t>4.2./4.2.1.</t>
  </si>
  <si>
    <t>4.5./4.5.1.</t>
  </si>
  <si>
    <t>nije spremno</t>
  </si>
  <si>
    <t>spremno za slanje</t>
  </si>
  <si>
    <t>7.2./7.2.3.</t>
  </si>
  <si>
    <t>7.2.</t>
  </si>
  <si>
    <t>7.2./7.2.4.</t>
  </si>
  <si>
    <t>Technical description of turbine governor cubicle</t>
  </si>
  <si>
    <t>PERU-01-17-111-07-002</t>
  </si>
  <si>
    <t>PERU-01-17-111-11-001</t>
  </si>
  <si>
    <t>PERU-01-17-111-12-001</t>
  </si>
  <si>
    <t>7.2./7.2.1.</t>
  </si>
  <si>
    <t>22044-BD-EE-02-07-001</t>
  </si>
  <si>
    <t>22044-BD-EE-02-07-002</t>
  </si>
  <si>
    <t>22044-BD-EE-02-07-003</t>
  </si>
  <si>
    <t>PERU-01-17-111-41 -001</t>
  </si>
  <si>
    <t>22044-DD-EE-02-07-301</t>
  </si>
  <si>
    <t>Unit 7 turbine governor signal list</t>
  </si>
  <si>
    <t>2.2./2.2.3.</t>
  </si>
  <si>
    <t>Technical description of unit control system</t>
  </si>
  <si>
    <t>Unit subdistribution cubicle layout drawing</t>
  </si>
  <si>
    <t>22044-DD-CE-08-07-001</t>
  </si>
  <si>
    <t>22044-BD-EE-08-07-001</t>
  </si>
  <si>
    <t>22044-BD-EE-08-07-002</t>
  </si>
  <si>
    <t>Unit 7 process control signal list</t>
  </si>
  <si>
    <t>PERU-01-17-170-07-001</t>
  </si>
  <si>
    <t>PERU-01-17-150-17-001</t>
  </si>
  <si>
    <t>PERU-01-17-170-41-001</t>
  </si>
  <si>
    <t>7.5./7.5.2</t>
  </si>
  <si>
    <t>7.5.</t>
  </si>
  <si>
    <t>7.5./7.5.3.</t>
  </si>
  <si>
    <t>7.1.</t>
  </si>
  <si>
    <t>7.5./7.5.1.</t>
  </si>
  <si>
    <t>PERU-01-13-111-11-001</t>
  </si>
  <si>
    <t>JM/RV</t>
  </si>
  <si>
    <t>predano u ICS-u</t>
  </si>
  <si>
    <t>samo en/samo mne verzija spremna za slanje</t>
  </si>
  <si>
    <t>postoji u DD ali ne znam je li to zadnja verzija</t>
  </si>
  <si>
    <t>Unit 3 turbine governor technical desciption</t>
  </si>
  <si>
    <t>PERU-01-13-111-07-002</t>
  </si>
  <si>
    <t>treba pregledati/ne znam stanje</t>
  </si>
  <si>
    <t>predano u ICS-u, ubaciti u folder</t>
  </si>
  <si>
    <t>PERU-01-14-111-11-001</t>
  </si>
  <si>
    <t>PERU-01-14-111-07-002</t>
  </si>
  <si>
    <t>Unit 4 turbine governor technical desciption</t>
  </si>
  <si>
    <t>en verzija spremna; mne verziju ažurira Fran, nakon čega ćemo imati i editable</t>
  </si>
  <si>
    <t>EN spremno, MNE verzija ima "Projekat izvedenog stanja" umjesto "Projekat izvedenog objekta dvaput na naslovnoj, plus pečat izgleda zrnato, kao da je screenshot; ne mogu naći word</t>
  </si>
  <si>
    <t>Unit 3 turbine governor cubicle assembly drawings</t>
  </si>
  <si>
    <t>Document Title IN FOLDER</t>
  </si>
  <si>
    <t>Unit 3 turbine governor equipment specification and quantities</t>
  </si>
  <si>
    <t>Unit 3 turbine governor circuit diagram</t>
  </si>
  <si>
    <t>Unit 3 turbine governor cable diagrams</t>
  </si>
  <si>
    <t>Unit 3 HyCon governor series 400 block diagram</t>
  </si>
  <si>
    <t>Unit 3 turbine governor topology</t>
  </si>
  <si>
    <t>Unit 3 transfer functions and modelling</t>
  </si>
  <si>
    <t>Unit 4 HyCon governor series 400 block diagram</t>
  </si>
  <si>
    <t>Unit 4 turbine governor topology</t>
  </si>
  <si>
    <t>Unit 4 turbine governor cubicle assembly drawings</t>
  </si>
  <si>
    <t>Unit 4 turbine governor equipment specification and quantities</t>
  </si>
  <si>
    <t>Unit 4 turbine governor circuit diagram</t>
  </si>
  <si>
    <t>Unit 4 turbine governor cable diagrams</t>
  </si>
  <si>
    <t>Unit 4 transfer functions and modelling</t>
  </si>
  <si>
    <t>Unit 3 process control cubicle assembly drawings</t>
  </si>
  <si>
    <t>Unit 3 process control equipment specification and quantities</t>
  </si>
  <si>
    <t>Unit 3 process control circuit diagram</t>
  </si>
  <si>
    <t>Unit 3 overview of logical connections</t>
  </si>
  <si>
    <t>Unit 4 process control circuit diagram</t>
  </si>
  <si>
    <t>Unit 4 process control cubicle assembly drawings</t>
  </si>
  <si>
    <t>Unit 4 process control equipment specification and quantities</t>
  </si>
  <si>
    <t>Unit 4 overview of logical connections</t>
  </si>
  <si>
    <t>Document title in folder</t>
  </si>
  <si>
    <t>Unit 7 technical description of turbine governor cubicle</t>
  </si>
  <si>
    <t>Unit 7 turbine governor topology</t>
  </si>
  <si>
    <t>Unit 7 turbine governor cubicle assembly drawings</t>
  </si>
  <si>
    <t>Unit 7 turbine governor cable diagrams</t>
  </si>
  <si>
    <t>Unit 7 turbine governor equipment specification and quantities</t>
  </si>
  <si>
    <t>Unit 7 turbine governor circuit diagram</t>
  </si>
  <si>
    <t>Unit 7 HyCon governor series 400 block diagram</t>
  </si>
  <si>
    <t>Unit 7 transfer functions and modelling</t>
  </si>
  <si>
    <t>Unit 7 process control assembly drawing</t>
  </si>
  <si>
    <t>Unit 7 process control equipment specification and quantities</t>
  </si>
  <si>
    <t>Unit 7 process control cable diagrams</t>
  </si>
  <si>
    <t>Unit 7 process control circuit diagram</t>
  </si>
  <si>
    <t>Unit 7 process control O&amp;M instructions</t>
  </si>
  <si>
    <t>Unit 7 overview of logical connections</t>
  </si>
  <si>
    <t>Unit 7 busbar duct fan control cubicle assembly drawing</t>
  </si>
  <si>
    <t>Unit 7 subdistribution cubicle circuit diagram</t>
  </si>
  <si>
    <t>Unit 7 transformer cooling system control cubicle circuit diagram</t>
  </si>
  <si>
    <t>Unit 7 busbar duct fan control cubicle circuit diagram</t>
  </si>
  <si>
    <t>Unit 7 transformer cooling system assembly drawing</t>
  </si>
  <si>
    <t>Unit 7 transformer cooling water control system cable diagram_PIO</t>
  </si>
  <si>
    <t>Unit 7 busbar duct fan control system cable diagram_PIO</t>
  </si>
  <si>
    <t>Unit 7 subdistribution cubicle layout drawing</t>
  </si>
  <si>
    <t>Unit 7 general arrangement drawing</t>
  </si>
  <si>
    <t>Unit 7 technical description of process control</t>
  </si>
  <si>
    <t>1.2./1.2.3</t>
  </si>
  <si>
    <t>1.2./1.2.2.</t>
  </si>
  <si>
    <t>1.1.</t>
  </si>
  <si>
    <t>1.5./1.5.2.</t>
  </si>
  <si>
    <t>1.4.</t>
  </si>
  <si>
    <t>1.5./1.5.1.</t>
  </si>
  <si>
    <t>1.2./1.2.1.</t>
  </si>
  <si>
    <t>PERU-01-11-111-11-001</t>
  </si>
  <si>
    <t>PERU-01-11-111-12-001</t>
  </si>
  <si>
    <t>PERU-01-11-111-14-003</t>
  </si>
  <si>
    <t>PERU-01-11-111-23-002</t>
  </si>
  <si>
    <t>PERU-01-11-111-31-001</t>
  </si>
  <si>
    <t>PERU-01-11-111-33-001</t>
  </si>
  <si>
    <t>PERU-01-11-111-61-002</t>
  </si>
  <si>
    <t>PERU-01-11-111-52-001</t>
  </si>
  <si>
    <t>PERU-01-11-111-70-002</t>
  </si>
  <si>
    <t>PERU-01-11-111-70-003</t>
  </si>
  <si>
    <t>PERU-01-11-111-34-002</t>
  </si>
  <si>
    <t>PERU-01-11-111-34-003</t>
  </si>
  <si>
    <t>PERU-01-11-170-31-001</t>
  </si>
  <si>
    <t>PERU-01-11-170-14-002</t>
  </si>
  <si>
    <t>PERU-01-11-170-23-001</t>
  </si>
  <si>
    <t>PERU-01-11-170-33-001</t>
  </si>
  <si>
    <t>PERU-01-11-170-61-001</t>
  </si>
  <si>
    <t>PERU-01-11-170-34-001</t>
  </si>
  <si>
    <t>PERU-01-11-170-34-002</t>
  </si>
  <si>
    <t>PERU-01-11-170-52-001</t>
  </si>
  <si>
    <t>PERU-01-11-170-70 -001</t>
  </si>
  <si>
    <t>PERU-01-11-111-07-002</t>
  </si>
  <si>
    <t>PERU-01-11-170-07-001</t>
  </si>
  <si>
    <t>Unit 1 HyCon governor series 400 block diagram</t>
  </si>
  <si>
    <t>Unit 1 turbine governor topology</t>
  </si>
  <si>
    <t>Unit 1 turbine governor cubicle assembly drawings</t>
  </si>
  <si>
    <t>Unit 1 turbine governor equipment specification and quantities</t>
  </si>
  <si>
    <t>Unit 1 turbine governor circuit diagram</t>
  </si>
  <si>
    <t>Unit 1 turbine governor cable diagrams</t>
  </si>
  <si>
    <t>Unit 1 transfer functions and modelling</t>
  </si>
  <si>
    <t>Unit 1 process control circuit diagram</t>
  </si>
  <si>
    <t>Unit 1 process control cubicle assembly drawings</t>
  </si>
  <si>
    <t>Unit 1 process control equipment specification and quantities</t>
  </si>
  <si>
    <t>Unit 1 turbine governor technical desciption</t>
  </si>
  <si>
    <t>Unit 1 technical description of process control</t>
  </si>
  <si>
    <t>Za A3, A4, A7 nije ništa još predano.</t>
  </si>
  <si>
    <t>Za A1, A2, A6 smo već predali ASB koliko znam? Samo je ostalo predati editabilne fajlove? U tom slučaju bi bilo dobro sve editabilne dwg-ove preglednih nacrta iz mog/AA radnog prebaciti u Izlaznu -&gt; As built da budu zajedno s pdf-ovima. Također bi bilo dobro baciti oko na dwg/docx ostalih stvari koje predajemo, a koje su već u Izlaznoj, jer mislim da za njih nismo pripremali da budu editabilni, odnosno nismo ih "čistili"</t>
  </si>
  <si>
    <t>Za A1, A2, A6 su editabilni eplani također u mom/AA radnom (ti folderi bi trebali biti isti), samo je pitanje hoćemo ih ubacivati da stoje u Izlaznoj</t>
  </si>
  <si>
    <t>2.2./2.2.3</t>
  </si>
  <si>
    <t>2.2./2.2.2.</t>
  </si>
  <si>
    <t>2.5./2.5.2.</t>
  </si>
  <si>
    <t>2.4.</t>
  </si>
  <si>
    <t>2.1.</t>
  </si>
  <si>
    <t>2.5./2.5.1.</t>
  </si>
  <si>
    <t>2.2./2.2.1.</t>
  </si>
  <si>
    <t>1.5./1.5.3.</t>
  </si>
  <si>
    <t>2.5./2.5.3.</t>
  </si>
  <si>
    <t>PERU-01-12-111-11-001</t>
  </si>
  <si>
    <t>PERU-01-12-111-12-001</t>
  </si>
  <si>
    <t>PERU-01-12-111-14-003</t>
  </si>
  <si>
    <t>PERU-01-12-111-23-002</t>
  </si>
  <si>
    <t>PERU-01-12-111-31-001</t>
  </si>
  <si>
    <t>PERU-01-12-111-33-001</t>
  </si>
  <si>
    <t>PERU-01-12-111-61-002</t>
  </si>
  <si>
    <t>PERU-01-12-111-52-001</t>
  </si>
  <si>
    <t>PERU-01-12-111-70-002</t>
  </si>
  <si>
    <t>PERU-01-12-111-70-003</t>
  </si>
  <si>
    <t>PERU-01-12-111-34-002</t>
  </si>
  <si>
    <t>PERU-01-12-111-34-003</t>
  </si>
  <si>
    <t>PERU-01-12-170-31-001</t>
  </si>
  <si>
    <t>PERU-01-12-170-14-002</t>
  </si>
  <si>
    <t>PERU-01-12-170-23-001</t>
  </si>
  <si>
    <t>PERU-01-12-170-33-001</t>
  </si>
  <si>
    <t>PERU-01-12-170-61-001</t>
  </si>
  <si>
    <t>PERU-01-12-170-34-001</t>
  </si>
  <si>
    <t>PERU-01-12-170-34-002</t>
  </si>
  <si>
    <t>PERU-01-12-170-52-001</t>
  </si>
  <si>
    <t>PERU-01-12-170-70 -001</t>
  </si>
  <si>
    <t>PERU-01-12-111-07-002</t>
  </si>
  <si>
    <t>PERU-01-12-170-07-001</t>
  </si>
  <si>
    <t>Unit 2 HyCon governor series 400 block diagram</t>
  </si>
  <si>
    <t>Unit 2 turbine governor topology</t>
  </si>
  <si>
    <t>Unit 2 turbine governor cubicle assembly drawings</t>
  </si>
  <si>
    <t>Unit 2 turbine governor equipment specification and quantities</t>
  </si>
  <si>
    <t>Unit 2 turbine governor circuit diagram</t>
  </si>
  <si>
    <t>Unit 2 turbine governor cable diagrams</t>
  </si>
  <si>
    <t>Unit 2 transfer functions and modelling</t>
  </si>
  <si>
    <t>Unit 2 process control circuit diagram</t>
  </si>
  <si>
    <t>Unit 2 process control cubicle assembly drawings</t>
  </si>
  <si>
    <t>Unit 2 process control equipment specification and quantities</t>
  </si>
  <si>
    <t>Unit 2 process control cable diagrams</t>
  </si>
  <si>
    <t>Unit 2 overview of logical connections</t>
  </si>
  <si>
    <t>Unit 2 turbine governor technical desciption</t>
  </si>
  <si>
    <t>Unit 2 technical description of process control</t>
  </si>
  <si>
    <t>6.2./6.2.4.</t>
  </si>
  <si>
    <t>6.5./6.5.2</t>
  </si>
  <si>
    <t>6.5.</t>
  </si>
  <si>
    <t>6.5./6.5.3.</t>
  </si>
  <si>
    <t>6.1.</t>
  </si>
  <si>
    <t>6.5./6.5.1.</t>
  </si>
  <si>
    <t>PERU-01-16-111-12-001</t>
  </si>
  <si>
    <t>PERU-01-16-111-41 -001</t>
  </si>
  <si>
    <t>PERU-01-16-170-14-002</t>
  </si>
  <si>
    <t>PERU-01-16-170-23-001</t>
  </si>
  <si>
    <t>PERU-01-16-170-31-001</t>
  </si>
  <si>
    <t>PERU-01-16-170-33-001</t>
  </si>
  <si>
    <t>PERU-01-16-170-61-001</t>
  </si>
  <si>
    <t>PERU-01-16-170-52-001</t>
  </si>
  <si>
    <t>PERU-01-16-170-70-001</t>
  </si>
  <si>
    <t>PERU-01-16-170-12-002</t>
  </si>
  <si>
    <t>PERU-01-16-153-33-001</t>
  </si>
  <si>
    <t>PERU-01-16-196-31-001</t>
  </si>
  <si>
    <t>PERU-01-16-132-31-001</t>
  </si>
  <si>
    <t>PERU-01-16-196-14-001</t>
  </si>
  <si>
    <t>PERU-01-16-132-14-001</t>
  </si>
  <si>
    <t>PERU-01-16-150-61-001</t>
  </si>
  <si>
    <t>PERU-01-16-196-33-001</t>
  </si>
  <si>
    <t>PERU-01-16-132-33-001</t>
  </si>
  <si>
    <t>PERU-01-16-150-33-001</t>
  </si>
  <si>
    <t>PERU-01-16-170-17-001</t>
  </si>
  <si>
    <t>PERU-01-16-170-07-001</t>
  </si>
  <si>
    <t>PERU-01-16-150-17-001</t>
  </si>
  <si>
    <t>PERU-01-16-170-41-001</t>
  </si>
  <si>
    <t>6.2./6.2.3.</t>
  </si>
  <si>
    <t>6.2.</t>
  </si>
  <si>
    <t>6.2./6.2.1.</t>
  </si>
  <si>
    <t>PERU-01-16-111-14-003</t>
  </si>
  <si>
    <t>PERU-01-16-111-31-001</t>
  </si>
  <si>
    <t>PERU-01-16-111-70-003</t>
  </si>
  <si>
    <t>PERU-01-16-111-34-003</t>
  </si>
  <si>
    <t>PERU-01-16-111-23-002</t>
  </si>
  <si>
    <t>PERU-01-16-111-33-001</t>
  </si>
  <si>
    <t>PERU-01-16-111-61-002</t>
  </si>
  <si>
    <t>PERU-01-16-111-52-001</t>
  </si>
  <si>
    <t>PERU-01-16-111-70-002</t>
  </si>
  <si>
    <t>PERU-01-16-111-31-002</t>
  </si>
  <si>
    <t>PERU-01-16-111-31-003</t>
  </si>
  <si>
    <t>PERU-01-16-111-31-004</t>
  </si>
  <si>
    <t>PERU-01-16-111-31-005</t>
  </si>
  <si>
    <t>PERU-01-16-111-14-005</t>
  </si>
  <si>
    <t>PERU-01-16-111-14-006</t>
  </si>
  <si>
    <t>PERU-01-16-111-14-007</t>
  </si>
  <si>
    <t>PERU-01-16-111-14-008</t>
  </si>
  <si>
    <t>PERU-01-16-111-33-002</t>
  </si>
  <si>
    <t>PERU-01-16-111-33-003</t>
  </si>
  <si>
    <t>PERU-01-16-111-33-004</t>
  </si>
  <si>
    <t>PERU-01-16-111-33-005</t>
  </si>
  <si>
    <t>PERU-01-16-111-07-002</t>
  </si>
  <si>
    <t>PERU-01-16-111-11-001</t>
  </si>
  <si>
    <t>22044-DD-EE-02-06-104</t>
  </si>
  <si>
    <t>22044-DD-EE-02-06-100</t>
  </si>
  <si>
    <t>22044-DD-EE-02-06-400</t>
  </si>
  <si>
    <t>22044-DD-EE-02-06-302</t>
  </si>
  <si>
    <t>22044-DD-EE-02-06-102</t>
  </si>
  <si>
    <t>22044-DD-EE-02-06-101</t>
  </si>
  <si>
    <t>22044-DD-EE-02-06-200</t>
  </si>
  <si>
    <t>22044-DD-EE-02-06-210</t>
  </si>
  <si>
    <t>22044-DD-EE-02-06-401</t>
  </si>
  <si>
    <t>22044-DD-EE-02-06-110</t>
  </si>
  <si>
    <t>22044-DD-EE-02-06-111</t>
  </si>
  <si>
    <t>22044-DD-EE-02-06-112</t>
  </si>
  <si>
    <t>22044-DD-EE-02-06-113</t>
  </si>
  <si>
    <t>22044-DD-EE-02-06-120</t>
  </si>
  <si>
    <t>22044-DD-EE-02-06-121</t>
  </si>
  <si>
    <t>22044-DD-EE-02-06-123</t>
  </si>
  <si>
    <t>22044-DD-EE-02-06-130</t>
  </si>
  <si>
    <t>22044-DD-EE-02-06-131</t>
  </si>
  <si>
    <t>22044-DD-EE-02-06-132</t>
  </si>
  <si>
    <t>22044-DD-EE-02-06-133</t>
  </si>
  <si>
    <t>22044-BD-EE-02-06-001</t>
  </si>
  <si>
    <t>22044-BD-EE-02-06-002</t>
  </si>
  <si>
    <t>22044-BD-EE-02-06-003</t>
  </si>
  <si>
    <t>22044-DD-EE-02-06-301</t>
  </si>
  <si>
    <t>22044-DD-EE-08-06-105</t>
  </si>
  <si>
    <t>22044-DD-EE-08-06-103</t>
  </si>
  <si>
    <t>22044-DD-EE-08-06-100</t>
  </si>
  <si>
    <t>22044-DD-EE-08-06-102</t>
  </si>
  <si>
    <t>22044-DD-EE-08-06-200</t>
  </si>
  <si>
    <t>22044-DD-EE-08-06-210</t>
  </si>
  <si>
    <t>22044-DD-EE-08-06-401</t>
  </si>
  <si>
    <t>22044-DD-EE-08-06-101</t>
  </si>
  <si>
    <t>22044-BD-EE-08-06-110</t>
  </si>
  <si>
    <t>22044-BD-EE-08-06-120</t>
  </si>
  <si>
    <t>22044-BD-EE-08-06-111</t>
  </si>
  <si>
    <t>22044-BD-EE-08-06-121</t>
  </si>
  <si>
    <t>22044-DD-EE-08-06-202</t>
  </si>
  <si>
    <t>22044-DD-EE-08-06-120</t>
  </si>
  <si>
    <t>22044-DD-EE-08-06-121</t>
  </si>
  <si>
    <t>22044-DD-EE-08-06-141</t>
  </si>
  <si>
    <t>22044-DD-CE-08-06-001</t>
  </si>
  <si>
    <t>22044-BD-EE-08-06-001</t>
  </si>
  <si>
    <t>22044-BD-EE-08-06-002</t>
  </si>
  <si>
    <t>Unit 6 turbine governor cubicle assembly drawings</t>
  </si>
  <si>
    <t>Unit 6 turbine governor circuit diagram</t>
  </si>
  <si>
    <t>Unit 6 transfer functions and modelling</t>
  </si>
  <si>
    <t>Unit 6 turbine governor equipment specification and quantities</t>
  </si>
  <si>
    <t>Unit 6 turbine governor cable diagrams</t>
  </si>
  <si>
    <t>Unit 6 turbine governor cubicle SAT report</t>
  </si>
  <si>
    <t>Unit 6 turbine A junction box circuit diagram</t>
  </si>
  <si>
    <t>Unit 6 turbine B junction box circuit diagram</t>
  </si>
  <si>
    <t>Unit 6 inlet A junction box circuit diagram</t>
  </si>
  <si>
    <t>Unit 6 inlet B junction box circuit diagram</t>
  </si>
  <si>
    <t>Unit 6 turbine A junction box assembly drawing</t>
  </si>
  <si>
    <t>Unit 6 turbine B junction box assembly drawing</t>
  </si>
  <si>
    <t>Unit 6 inlet A junction box assembly drawing</t>
  </si>
  <si>
    <t>Unit 6 inlet B junction box assembly drawing</t>
  </si>
  <si>
    <t>Unit 6 turbine A junction box cable diagram</t>
  </si>
  <si>
    <t>Unit 6 turbine B junction box cable diagram</t>
  </si>
  <si>
    <t>Unit 6 inlet A junction box cable diagram</t>
  </si>
  <si>
    <t>Unit 6 inlet B junction box cable diagram</t>
  </si>
  <si>
    <t>Unit 6 technical description of turbine governor cubicle</t>
  </si>
  <si>
    <t>Unit 6 HyCon governor series 400 block diagram</t>
  </si>
  <si>
    <t>Unit 6 turbine governor topology</t>
  </si>
  <si>
    <t>Unit 6 turbine governor signal list</t>
  </si>
  <si>
    <t>Unit 6 process control assembly drawing</t>
  </si>
  <si>
    <t>Unit 6 process control equipment specification and quantities</t>
  </si>
  <si>
    <t>Unit 6 process control circuit diagram</t>
  </si>
  <si>
    <t>Unit 6 process control cable diagrams</t>
  </si>
  <si>
    <t>Unit 6 process control O&amp;M instructions</t>
  </si>
  <si>
    <t>Unit 6 overview of logical connections</t>
  </si>
  <si>
    <t>Unit 6 subdistribution cubicle circuit diagram</t>
  </si>
  <si>
    <t>Unit 6 transformer cooling system control cubicle circuit diagram</t>
  </si>
  <si>
    <t>Unit 6 busbar duct fan control cubicle circuit diagram</t>
  </si>
  <si>
    <t>Unit 6 transformer cooling system assembly drawing</t>
  </si>
  <si>
    <t>Unit 6 busbar duct fan control cubicle assembly drawing</t>
  </si>
  <si>
    <t>Unit 6 subdistribution cubicle FAT report</t>
  </si>
  <si>
    <t>Unit 6 transformer cooling water control system cable diagram_PIO</t>
  </si>
  <si>
    <t>Unit 6 transformer cooling water control system cable diagram</t>
  </si>
  <si>
    <t>Unit 6 busbar duct fan control system cable diagram_PIO</t>
  </si>
  <si>
    <t>Unit 6 busbar duct fan control system cable diagram</t>
  </si>
  <si>
    <t>Unit 6 subdistribution cubicle cable diagram</t>
  </si>
  <si>
    <t>Unit 6 general arrangement drawing</t>
  </si>
  <si>
    <t>Unit 6 technical description of process control</t>
  </si>
  <si>
    <t>Unit 6 subdistribution cubicle layout drawing</t>
  </si>
  <si>
    <t>Unit 6 process control signal list</t>
  </si>
  <si>
    <t>A3, A4 zadnji eplani, ujedno i editabilni, su u Tehničkoj</t>
  </si>
  <si>
    <t>A7 editabilni eplani su na čekanju dok Fran ne updatea prijevode</t>
  </si>
  <si>
    <t>Control system topology</t>
  </si>
  <si>
    <t>Komentirali smo da se popis doc za A6 i A7 razlikuje u nečemu, tipa kontrolna topologija, tako da na to treba baciti oko</t>
  </si>
  <si>
    <t>PERU-01-16-170-12-001</t>
  </si>
  <si>
    <t>Izlazna dokumentacija -&gt; As Built, spremni pdf i editable</t>
  </si>
  <si>
    <t>Izlazna dokumentacija -&gt; As Built, spremni pdf i editable, editable i u Tehničkoj</t>
  </si>
  <si>
    <t>Za editabilne fajlove A126 kojima se ne poklapa datum s pdf-om je razlog što se nije mijenjao sadržaj, samo su pripremljene clean verzije fajlova za slanje</t>
  </si>
  <si>
    <t>Izlazna dokumentacija -&gt; As Built, editable kroz eplan backup</t>
  </si>
  <si>
    <t>Izlazna dokumentacija -&gt; As Built, spremni pdf i editable, backup u Tehničkoj</t>
  </si>
  <si>
    <t>Izlazna dokumentacija -&gt; Detail design -&gt; Electrical -&gt; 2024-12-20; dogovor je da će se raditi detaljni manuali na kraju, zasad preskočiti</t>
  </si>
  <si>
    <t>Izlazna dokumentacija -&gt; Detail design -&gt; Electrical -&gt; 2024-04-09; dogovor je da će se raditi detaljni manuali na kraju, zasad preskočiti</t>
  </si>
  <si>
    <t>Izlazna dokumentacija -&gt; As Built, editable u Programi -&gt; Symbol list</t>
  </si>
  <si>
    <t>djelomično spremno</t>
  </si>
  <si>
    <t>Izlazna dokumentacija -&gt; As Built, fale editabilni fajlovi</t>
  </si>
  <si>
    <t>postoji u DD, na čekanju do daljnjeg</t>
  </si>
  <si>
    <t>Unit 1 turbine governor signal list</t>
  </si>
  <si>
    <t>Unit 1 process control signal list</t>
  </si>
  <si>
    <t>Izlazna dokumentacija -&gt; Detail design -&gt; Electrical -&gt; 2025-03-04; dogovor je da će se raditi detaljni manuali na kraju, zasad preskočiti</t>
  </si>
  <si>
    <t>VOITH ICS, ubačeno od tamo u Izlaznu -&gt; As built</t>
  </si>
  <si>
    <t>nema u ICS-u, ali za ovo nismo ni radili FAT?</t>
  </si>
  <si>
    <t>Unit 2 turbine governor signal list</t>
  </si>
  <si>
    <t>Unit 2 process control signal list</t>
  </si>
  <si>
    <t>Unit 2 process control SAT report(_signed)</t>
  </si>
  <si>
    <t>Unit 2 turbine governor SAT report(_signed)</t>
  </si>
  <si>
    <t>Unit 2 turbine governor FAT report</t>
  </si>
  <si>
    <t>Izlazna dokumentacija -&gt; Detail design -&gt; Electrical -&gt; 2025-03-06; dogovor je da će se raditi detaljni manuali na kraju, zasad preskočiti</t>
  </si>
  <si>
    <t>Izlazna dokumentacija -&gt; Detail design -&gt; Electrical -&gt; 2024-04-19; dogovor je da će se raditi detaljni manuali na kraju, zasad preskočiti</t>
  </si>
  <si>
    <t>ima u ASB, ali zadnje u Tehnička dokumentacija -&gt; Power plant general, ovo bi trebali poslati ažuriranu verziju sad nakon KA1 i KA2 izmjena? Ne znam jel treba dodavati pečat</t>
  </si>
  <si>
    <t>Izlazna dokumentacija -&gt; As Built (građevinski dio), spremni pdf i editable</t>
  </si>
  <si>
    <t>Unit 6 turbine governor cubicle FAT report(_signed)</t>
  </si>
  <si>
    <t>Unit 6 turbine governor cubicle SAT report(_signed)</t>
  </si>
  <si>
    <t>Unit 6 process control FAT report(_signed)</t>
  </si>
  <si>
    <t>Unit 6 process control SAT report(_signed)</t>
  </si>
  <si>
    <t>Unit 6 subdistribution cubicle - FAT report_signed</t>
  </si>
  <si>
    <t>Izlazna dokumentacija -&gt; Detail design -&gt; Electrical -&gt; 2025-04-04; dogovor je da će se raditi detaljni manuali na kraju, zasad preskočiti</t>
  </si>
  <si>
    <t>Unit 3 turbine governor signal list</t>
  </si>
  <si>
    <t>Unit 3 process control cubicles FAT report</t>
  </si>
  <si>
    <t>Unit 3 process control SAT report</t>
  </si>
  <si>
    <t>Unit 3 turbine governor cubicle SAT report</t>
  </si>
  <si>
    <t>Unit 3 turbine governor cubicle FAT report</t>
  </si>
  <si>
    <t>Unit 4 turbine governor signal list</t>
  </si>
  <si>
    <t>Unit 4 process control signal list</t>
  </si>
  <si>
    <t>Unit 4 turbine governor cubicle FAT report</t>
  </si>
  <si>
    <t>Unit 4 turbine governor cubicle SAT report</t>
  </si>
  <si>
    <t>Unit 4 process control SAT report</t>
  </si>
  <si>
    <t>Unit 4 process control cubicles FAT report</t>
  </si>
  <si>
    <t>popraviti assignanje žile 5 u W5101, assignanje i prikaz kabela U7CJA10-W7001(2,3,4,5) pa nanovo izgenerirati</t>
  </si>
  <si>
    <t>treba ažurirati prikaz kabela od mjerenja temperatura i prijevode po shemama, to Fran rješava</t>
  </si>
  <si>
    <t>Unit 7 process control SAT report(_signed)</t>
  </si>
  <si>
    <t>Unit 7 process control FAT report(_signed)</t>
  </si>
  <si>
    <t>Unit 7 subdistribution cubicle FAT report(_signed)</t>
  </si>
  <si>
    <t>Unit 7 turbine governor cubicle SAT report(_signed)</t>
  </si>
  <si>
    <t>Unit 7 turbine governor cubicle FAT report(_signed)</t>
  </si>
  <si>
    <t>Document title in folder (MNE)</t>
  </si>
  <si>
    <t>FŠ</t>
  </si>
  <si>
    <t>PER-E-2-U7-SCH-002-00-VHHR - Agregat 7 strujne sheme ormara turbinskog regulatora_PIO</t>
  </si>
  <si>
    <t>spremno sve, pregledati</t>
  </si>
  <si>
    <t>PER-E-2-U7-SCH-005-00-VHHR - Agregat 7 strujne sheme razvodne kutije kuglastog zatvarača A_PIO</t>
  </si>
  <si>
    <t>PER-E-2-U7-SCH-006-00-VHHR - Agregat 7 strujne sheme razvodne kutije kuglastog zatvarača B_PIO</t>
  </si>
  <si>
    <t>PER-E-8-U7-SCH-003-00-VHHR - Agregat 7 strujne sheme master stanice_PIO</t>
  </si>
  <si>
    <t>PER-E-8-U7-SCH-004-00-VHHR - Agregat 7 strujne sheme ormara podrazvoda_PIO</t>
  </si>
  <si>
    <t>PER-E-8-U7-SCH-005-00-VHHR - Agregat 7 strujne sheme rashladnog sistema transformatora_PIO</t>
  </si>
  <si>
    <t>PER-E-8-U7-SCH-006-00-VHHR - Agregat 7 strujne sheme ormara za upravljanje ventilatorom šinskog kanala_PIO</t>
  </si>
  <si>
    <t>PER-E-8-U7-ROU-001-00-VHHR - Agregat 7 kabelska lista master stanice_PIO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</si>
</sst>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3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3F3F76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charset val="238"/>
      <scheme val="minor"/>
    </font>
    <font>
      <b/>
      <sz val="11"/>
      <name val="Arial"/>
      <family val="2"/>
    </font>
    <font>
      <sz val="11"/>
      <color rgb="FF000000"/>
      <name val="Arial"/>
      <family val="2"/>
      <charset val="238"/>
    </font>
    <font>
      <strike/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color rgb="FF000000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trike/>
      <sz val="11"/>
      <color theme="1"/>
      <name val="Arial"/>
      <family val="2"/>
    </font>
    <font>
      <sz val="11"/>
      <color rgb="FF9C5700"/>
      <name val="Calibri"/>
      <family val="2"/>
      <scheme val="minor"/>
    </font>
    <font>
      <strike/>
      <sz val="11"/>
      <color theme="1"/>
      <name val="Calibri"/>
      <family val="2"/>
      <charset val="238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trike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3">
    <xf numFmtId="0" fontId="0" fillId="0" borderId="0"/>
    <xf numFmtId="0" fontId="10" fillId="0" borderId="0"/>
    <xf numFmtId="0" fontId="11" fillId="0" borderId="0"/>
    <xf numFmtId="0" fontId="12" fillId="0" borderId="0"/>
    <xf numFmtId="0" fontId="25" fillId="11" borderId="0" applyNumberFormat="0" applyBorder="0" applyAlignment="0" applyProtection="0"/>
    <xf numFmtId="0" fontId="5" fillId="0" borderId="0"/>
    <xf numFmtId="0" fontId="6" fillId="0" borderId="0"/>
    <xf numFmtId="0" fontId="5" fillId="0" borderId="0"/>
    <xf numFmtId="0" fontId="7" fillId="0" borderId="0"/>
    <xf numFmtId="0" fontId="14" fillId="5" borderId="4" applyNumberFormat="0" applyAlignment="0" applyProtection="0"/>
    <xf numFmtId="0" fontId="25" fillId="11" borderId="0" applyNumberFormat="0" applyBorder="0" applyAlignment="0" applyProtection="0"/>
    <xf numFmtId="0" fontId="4" fillId="0" borderId="0"/>
    <xf numFmtId="0" fontId="4" fillId="0" borderId="0"/>
  </cellStyleXfs>
  <cellXfs count="267">
    <xf numFmtId="0" fontId="0" fillId="0" borderId="0" xfId="0"/>
    <xf numFmtId="49" fontId="11" fillId="0" borderId="0" xfId="2" applyNumberFormat="1"/>
    <xf numFmtId="0" fontId="9" fillId="4" borderId="10" xfId="2" applyFont="1" applyFill="1" applyBorder="1" applyAlignment="1">
      <alignment horizontal="center" vertical="center" wrapText="1"/>
    </xf>
    <xf numFmtId="0" fontId="19" fillId="0" borderId="0" xfId="2" applyFont="1"/>
    <xf numFmtId="0" fontId="13" fillId="2" borderId="1" xfId="2" applyFont="1" applyFill="1" applyBorder="1" applyAlignment="1">
      <alignment horizontal="center" vertical="center" wrapText="1"/>
    </xf>
    <xf numFmtId="0" fontId="9" fillId="4" borderId="3" xfId="2" applyFont="1" applyFill="1" applyBorder="1" applyAlignment="1">
      <alignment vertical="center" wrapText="1"/>
    </xf>
    <xf numFmtId="0" fontId="20" fillId="10" borderId="6" xfId="2" applyFont="1" applyFill="1" applyBorder="1" applyAlignment="1">
      <alignment vertical="center" wrapText="1"/>
    </xf>
    <xf numFmtId="0" fontId="9" fillId="10" borderId="6" xfId="2" applyFont="1" applyFill="1" applyBorder="1" applyAlignment="1">
      <alignment vertical="center" wrapText="1"/>
    </xf>
    <xf numFmtId="0" fontId="9" fillId="9" borderId="6" xfId="2" applyFont="1" applyFill="1" applyBorder="1" applyAlignment="1">
      <alignment vertical="center" wrapText="1"/>
    </xf>
    <xf numFmtId="0" fontId="9" fillId="8" borderId="6" xfId="2" applyFont="1" applyFill="1" applyBorder="1" applyAlignment="1">
      <alignment vertical="center" wrapText="1"/>
    </xf>
    <xf numFmtId="0" fontId="20" fillId="9" borderId="6" xfId="2" applyFont="1" applyFill="1" applyBorder="1" applyAlignment="1">
      <alignment vertical="center" wrapText="1"/>
    </xf>
    <xf numFmtId="0" fontId="22" fillId="0" borderId="0" xfId="2" applyFont="1"/>
    <xf numFmtId="0" fontId="23" fillId="4" borderId="3" xfId="2" applyFont="1" applyFill="1" applyBorder="1" applyAlignment="1">
      <alignment vertical="center" wrapText="1"/>
    </xf>
    <xf numFmtId="0" fontId="23" fillId="4" borderId="10" xfId="2" applyFont="1" applyFill="1" applyBorder="1" applyAlignment="1">
      <alignment horizontal="center" vertical="center" wrapText="1"/>
    </xf>
    <xf numFmtId="0" fontId="24" fillId="4" borderId="10" xfId="2" applyFont="1" applyFill="1" applyBorder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/>
    </xf>
    <xf numFmtId="49" fontId="13" fillId="2" borderId="1" xfId="2" applyNumberFormat="1" applyFont="1" applyFill="1" applyBorder="1" applyAlignment="1">
      <alignment horizontal="center" vertical="center" wrapText="1"/>
    </xf>
    <xf numFmtId="0" fontId="9" fillId="10" borderId="7" xfId="2" applyFont="1" applyFill="1" applyBorder="1" applyAlignment="1">
      <alignment vertical="center" wrapText="1"/>
    </xf>
    <xf numFmtId="49" fontId="13" fillId="0" borderId="1" xfId="2" applyNumberFormat="1" applyFont="1" applyBorder="1" applyAlignment="1">
      <alignment horizontal="center" vertical="center" wrapText="1"/>
    </xf>
    <xf numFmtId="0" fontId="17" fillId="2" borderId="1" xfId="2" applyFont="1" applyFill="1" applyBorder="1" applyAlignment="1">
      <alignment horizontal="center" vertical="center" wrapText="1"/>
    </xf>
    <xf numFmtId="0" fontId="24" fillId="4" borderId="3" xfId="2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49" fontId="9" fillId="8" borderId="6" xfId="2" applyNumberFormat="1" applyFont="1" applyFill="1" applyBorder="1" applyAlignment="1">
      <alignment vertical="center" wrapText="1"/>
    </xf>
    <xf numFmtId="0" fontId="9" fillId="9" borderId="6" xfId="2" applyFont="1" applyFill="1" applyBorder="1" applyAlignment="1">
      <alignment horizontal="center" vertical="center" wrapText="1"/>
    </xf>
    <xf numFmtId="49" fontId="9" fillId="9" borderId="6" xfId="2" applyNumberFormat="1" applyFont="1" applyFill="1" applyBorder="1" applyAlignment="1">
      <alignment horizontal="center" vertical="center" wrapText="1"/>
    </xf>
    <xf numFmtId="0" fontId="19" fillId="2" borderId="1" xfId="2" applyFont="1" applyFill="1" applyBorder="1"/>
    <xf numFmtId="0" fontId="15" fillId="2" borderId="1" xfId="2" applyFon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center"/>
    </xf>
    <xf numFmtId="164" fontId="9" fillId="4" borderId="3" xfId="2" applyNumberFormat="1" applyFont="1" applyFill="1" applyBorder="1" applyAlignment="1">
      <alignment horizontal="center" vertical="center" wrapText="1"/>
    </xf>
    <xf numFmtId="0" fontId="15" fillId="0" borderId="0" xfId="2" applyFont="1" applyAlignment="1">
      <alignment horizontal="center"/>
    </xf>
    <xf numFmtId="164" fontId="9" fillId="4" borderId="10" xfId="2" applyNumberFormat="1" applyFont="1" applyFill="1" applyBorder="1" applyAlignment="1">
      <alignment horizontal="center" vertical="center" wrapText="1"/>
    </xf>
    <xf numFmtId="164" fontId="20" fillId="8" borderId="6" xfId="2" applyNumberFormat="1" applyFont="1" applyFill="1" applyBorder="1" applyAlignment="1">
      <alignment horizontal="center" vertical="center" wrapText="1"/>
    </xf>
    <xf numFmtId="164" fontId="20" fillId="9" borderId="6" xfId="2" applyNumberFormat="1" applyFont="1" applyFill="1" applyBorder="1" applyAlignment="1">
      <alignment vertical="center" wrapText="1"/>
    </xf>
    <xf numFmtId="0" fontId="9" fillId="4" borderId="3" xfId="2" applyFont="1" applyFill="1" applyBorder="1" applyAlignment="1">
      <alignment horizontal="left" vertical="center" wrapText="1"/>
    </xf>
    <xf numFmtId="0" fontId="27" fillId="0" borderId="0" xfId="2" applyFont="1"/>
    <xf numFmtId="0" fontId="8" fillId="0" borderId="0" xfId="2" applyFont="1"/>
    <xf numFmtId="0" fontId="8" fillId="0" borderId="0" xfId="2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center"/>
    </xf>
    <xf numFmtId="49" fontId="8" fillId="0" borderId="0" xfId="2" applyNumberFormat="1" applyFont="1" applyAlignment="1">
      <alignment horizontal="center" vertical="center"/>
    </xf>
    <xf numFmtId="164" fontId="8" fillId="0" borderId="0" xfId="2" applyNumberFormat="1" applyFont="1" applyAlignment="1">
      <alignment horizontal="center"/>
    </xf>
    <xf numFmtId="164" fontId="8" fillId="8" borderId="6" xfId="2" applyNumberFormat="1" applyFont="1" applyFill="1" applyBorder="1" applyAlignment="1">
      <alignment horizontal="center"/>
    </xf>
    <xf numFmtId="49" fontId="8" fillId="8" borderId="6" xfId="2" applyNumberFormat="1" applyFont="1" applyFill="1" applyBorder="1"/>
    <xf numFmtId="0" fontId="8" fillId="8" borderId="6" xfId="2" applyFont="1" applyFill="1" applyBorder="1"/>
    <xf numFmtId="0" fontId="8" fillId="9" borderId="8" xfId="2" applyFont="1" applyFill="1" applyBorder="1" applyAlignment="1">
      <alignment horizontal="center"/>
    </xf>
    <xf numFmtId="164" fontId="8" fillId="9" borderId="6" xfId="2" applyNumberFormat="1" applyFont="1" applyFill="1" applyBorder="1" applyAlignment="1">
      <alignment horizontal="center"/>
    </xf>
    <xf numFmtId="49" fontId="8" fillId="9" borderId="6" xfId="2" applyNumberFormat="1" applyFont="1" applyFill="1" applyBorder="1" applyAlignment="1">
      <alignment horizontal="center"/>
    </xf>
    <xf numFmtId="0" fontId="8" fillId="9" borderId="6" xfId="2" applyFont="1" applyFill="1" applyBorder="1" applyAlignment="1">
      <alignment horizontal="center"/>
    </xf>
    <xf numFmtId="0" fontId="8" fillId="9" borderId="6" xfId="2" applyFont="1" applyFill="1" applyBorder="1"/>
    <xf numFmtId="0" fontId="8" fillId="10" borderId="8" xfId="2" applyFont="1" applyFill="1" applyBorder="1"/>
    <xf numFmtId="0" fontId="8" fillId="10" borderId="6" xfId="2" applyFont="1" applyFill="1" applyBorder="1"/>
    <xf numFmtId="0" fontId="8" fillId="10" borderId="7" xfId="2" applyFont="1" applyFill="1" applyBorder="1"/>
    <xf numFmtId="0" fontId="22" fillId="2" borderId="1" xfId="2" applyFont="1" applyFill="1" applyBorder="1"/>
    <xf numFmtId="0" fontId="15" fillId="12" borderId="1" xfId="0" applyFont="1" applyFill="1" applyBorder="1" applyAlignment="1">
      <alignment wrapText="1"/>
    </xf>
    <xf numFmtId="0" fontId="15" fillId="12" borderId="1" xfId="0" applyFont="1" applyFill="1" applyBorder="1" applyAlignment="1">
      <alignment horizontal="left" wrapText="1"/>
    </xf>
    <xf numFmtId="0" fontId="13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49" fontId="13" fillId="2" borderId="1" xfId="12" applyNumberFormat="1" applyFont="1" applyFill="1" applyBorder="1" applyAlignment="1">
      <alignment horizontal="center" vertical="center" wrapText="1"/>
    </xf>
    <xf numFmtId="0" fontId="9" fillId="4" borderId="12" xfId="2" applyFont="1" applyFill="1" applyBorder="1" applyAlignment="1" applyProtection="1">
      <alignment horizontal="center" vertical="center" wrapText="1"/>
      <protection locked="0"/>
    </xf>
    <xf numFmtId="0" fontId="9" fillId="4" borderId="10" xfId="2" applyFont="1" applyFill="1" applyBorder="1" applyAlignment="1">
      <alignment horizontal="left" vertical="center" wrapText="1"/>
    </xf>
    <xf numFmtId="0" fontId="8" fillId="0" borderId="0" xfId="2" applyFont="1" applyAlignment="1">
      <alignment horizontal="left"/>
    </xf>
    <xf numFmtId="0" fontId="17" fillId="4" borderId="10" xfId="4" applyFont="1" applyFill="1" applyBorder="1" applyAlignment="1">
      <alignment horizontal="center" vertical="center" wrapText="1"/>
    </xf>
    <xf numFmtId="0" fontId="9" fillId="0" borderId="0" xfId="2" applyFont="1" applyAlignment="1" applyProtection="1">
      <alignment wrapText="1"/>
      <protection locked="0"/>
    </xf>
    <xf numFmtId="0" fontId="31" fillId="0" borderId="0" xfId="2" applyFont="1"/>
    <xf numFmtId="49" fontId="20" fillId="8" borderId="6" xfId="2" applyNumberFormat="1" applyFont="1" applyFill="1" applyBorder="1" applyAlignment="1">
      <alignment horizontal="right" vertical="center" wrapText="1"/>
    </xf>
    <xf numFmtId="49" fontId="8" fillId="8" borderId="6" xfId="2" applyNumberFormat="1" applyFont="1" applyFill="1" applyBorder="1" applyAlignment="1">
      <alignment horizontal="right"/>
    </xf>
    <xf numFmtId="0" fontId="8" fillId="6" borderId="0" xfId="2" applyFont="1" applyFill="1" applyAlignment="1">
      <alignment horizontal="left"/>
    </xf>
    <xf numFmtId="0" fontId="13" fillId="0" borderId="1" xfId="2" applyFont="1" applyBorder="1" applyAlignment="1">
      <alignment vertical="center" wrapText="1"/>
    </xf>
    <xf numFmtId="164" fontId="13" fillId="8" borderId="6" xfId="2" applyNumberFormat="1" applyFont="1" applyFill="1" applyBorder="1" applyAlignment="1">
      <alignment horizontal="center"/>
    </xf>
    <xf numFmtId="164" fontId="13" fillId="8" borderId="1" xfId="2" applyNumberFormat="1" applyFont="1" applyFill="1" applyBorder="1" applyAlignment="1">
      <alignment horizontal="center"/>
    </xf>
    <xf numFmtId="164" fontId="17" fillId="8" borderId="6" xfId="2" applyNumberFormat="1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center"/>
    </xf>
    <xf numFmtId="49" fontId="32" fillId="0" borderId="0" xfId="2" applyNumberFormat="1" applyFont="1"/>
    <xf numFmtId="0" fontId="17" fillId="4" borderId="10" xfId="4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center" vertical="center"/>
    </xf>
    <xf numFmtId="1" fontId="13" fillId="2" borderId="1" xfId="2" applyNumberFormat="1" applyFont="1" applyFill="1" applyBorder="1" applyAlignment="1">
      <alignment horizontal="center" vertical="center" wrapText="1"/>
    </xf>
    <xf numFmtId="1" fontId="13" fillId="2" borderId="1" xfId="12" applyNumberFormat="1" applyFont="1" applyFill="1" applyBorder="1" applyAlignment="1">
      <alignment horizontal="center" vertical="center" wrapText="1"/>
    </xf>
    <xf numFmtId="0" fontId="2" fillId="4" borderId="3" xfId="2" applyFont="1" applyFill="1" applyBorder="1" applyAlignment="1">
      <alignment horizontal="center" vertical="center" wrapText="1"/>
    </xf>
    <xf numFmtId="0" fontId="2" fillId="7" borderId="0" xfId="2" applyFont="1" applyFill="1"/>
    <xf numFmtId="49" fontId="2" fillId="8" borderId="6" xfId="2" applyNumberFormat="1" applyFont="1" applyFill="1" applyBorder="1" applyAlignment="1">
      <alignment horizontal="right"/>
    </xf>
    <xf numFmtId="164" fontId="2" fillId="8" borderId="6" xfId="2" applyNumberFormat="1" applyFont="1" applyFill="1" applyBorder="1" applyAlignment="1">
      <alignment horizontal="center"/>
    </xf>
    <xf numFmtId="49" fontId="2" fillId="8" borderId="6" xfId="2" applyNumberFormat="1" applyFont="1" applyFill="1" applyBorder="1"/>
    <xf numFmtId="0" fontId="2" fillId="8" borderId="6" xfId="2" applyFont="1" applyFill="1" applyBorder="1"/>
    <xf numFmtId="0" fontId="2" fillId="9" borderId="6" xfId="2" applyFont="1" applyFill="1" applyBorder="1" applyAlignment="1">
      <alignment horizontal="center" wrapText="1"/>
    </xf>
    <xf numFmtId="164" fontId="2" fillId="9" borderId="6" xfId="2" applyNumberFormat="1" applyFont="1" applyFill="1" applyBorder="1" applyAlignment="1">
      <alignment horizontal="center"/>
    </xf>
    <xf numFmtId="49" fontId="2" fillId="9" borderId="6" xfId="2" applyNumberFormat="1" applyFont="1" applyFill="1" applyBorder="1" applyAlignment="1">
      <alignment horizontal="center"/>
    </xf>
    <xf numFmtId="0" fontId="2" fillId="9" borderId="6" xfId="2" applyFont="1" applyFill="1" applyBorder="1" applyAlignment="1">
      <alignment horizontal="center"/>
    </xf>
    <xf numFmtId="0" fontId="2" fillId="9" borderId="6" xfId="2" applyFont="1" applyFill="1" applyBorder="1"/>
    <xf numFmtId="0" fontId="2" fillId="10" borderId="6" xfId="2" applyFont="1" applyFill="1" applyBorder="1"/>
    <xf numFmtId="0" fontId="2" fillId="10" borderId="7" xfId="2" applyFont="1" applyFill="1" applyBorder="1"/>
    <xf numFmtId="0" fontId="2" fillId="4" borderId="10" xfId="2" applyFont="1" applyFill="1" applyBorder="1" applyAlignment="1">
      <alignment horizontal="center" vertical="center" wrapText="1"/>
    </xf>
    <xf numFmtId="0" fontId="2" fillId="7" borderId="6" xfId="2" applyFont="1" applyFill="1" applyBorder="1"/>
    <xf numFmtId="0" fontId="2" fillId="9" borderId="8" xfId="2" applyFont="1" applyFill="1" applyBorder="1" applyAlignment="1">
      <alignment horizontal="center"/>
    </xf>
    <xf numFmtId="0" fontId="2" fillId="10" borderId="8" xfId="2" applyFont="1" applyFill="1" applyBorder="1"/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2" fillId="0" borderId="0" xfId="2" applyFont="1"/>
    <xf numFmtId="49" fontId="2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left"/>
    </xf>
    <xf numFmtId="164" fontId="2" fillId="0" borderId="0" xfId="2" applyNumberFormat="1" applyFont="1" applyAlignment="1">
      <alignment horizontal="center"/>
    </xf>
    <xf numFmtId="0" fontId="2" fillId="6" borderId="0" xfId="2" applyFont="1" applyFill="1" applyAlignment="1">
      <alignment horizontal="left" vertical="center"/>
    </xf>
    <xf numFmtId="49" fontId="2" fillId="0" borderId="0" xfId="2" applyNumberFormat="1" applyFont="1"/>
    <xf numFmtId="0" fontId="1" fillId="0" borderId="1" xfId="2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3" fillId="2" borderId="1" xfId="2" applyFont="1" applyFill="1" applyBorder="1" applyAlignment="1">
      <alignment horizontal="left"/>
    </xf>
    <xf numFmtId="0" fontId="1" fillId="0" borderId="1" xfId="2" applyFont="1" applyBorder="1" applyAlignment="1">
      <alignment horizontal="left"/>
    </xf>
    <xf numFmtId="0" fontId="31" fillId="0" borderId="14" xfId="2" applyFont="1" applyBorder="1"/>
    <xf numFmtId="0" fontId="17" fillId="4" borderId="3" xfId="4" applyFont="1" applyFill="1" applyBorder="1" applyAlignment="1">
      <alignment horizontal="center" vertical="center" wrapText="1"/>
    </xf>
    <xf numFmtId="0" fontId="11" fillId="0" borderId="1" xfId="2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2" applyNumberFormat="1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left" vertical="center"/>
    </xf>
    <xf numFmtId="0" fontId="1" fillId="0" borderId="1" xfId="2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" fillId="2" borderId="1" xfId="12" applyFont="1" applyFill="1" applyBorder="1" applyAlignment="1">
      <alignment horizontal="center" vertical="center"/>
    </xf>
    <xf numFmtId="0" fontId="1" fillId="15" borderId="1" xfId="2" applyFont="1" applyFill="1" applyBorder="1" applyAlignment="1">
      <alignment horizontal="center" vertical="center"/>
    </xf>
    <xf numFmtId="0" fontId="1" fillId="3" borderId="1" xfId="2" applyFont="1" applyFill="1" applyBorder="1" applyAlignment="1">
      <alignment horizontal="center" vertical="center"/>
    </xf>
    <xf numFmtId="0" fontId="1" fillId="4" borderId="3" xfId="2" applyFont="1" applyFill="1" applyBorder="1" applyAlignment="1">
      <alignment vertical="center" wrapText="1"/>
    </xf>
    <xf numFmtId="0" fontId="1" fillId="4" borderId="3" xfId="2" applyFont="1" applyFill="1" applyBorder="1" applyAlignment="1">
      <alignment horizontal="center" vertical="center" wrapText="1"/>
    </xf>
    <xf numFmtId="0" fontId="1" fillId="4" borderId="10" xfId="2" applyFont="1" applyFill="1" applyBorder="1" applyAlignment="1">
      <alignment horizontal="center" vertical="center" wrapText="1"/>
    </xf>
    <xf numFmtId="0" fontId="1" fillId="7" borderId="0" xfId="2" applyFont="1" applyFill="1"/>
    <xf numFmtId="49" fontId="1" fillId="8" borderId="6" xfId="2" applyNumberFormat="1" applyFont="1" applyFill="1" applyBorder="1" applyAlignment="1">
      <alignment horizontal="right"/>
    </xf>
    <xf numFmtId="164" fontId="1" fillId="8" borderId="6" xfId="2" applyNumberFormat="1" applyFont="1" applyFill="1" applyBorder="1" applyAlignment="1">
      <alignment horizontal="center"/>
    </xf>
    <xf numFmtId="49" fontId="1" fillId="8" borderId="6" xfId="2" applyNumberFormat="1" applyFont="1" applyFill="1" applyBorder="1"/>
    <xf numFmtId="0" fontId="1" fillId="8" borderId="6" xfId="2" applyFont="1" applyFill="1" applyBorder="1"/>
    <xf numFmtId="0" fontId="1" fillId="9" borderId="6" xfId="2" applyFont="1" applyFill="1" applyBorder="1" applyAlignment="1">
      <alignment horizontal="center" wrapText="1"/>
    </xf>
    <xf numFmtId="164" fontId="1" fillId="9" borderId="6" xfId="2" applyNumberFormat="1" applyFont="1" applyFill="1" applyBorder="1" applyAlignment="1">
      <alignment horizontal="center"/>
    </xf>
    <xf numFmtId="49" fontId="1" fillId="9" borderId="6" xfId="2" applyNumberFormat="1" applyFont="1" applyFill="1" applyBorder="1" applyAlignment="1">
      <alignment horizontal="center"/>
    </xf>
    <xf numFmtId="0" fontId="1" fillId="9" borderId="6" xfId="2" applyFont="1" applyFill="1" applyBorder="1" applyAlignment="1">
      <alignment horizontal="center"/>
    </xf>
    <xf numFmtId="0" fontId="1" fillId="9" borderId="6" xfId="2" applyFont="1" applyFill="1" applyBorder="1"/>
    <xf numFmtId="0" fontId="1" fillId="10" borderId="6" xfId="2" applyFont="1" applyFill="1" applyBorder="1"/>
    <xf numFmtId="0" fontId="1" fillId="10" borderId="7" xfId="2" applyFont="1" applyFill="1" applyBorder="1"/>
    <xf numFmtId="0" fontId="1" fillId="0" borderId="0" xfId="2" applyFont="1"/>
    <xf numFmtId="0" fontId="1" fillId="14" borderId="0" xfId="2" applyFont="1" applyFill="1"/>
    <xf numFmtId="0" fontId="1" fillId="13" borderId="0" xfId="2" applyFont="1" applyFill="1"/>
    <xf numFmtId="0" fontId="1" fillId="3" borderId="0" xfId="2" applyFont="1" applyFill="1"/>
    <xf numFmtId="0" fontId="1" fillId="15" borderId="0" xfId="2" applyFont="1" applyFill="1"/>
    <xf numFmtId="0" fontId="15" fillId="0" borderId="1" xfId="2" applyFont="1" applyBorder="1" applyAlignment="1">
      <alignment horizontal="left"/>
    </xf>
    <xf numFmtId="0" fontId="9" fillId="4" borderId="15" xfId="2" applyFont="1" applyFill="1" applyBorder="1" applyAlignment="1" applyProtection="1">
      <alignment horizontal="center" vertical="center" wrapText="1"/>
      <protection locked="0"/>
    </xf>
    <xf numFmtId="49" fontId="9" fillId="4" borderId="12" xfId="2" applyNumberFormat="1" applyFont="1" applyFill="1" applyBorder="1" applyAlignment="1" applyProtection="1">
      <alignment horizontal="center" vertical="center" wrapText="1"/>
      <protection locked="0"/>
    </xf>
    <xf numFmtId="0" fontId="21" fillId="4" borderId="12" xfId="2" applyFont="1" applyFill="1" applyBorder="1" applyAlignment="1" applyProtection="1">
      <alignment horizontal="center" vertical="center" wrapText="1"/>
      <protection locked="0"/>
    </xf>
    <xf numFmtId="164" fontId="9" fillId="4" borderId="16" xfId="2" applyNumberFormat="1" applyFont="1" applyFill="1" applyBorder="1" applyAlignment="1" applyProtection="1">
      <alignment horizontal="center" vertical="center" wrapText="1"/>
      <protection locked="0"/>
    </xf>
    <xf numFmtId="0" fontId="9" fillId="7" borderId="5" xfId="2" applyFont="1" applyFill="1" applyBorder="1" applyAlignment="1">
      <alignment horizontal="center" vertical="center" wrapText="1"/>
    </xf>
    <xf numFmtId="49" fontId="9" fillId="8" borderId="9" xfId="2" applyNumberFormat="1" applyFont="1" applyFill="1" applyBorder="1" applyAlignment="1" applyProtection="1">
      <alignment horizontal="center" vertical="center" wrapText="1"/>
      <protection locked="0"/>
    </xf>
    <xf numFmtId="164" fontId="9" fillId="8" borderId="9" xfId="2" applyNumberFormat="1" applyFont="1" applyFill="1" applyBorder="1" applyAlignment="1" applyProtection="1">
      <alignment horizontal="center" vertical="center" wrapText="1"/>
      <protection locked="0"/>
    </xf>
    <xf numFmtId="0" fontId="9" fillId="9" borderId="13" xfId="2" applyFont="1" applyFill="1" applyBorder="1" applyAlignment="1" applyProtection="1">
      <alignment horizontal="center" vertical="center" wrapText="1"/>
      <protection locked="0"/>
    </xf>
    <xf numFmtId="164" fontId="9" fillId="9" borderId="9" xfId="2" applyNumberFormat="1" applyFont="1" applyFill="1" applyBorder="1" applyAlignment="1" applyProtection="1">
      <alignment horizontal="center" vertical="center" wrapText="1"/>
      <protection locked="0"/>
    </xf>
    <xf numFmtId="49" fontId="9" fillId="9" borderId="9" xfId="2" applyNumberFormat="1" applyFont="1" applyFill="1" applyBorder="1" applyAlignment="1" applyProtection="1">
      <alignment horizontal="center" vertical="center" wrapText="1"/>
      <protection locked="0"/>
    </xf>
    <xf numFmtId="0" fontId="9" fillId="9" borderId="9" xfId="2" applyFont="1" applyFill="1" applyBorder="1" applyAlignment="1" applyProtection="1">
      <alignment horizontal="center" vertical="center" wrapText="1"/>
      <protection locked="0"/>
    </xf>
    <xf numFmtId="0" fontId="9" fillId="10" borderId="13" xfId="2" applyFont="1" applyFill="1" applyBorder="1" applyAlignment="1" applyProtection="1">
      <alignment horizontal="center" vertical="center" wrapText="1"/>
      <protection locked="0"/>
    </xf>
    <xf numFmtId="0" fontId="9" fillId="10" borderId="9" xfId="2" applyFont="1" applyFill="1" applyBorder="1" applyAlignment="1" applyProtection="1">
      <alignment horizontal="center" vertical="center" wrapText="1"/>
      <protection locked="0"/>
    </xf>
    <xf numFmtId="0" fontId="17" fillId="0" borderId="1" xfId="2" applyFont="1" applyBorder="1" applyAlignment="1">
      <alignment horizontal="center" vertical="center" wrapText="1"/>
    </xf>
    <xf numFmtId="49" fontId="1" fillId="0" borderId="1" xfId="2" applyNumberFormat="1" applyFont="1" applyBorder="1" applyAlignment="1">
      <alignment horizontal="center" vertical="center"/>
    </xf>
    <xf numFmtId="164" fontId="1" fillId="0" borderId="1" xfId="2" applyNumberFormat="1" applyFont="1" applyBorder="1" applyAlignment="1">
      <alignment horizontal="center"/>
    </xf>
    <xf numFmtId="49" fontId="1" fillId="8" borderId="1" xfId="2" applyNumberFormat="1" applyFont="1" applyFill="1" applyBorder="1" applyAlignment="1">
      <alignment horizontal="right"/>
    </xf>
    <xf numFmtId="164" fontId="1" fillId="8" borderId="1" xfId="2" applyNumberFormat="1" applyFont="1" applyFill="1" applyBorder="1" applyAlignment="1">
      <alignment horizontal="center"/>
    </xf>
    <xf numFmtId="49" fontId="1" fillId="8" borderId="1" xfId="2" applyNumberFormat="1" applyFont="1" applyFill="1" applyBorder="1"/>
    <xf numFmtId="0" fontId="1" fillId="8" borderId="1" xfId="2" applyFont="1" applyFill="1" applyBorder="1"/>
    <xf numFmtId="0" fontId="1" fillId="9" borderId="1" xfId="2" applyFont="1" applyFill="1" applyBorder="1" applyAlignment="1">
      <alignment horizontal="center"/>
    </xf>
    <xf numFmtId="164" fontId="1" fillId="9" borderId="1" xfId="2" applyNumberFormat="1" applyFont="1" applyFill="1" applyBorder="1" applyAlignment="1">
      <alignment horizontal="center"/>
    </xf>
    <xf numFmtId="49" fontId="1" fillId="9" borderId="1" xfId="2" applyNumberFormat="1" applyFont="1" applyFill="1" applyBorder="1" applyAlignment="1">
      <alignment horizontal="center"/>
    </xf>
    <xf numFmtId="0" fontId="1" fillId="9" borderId="1" xfId="2" applyFont="1" applyFill="1" applyBorder="1"/>
    <xf numFmtId="0" fontId="1" fillId="10" borderId="1" xfId="2" applyFont="1" applyFill="1" applyBorder="1"/>
    <xf numFmtId="0" fontId="1" fillId="0" borderId="1" xfId="2" applyFont="1" applyBorder="1"/>
    <xf numFmtId="0" fontId="13" fillId="0" borderId="1" xfId="2" applyFont="1" applyBorder="1" applyAlignment="1">
      <alignment horizontal="left"/>
    </xf>
    <xf numFmtId="0" fontId="1" fillId="7" borderId="9" xfId="2" applyFont="1" applyFill="1" applyBorder="1"/>
    <xf numFmtId="49" fontId="20" fillId="8" borderId="9" xfId="2" applyNumberFormat="1" applyFont="1" applyFill="1" applyBorder="1" applyAlignment="1">
      <alignment horizontal="center" vertical="center" wrapText="1"/>
    </xf>
    <xf numFmtId="164" fontId="20" fillId="8" borderId="9" xfId="2" applyNumberFormat="1" applyFont="1" applyFill="1" applyBorder="1" applyAlignment="1">
      <alignment horizontal="center" vertical="center" wrapText="1"/>
    </xf>
    <xf numFmtId="49" fontId="9" fillId="8" borderId="9" xfId="2" applyNumberFormat="1" applyFont="1" applyFill="1" applyBorder="1" applyAlignment="1">
      <alignment vertical="center" wrapText="1"/>
    </xf>
    <xf numFmtId="0" fontId="9" fillId="8" borderId="9" xfId="2" applyFont="1" applyFill="1" applyBorder="1" applyAlignment="1">
      <alignment vertical="center" wrapText="1"/>
    </xf>
    <xf numFmtId="0" fontId="20" fillId="9" borderId="9" xfId="2" applyFont="1" applyFill="1" applyBorder="1" applyAlignment="1">
      <alignment vertical="center" wrapText="1"/>
    </xf>
    <xf numFmtId="164" fontId="20" fillId="9" borderId="9" xfId="2" applyNumberFormat="1" applyFont="1" applyFill="1" applyBorder="1" applyAlignment="1">
      <alignment vertical="center" wrapText="1"/>
    </xf>
    <xf numFmtId="49" fontId="9" fillId="9" borderId="9" xfId="2" applyNumberFormat="1" applyFont="1" applyFill="1" applyBorder="1" applyAlignment="1">
      <alignment horizontal="center" vertical="center" wrapText="1"/>
    </xf>
    <xf numFmtId="0" fontId="9" fillId="9" borderId="9" xfId="2" applyFont="1" applyFill="1" applyBorder="1" applyAlignment="1">
      <alignment horizontal="center" vertical="center" wrapText="1"/>
    </xf>
    <xf numFmtId="0" fontId="9" fillId="9" borderId="9" xfId="2" applyFont="1" applyFill="1" applyBorder="1" applyAlignment="1">
      <alignment vertical="center" wrapText="1"/>
    </xf>
    <xf numFmtId="0" fontId="20" fillId="10" borderId="9" xfId="2" applyFont="1" applyFill="1" applyBorder="1" applyAlignment="1">
      <alignment vertical="center" wrapText="1"/>
    </xf>
    <xf numFmtId="0" fontId="9" fillId="10" borderId="9" xfId="2" applyFont="1" applyFill="1" applyBorder="1" applyAlignment="1">
      <alignment vertical="center" wrapText="1"/>
    </xf>
    <xf numFmtId="0" fontId="9" fillId="10" borderId="11" xfId="2" applyFont="1" applyFill="1" applyBorder="1" applyAlignment="1">
      <alignment vertical="center" wrapText="1"/>
    </xf>
    <xf numFmtId="0" fontId="9" fillId="4" borderId="1" xfId="2" applyFont="1" applyFill="1" applyBorder="1" applyAlignment="1" applyProtection="1">
      <alignment horizontal="center" vertical="center" wrapText="1"/>
      <protection locked="0"/>
    </xf>
    <xf numFmtId="0" fontId="24" fillId="4" borderId="1" xfId="2" applyFont="1" applyFill="1" applyBorder="1" applyAlignment="1" applyProtection="1">
      <alignment horizontal="center" vertical="center" wrapText="1"/>
      <protection locked="0"/>
    </xf>
    <xf numFmtId="49" fontId="9" fillId="4" borderId="1" xfId="2" applyNumberFormat="1" applyFont="1" applyFill="1" applyBorder="1" applyAlignment="1" applyProtection="1">
      <alignment horizontal="center" vertical="center" wrapText="1"/>
      <protection locked="0"/>
    </xf>
    <xf numFmtId="0" fontId="21" fillId="4" borderId="1" xfId="2" applyFont="1" applyFill="1" applyBorder="1" applyAlignment="1" applyProtection="1">
      <alignment horizontal="center" vertical="center" wrapText="1"/>
      <protection locked="0"/>
    </xf>
    <xf numFmtId="164" fontId="9" fillId="4" borderId="1" xfId="2" applyNumberFormat="1" applyFont="1" applyFill="1" applyBorder="1" applyAlignment="1" applyProtection="1">
      <alignment horizontal="center" vertical="center" wrapText="1"/>
      <protection locked="0"/>
    </xf>
    <xf numFmtId="0" fontId="9" fillId="7" borderId="1" xfId="2" applyFont="1" applyFill="1" applyBorder="1" applyAlignment="1">
      <alignment horizontal="center" vertical="center" wrapText="1"/>
    </xf>
    <xf numFmtId="49" fontId="9" fillId="8" borderId="1" xfId="2" applyNumberFormat="1" applyFont="1" applyFill="1" applyBorder="1" applyAlignment="1" applyProtection="1">
      <alignment horizontal="center" vertical="center" wrapText="1"/>
      <protection locked="0"/>
    </xf>
    <xf numFmtId="164" fontId="9" fillId="8" borderId="1" xfId="2" applyNumberFormat="1" applyFont="1" applyFill="1" applyBorder="1" applyAlignment="1" applyProtection="1">
      <alignment horizontal="center" vertical="center" wrapText="1"/>
      <protection locked="0"/>
    </xf>
    <xf numFmtId="0" fontId="9" fillId="8" borderId="1" xfId="2" applyFont="1" applyFill="1" applyBorder="1" applyAlignment="1" applyProtection="1">
      <alignment horizontal="center" vertical="center" wrapText="1"/>
      <protection locked="0"/>
    </xf>
    <xf numFmtId="0" fontId="9" fillId="9" borderId="1" xfId="2" applyFont="1" applyFill="1" applyBorder="1" applyAlignment="1" applyProtection="1">
      <alignment horizontal="center" vertical="center" wrapText="1"/>
      <protection locked="0"/>
    </xf>
    <xf numFmtId="164" fontId="9" fillId="9" borderId="1" xfId="2" applyNumberFormat="1" applyFont="1" applyFill="1" applyBorder="1" applyAlignment="1" applyProtection="1">
      <alignment horizontal="center" vertical="center" wrapText="1"/>
      <protection locked="0"/>
    </xf>
    <xf numFmtId="49" fontId="9" fillId="9" borderId="1" xfId="2" applyNumberFormat="1" applyFont="1" applyFill="1" applyBorder="1" applyAlignment="1" applyProtection="1">
      <alignment horizontal="center" vertical="center" wrapText="1"/>
      <protection locked="0"/>
    </xf>
    <xf numFmtId="0" fontId="9" fillId="10" borderId="1" xfId="2" applyFont="1" applyFill="1" applyBorder="1" applyAlignment="1" applyProtection="1">
      <alignment horizontal="center" vertical="center" wrapText="1"/>
      <protection locked="0"/>
    </xf>
    <xf numFmtId="0" fontId="9" fillId="10" borderId="2" xfId="2" applyFont="1" applyFill="1" applyBorder="1" applyAlignment="1" applyProtection="1">
      <alignment horizontal="center" vertical="center" wrapText="1"/>
      <protection locked="0"/>
    </xf>
    <xf numFmtId="0" fontId="1" fillId="10" borderId="2" xfId="2" applyFont="1" applyFill="1" applyBorder="1"/>
    <xf numFmtId="0" fontId="9" fillId="0" borderId="0" xfId="2" applyFont="1" applyAlignment="1" applyProtection="1">
      <alignment horizontal="center"/>
      <protection locked="0"/>
    </xf>
    <xf numFmtId="0" fontId="9" fillId="10" borderId="1" xfId="2" applyFont="1" applyFill="1" applyBorder="1" applyAlignment="1">
      <alignment vertical="center" wrapText="1"/>
    </xf>
    <xf numFmtId="0" fontId="13" fillId="3" borderId="1" xfId="2" applyFont="1" applyFill="1" applyBorder="1" applyAlignment="1">
      <alignment horizontal="center" vertical="center"/>
    </xf>
    <xf numFmtId="0" fontId="1" fillId="6" borderId="1" xfId="2" applyFont="1" applyFill="1" applyBorder="1"/>
    <xf numFmtId="0" fontId="0" fillId="16" borderId="0" xfId="0" applyFill="1"/>
    <xf numFmtId="0" fontId="1" fillId="16" borderId="1" xfId="2" applyFont="1" applyFill="1" applyBorder="1" applyAlignment="1">
      <alignment horizontal="center" vertical="center"/>
    </xf>
    <xf numFmtId="0" fontId="1" fillId="17" borderId="0" xfId="2" applyFont="1" applyFill="1"/>
    <xf numFmtId="0" fontId="1" fillId="17" borderId="1" xfId="2" applyFont="1" applyFill="1" applyBorder="1" applyAlignment="1">
      <alignment horizontal="center" vertical="center"/>
    </xf>
    <xf numFmtId="0" fontId="1" fillId="7" borderId="6" xfId="2" applyFont="1" applyFill="1" applyBorder="1" applyAlignment="1">
      <alignment horizontal="left"/>
    </xf>
    <xf numFmtId="0" fontId="1" fillId="2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left"/>
    </xf>
    <xf numFmtId="0" fontId="23" fillId="4" borderId="12" xfId="2" applyFont="1" applyFill="1" applyBorder="1" applyAlignment="1" applyProtection="1">
      <alignment horizontal="center" vertical="center" wrapText="1"/>
      <protection locked="0"/>
    </xf>
    <xf numFmtId="49" fontId="9" fillId="8" borderId="9" xfId="2" applyNumberFormat="1" applyFont="1" applyFill="1" applyBorder="1" applyAlignment="1" applyProtection="1">
      <alignment vertical="center" wrapText="1"/>
      <protection locked="0"/>
    </xf>
    <xf numFmtId="0" fontId="9" fillId="8" borderId="9" xfId="2" applyFont="1" applyFill="1" applyBorder="1" applyAlignment="1" applyProtection="1">
      <alignment vertical="center" wrapText="1"/>
      <protection locked="0"/>
    </xf>
    <xf numFmtId="0" fontId="9" fillId="9" borderId="9" xfId="2" applyFont="1" applyFill="1" applyBorder="1" applyAlignment="1" applyProtection="1">
      <alignment vertical="center" wrapText="1"/>
      <protection locked="0"/>
    </xf>
    <xf numFmtId="0" fontId="9" fillId="10" borderId="9" xfId="2" applyFont="1" applyFill="1" applyBorder="1" applyAlignment="1" applyProtection="1">
      <alignment vertical="center" wrapText="1"/>
      <protection locked="0"/>
    </xf>
    <xf numFmtId="0" fontId="9" fillId="10" borderId="11" xfId="2" applyFont="1" applyFill="1" applyBorder="1" applyAlignment="1" applyProtection="1">
      <alignment vertical="center" wrapText="1"/>
      <protection locked="0"/>
    </xf>
    <xf numFmtId="0" fontId="1" fillId="0" borderId="1" xfId="2" applyFont="1" applyBorder="1" applyAlignment="1">
      <alignment horizontal="center"/>
    </xf>
    <xf numFmtId="0" fontId="1" fillId="0" borderId="0" xfId="2" applyFont="1" applyAlignment="1">
      <alignment horizontal="center" vertical="center"/>
    </xf>
    <xf numFmtId="0" fontId="1" fillId="0" borderId="0" xfId="2" applyFont="1" applyAlignment="1">
      <alignment horizontal="center"/>
    </xf>
    <xf numFmtId="49" fontId="1" fillId="0" borderId="0" xfId="2" applyNumberFormat="1" applyFont="1" applyAlignment="1">
      <alignment horizontal="center" vertical="center"/>
    </xf>
    <xf numFmtId="0" fontId="1" fillId="0" borderId="0" xfId="2" applyFont="1" applyAlignment="1">
      <alignment horizontal="left"/>
    </xf>
    <xf numFmtId="164" fontId="1" fillId="0" borderId="0" xfId="2" applyNumberFormat="1" applyFont="1" applyAlignment="1">
      <alignment horizontal="center"/>
    </xf>
    <xf numFmtId="0" fontId="1" fillId="6" borderId="0" xfId="2" applyFont="1" applyFill="1"/>
    <xf numFmtId="49" fontId="1" fillId="8" borderId="0" xfId="2" applyNumberFormat="1" applyFont="1" applyFill="1" applyAlignment="1">
      <alignment horizontal="right"/>
    </xf>
    <xf numFmtId="164" fontId="1" fillId="8" borderId="0" xfId="2" applyNumberFormat="1" applyFont="1" applyFill="1" applyAlignment="1">
      <alignment horizontal="center"/>
    </xf>
    <xf numFmtId="49" fontId="1" fillId="8" borderId="0" xfId="2" applyNumberFormat="1" applyFont="1" applyFill="1"/>
    <xf numFmtId="0" fontId="1" fillId="8" borderId="0" xfId="2" applyFont="1" applyFill="1"/>
    <xf numFmtId="0" fontId="1" fillId="9" borderId="0" xfId="2" applyFont="1" applyFill="1" applyAlignment="1">
      <alignment horizontal="center"/>
    </xf>
    <xf numFmtId="164" fontId="1" fillId="9" borderId="0" xfId="2" applyNumberFormat="1" applyFont="1" applyFill="1" applyAlignment="1">
      <alignment horizontal="center"/>
    </xf>
    <xf numFmtId="49" fontId="1" fillId="9" borderId="0" xfId="2" applyNumberFormat="1" applyFont="1" applyFill="1" applyAlignment="1">
      <alignment horizontal="center"/>
    </xf>
    <xf numFmtId="0" fontId="1" fillId="9" borderId="0" xfId="2" applyFont="1" applyFill="1"/>
    <xf numFmtId="0" fontId="1" fillId="10" borderId="0" xfId="2" applyFont="1" applyFill="1"/>
    <xf numFmtId="1" fontId="1" fillId="2" borderId="1" xfId="2" applyNumberFormat="1" applyFont="1" applyFill="1" applyBorder="1" applyAlignment="1">
      <alignment horizontal="center" vertical="center"/>
    </xf>
    <xf numFmtId="49" fontId="1" fillId="2" borderId="1" xfId="12" applyNumberFormat="1" applyFont="1" applyFill="1" applyBorder="1" applyAlignment="1">
      <alignment horizontal="center" vertical="center"/>
    </xf>
    <xf numFmtId="0" fontId="1" fillId="2" borderId="1" xfId="12" applyFont="1" applyFill="1" applyBorder="1" applyAlignment="1">
      <alignment horizontal="left" vertical="center"/>
    </xf>
    <xf numFmtId="0" fontId="9" fillId="4" borderId="15" xfId="2" applyFont="1" applyFill="1" applyBorder="1" applyAlignment="1" applyProtection="1">
      <alignment horizontal="left" vertical="center" wrapText="1"/>
      <protection locked="0"/>
    </xf>
    <xf numFmtId="0" fontId="24" fillId="4" borderId="12" xfId="2" applyFont="1" applyFill="1" applyBorder="1" applyAlignment="1" applyProtection="1">
      <alignment horizontal="center" vertical="center" wrapText="1"/>
      <protection locked="0"/>
    </xf>
    <xf numFmtId="164" fontId="17" fillId="8" borderId="9" xfId="2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" fillId="0" borderId="1" xfId="12" applyFont="1" applyBorder="1" applyAlignment="1">
      <alignment horizontal="left" vertical="center"/>
    </xf>
    <xf numFmtId="164" fontId="13" fillId="8" borderId="0" xfId="2" applyNumberFormat="1" applyFont="1" applyFill="1" applyAlignment="1">
      <alignment horizontal="center"/>
    </xf>
    <xf numFmtId="164" fontId="27" fillId="0" borderId="0" xfId="2" applyNumberFormat="1" applyFont="1" applyAlignment="1">
      <alignment horizontal="center"/>
    </xf>
    <xf numFmtId="0" fontId="27" fillId="6" borderId="0" xfId="2" applyFont="1" applyFill="1"/>
    <xf numFmtId="49" fontId="27" fillId="8" borderId="0" xfId="2" applyNumberFormat="1" applyFont="1" applyFill="1" applyAlignment="1">
      <alignment horizontal="right"/>
    </xf>
    <xf numFmtId="49" fontId="27" fillId="8" borderId="0" xfId="2" applyNumberFormat="1" applyFont="1" applyFill="1"/>
    <xf numFmtId="0" fontId="27" fillId="8" borderId="0" xfId="2" applyFont="1" applyFill="1"/>
    <xf numFmtId="0" fontId="27" fillId="9" borderId="0" xfId="2" applyFont="1" applyFill="1" applyAlignment="1">
      <alignment horizontal="center"/>
    </xf>
    <xf numFmtId="164" fontId="27" fillId="9" borderId="0" xfId="2" applyNumberFormat="1" applyFont="1" applyFill="1" applyAlignment="1">
      <alignment horizontal="center"/>
    </xf>
    <xf numFmtId="49" fontId="27" fillId="9" borderId="0" xfId="2" applyNumberFormat="1" applyFont="1" applyFill="1" applyAlignment="1">
      <alignment horizontal="center"/>
    </xf>
    <xf numFmtId="0" fontId="27" fillId="9" borderId="0" xfId="2" applyFont="1" applyFill="1"/>
    <xf numFmtId="0" fontId="27" fillId="10" borderId="0" xfId="2" applyFont="1" applyFill="1"/>
    <xf numFmtId="0" fontId="27" fillId="0" borderId="0" xfId="2" applyFont="1" applyAlignment="1">
      <alignment horizontal="center"/>
    </xf>
    <xf numFmtId="0" fontId="27" fillId="0" borderId="0" xfId="2" applyFont="1" applyAlignment="1">
      <alignment horizontal="left" vertical="center"/>
    </xf>
    <xf numFmtId="0" fontId="29" fillId="0" borderId="0" xfId="2" applyFont="1"/>
    <xf numFmtId="0" fontId="27" fillId="0" borderId="0" xfId="2" applyFont="1" applyAlignment="1">
      <alignment horizontal="left"/>
    </xf>
    <xf numFmtId="0" fontId="30" fillId="0" borderId="0" xfId="2" applyFont="1" applyAlignment="1">
      <alignment wrapText="1"/>
    </xf>
    <xf numFmtId="0" fontId="27" fillId="0" borderId="0" xfId="2" applyFont="1" applyAlignment="1">
      <alignment horizontal="center" vertical="center"/>
    </xf>
    <xf numFmtId="49" fontId="27" fillId="0" borderId="0" xfId="2" applyNumberFormat="1" applyFont="1" applyAlignment="1">
      <alignment horizontal="center" vertical="center"/>
    </xf>
    <xf numFmtId="0" fontId="28" fillId="0" borderId="0" xfId="2" applyFont="1" applyAlignment="1">
      <alignment horizontal="center"/>
    </xf>
    <xf numFmtId="0" fontId="0" fillId="0" borderId="0" xfId="0" applyAlignment="1">
      <alignment wrapText="1"/>
    </xf>
    <xf numFmtId="0" fontId="1" fillId="14" borderId="1" xfId="2" applyFont="1" applyFill="1" applyBorder="1" applyAlignment="1">
      <alignment horizontal="center" vertical="center"/>
    </xf>
    <xf numFmtId="0" fontId="1" fillId="13" borderId="1" xfId="2" applyFont="1" applyFill="1" applyBorder="1" applyAlignment="1">
      <alignment horizontal="center" vertical="center"/>
    </xf>
    <xf numFmtId="0" fontId="1" fillId="13" borderId="1" xfId="2" applyFont="1" applyFill="1" applyBorder="1"/>
    <xf numFmtId="0" fontId="1" fillId="14" borderId="1" xfId="2" applyFont="1" applyFill="1" applyBorder="1" applyAlignment="1">
      <alignment horizontal="left"/>
    </xf>
    <xf numFmtId="0" fontId="1" fillId="14" borderId="1" xfId="2" applyFont="1" applyFill="1" applyBorder="1"/>
  </cellXfs>
  <cellStyles count="13">
    <cellStyle name="Navadno 2" xfId="6" xr:uid="{B632FDA1-4D42-4C72-BC28-8F9778D1125E}"/>
    <cellStyle name="Neutral" xfId="4" builtinId="28"/>
    <cellStyle name="Nevtralno 2" xfId="10" xr:uid="{E48E434D-E7FB-40C9-A7E3-C3B5E9C24E0B}"/>
    <cellStyle name="Normal" xfId="0" builtinId="0"/>
    <cellStyle name="Normal 2" xfId="1" xr:uid="{3A1EFE0D-9684-4D29-A690-F6AA3F7E4A5F}"/>
    <cellStyle name="Normal 2 2" xfId="7" xr:uid="{2174174B-C322-44ED-902D-F0C3CFBA9A34}"/>
    <cellStyle name="Normal 3" xfId="2" xr:uid="{E1C120F1-ED73-4D36-8CFE-D2661FF418FE}"/>
    <cellStyle name="Normal 3 2" xfId="8" xr:uid="{C1750727-87E5-4B1F-BAEE-224C7047ADF0}"/>
    <cellStyle name="Normal 3 2 2" xfId="12" xr:uid="{3F2252BB-8475-4FA4-9636-A801698E8DC7}"/>
    <cellStyle name="Normal 3 3" xfId="11" xr:uid="{D391533A-3D2C-4A4E-9934-4B9A749EA152}"/>
    <cellStyle name="Normal 4" xfId="5" xr:uid="{84E643ED-E780-45CD-969D-4E09A7551E91}"/>
    <cellStyle name="Standard 3" xfId="3" xr:uid="{ECEC0AB3-DD20-4061-904B-0AEFBEBD6513}"/>
    <cellStyle name="Vnos 2" xfId="9" xr:uid="{1C86E8FB-27BF-4772-9D87-993FF2185675}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CF5C-C20E-4236-A01D-406BB13F0871}">
  <dimension ref="A2:B11"/>
  <sheetViews>
    <sheetView workbookViewId="0">
      <selection activeCell="B9" sqref="B9"/>
    </sheetView>
  </sheetViews>
  <sheetFormatPr defaultRowHeight="15" x14ac:dyDescent="0.25"/>
  <cols>
    <col min="2" max="2" width="89.42578125" style="261" customWidth="1"/>
  </cols>
  <sheetData>
    <row r="2" spans="1:2" x14ac:dyDescent="0.25">
      <c r="A2">
        <v>1</v>
      </c>
      <c r="B2" s="261" t="s">
        <v>555</v>
      </c>
    </row>
    <row r="3" spans="1:2" ht="75" x14ac:dyDescent="0.25">
      <c r="A3">
        <v>2</v>
      </c>
      <c r="B3" s="261" t="s">
        <v>556</v>
      </c>
    </row>
    <row r="4" spans="1:2" ht="30" x14ac:dyDescent="0.25">
      <c r="A4">
        <v>3</v>
      </c>
      <c r="B4" s="261" t="s">
        <v>557</v>
      </c>
    </row>
    <row r="5" spans="1:2" ht="30" x14ac:dyDescent="0.25">
      <c r="A5">
        <v>4</v>
      </c>
      <c r="B5" s="261" t="s">
        <v>748</v>
      </c>
    </row>
    <row r="6" spans="1:2" x14ac:dyDescent="0.25">
      <c r="A6">
        <v>5</v>
      </c>
      <c r="B6" s="261" t="s">
        <v>745</v>
      </c>
    </row>
    <row r="7" spans="1:2" x14ac:dyDescent="0.25">
      <c r="A7">
        <v>6</v>
      </c>
      <c r="B7" s="261" t="s">
        <v>746</v>
      </c>
    </row>
    <row r="8" spans="1:2" ht="30" x14ac:dyDescent="0.25">
      <c r="A8">
        <v>7</v>
      </c>
      <c r="B8" s="261" t="s">
        <v>752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9057-A74F-4062-9331-8656DBDCD04B}">
  <sheetPr>
    <tabColor theme="0"/>
    <pageSetUpPr autoPageBreaks="0"/>
  </sheetPr>
  <dimension ref="A1:AL39"/>
  <sheetViews>
    <sheetView tabSelected="1" topLeftCell="R3" zoomScale="70" zoomScaleNormal="70" workbookViewId="0">
      <selection activeCell="U35" sqref="U35"/>
    </sheetView>
  </sheetViews>
  <sheetFormatPr defaultRowHeight="15" x14ac:dyDescent="0.25"/>
  <cols>
    <col min="3" max="3" width="10.140625" bestFit="1" customWidth="1"/>
    <col min="5" max="5" width="26.5703125" customWidth="1"/>
    <col min="6" max="6" width="18.42578125" hidden="1" customWidth="1"/>
    <col min="7" max="7" width="12" hidden="1" customWidth="1"/>
    <col min="8" max="8" width="15" hidden="1" customWidth="1"/>
    <col min="9" max="9" width="12" hidden="1" customWidth="1"/>
    <col min="10" max="10" width="12.42578125" hidden="1" customWidth="1"/>
    <col min="11" max="11" width="11.5703125" hidden="1" customWidth="1"/>
    <col min="12" max="12" width="12.42578125" hidden="1" customWidth="1"/>
    <col min="13" max="13" width="12.5703125" hidden="1" customWidth="1"/>
    <col min="14" max="14" width="13.42578125" hidden="1" customWidth="1"/>
    <col min="15" max="15" width="11.42578125" hidden="1" customWidth="1"/>
    <col min="16" max="16" width="12.5703125" hidden="1" customWidth="1"/>
    <col min="17" max="17" width="27.42578125" hidden="1" customWidth="1"/>
    <col min="18" max="18" width="34.42578125" customWidth="1"/>
    <col min="19" max="19" width="57.7109375" customWidth="1"/>
    <col min="20" max="20" width="55.85546875" bestFit="1" customWidth="1"/>
    <col min="21" max="21" width="75.5703125" customWidth="1"/>
    <col min="22" max="22" width="14" customWidth="1"/>
    <col min="23" max="23" width="131.28515625" bestFit="1" customWidth="1"/>
    <col min="24" max="24" width="13.42578125" customWidth="1"/>
    <col min="25" max="25" width="14.42578125" customWidth="1"/>
    <col min="26" max="26" width="10.42578125" customWidth="1"/>
    <col min="27" max="27" width="13.5703125" customWidth="1"/>
    <col min="28" max="28" width="45.42578125" customWidth="1"/>
    <col min="29" max="29" width="18.5703125" customWidth="1"/>
    <col min="30" max="30" width="14.42578125" customWidth="1"/>
    <col min="31" max="31" width="10.42578125" customWidth="1"/>
    <col min="32" max="32" width="13.5703125" customWidth="1"/>
    <col min="33" max="33" width="45.42578125" customWidth="1"/>
    <col min="34" max="34" width="19.5703125" customWidth="1"/>
    <col min="35" max="35" width="14.42578125" customWidth="1"/>
    <col min="36" max="36" width="10.42578125" customWidth="1"/>
    <col min="37" max="37" width="13.5703125" customWidth="1"/>
    <col min="38" max="38" width="45.42578125" customWidth="1"/>
  </cols>
  <sheetData>
    <row r="1" spans="1:38" s="139" customFormat="1" ht="29.25" thickBot="1" x14ac:dyDescent="0.25">
      <c r="A1" s="15"/>
      <c r="B1" s="15"/>
      <c r="C1" s="15"/>
      <c r="D1" s="15"/>
      <c r="E1" s="34"/>
      <c r="F1" s="21" t="s">
        <v>0</v>
      </c>
      <c r="G1" s="12"/>
      <c r="H1" s="15"/>
      <c r="I1" s="15"/>
      <c r="J1" s="15"/>
      <c r="K1" s="5"/>
      <c r="L1" s="124"/>
      <c r="M1" s="125"/>
      <c r="N1" s="15"/>
      <c r="O1" s="5"/>
      <c r="P1" s="15"/>
      <c r="Q1" s="15"/>
      <c r="R1" s="5"/>
      <c r="S1" s="5"/>
      <c r="T1" s="34"/>
      <c r="U1" s="34"/>
      <c r="V1" s="29"/>
      <c r="W1" s="127"/>
      <c r="X1" s="128" t="s">
        <v>1</v>
      </c>
      <c r="Y1" s="129"/>
      <c r="Z1" s="130"/>
      <c r="AA1" s="131"/>
      <c r="AB1" s="131"/>
      <c r="AC1" s="132" t="s">
        <v>2</v>
      </c>
      <c r="AD1" s="133"/>
      <c r="AE1" s="134"/>
      <c r="AF1" s="135"/>
      <c r="AG1" s="136"/>
      <c r="AH1" s="137" t="s">
        <v>3</v>
      </c>
      <c r="AI1" s="137"/>
      <c r="AJ1" s="137"/>
      <c r="AK1" s="138"/>
      <c r="AL1" s="169"/>
    </row>
    <row r="2" spans="1:38" s="139" customFormat="1" ht="45" x14ac:dyDescent="0.2">
      <c r="A2" s="63"/>
      <c r="B2" s="63"/>
      <c r="C2" s="63"/>
      <c r="D2" s="63"/>
      <c r="E2" s="63" t="s">
        <v>4</v>
      </c>
      <c r="F2" s="14"/>
      <c r="G2" s="13"/>
      <c r="H2" s="2"/>
      <c r="I2" s="2"/>
      <c r="J2" s="2"/>
      <c r="K2" s="2"/>
      <c r="L2" s="126"/>
      <c r="M2" s="126"/>
      <c r="N2" s="2"/>
      <c r="O2" s="2"/>
      <c r="P2" s="2"/>
      <c r="Q2" s="2"/>
      <c r="R2" s="2"/>
      <c r="S2" s="2"/>
      <c r="T2" s="61"/>
      <c r="U2" s="61"/>
      <c r="V2" s="31"/>
      <c r="W2" s="172"/>
      <c r="X2" s="173" t="s">
        <v>5</v>
      </c>
      <c r="Y2" s="174"/>
      <c r="Z2" s="175" t="s">
        <v>6</v>
      </c>
      <c r="AA2" s="176"/>
      <c r="AB2" s="176"/>
      <c r="AC2" s="177" t="s">
        <v>5</v>
      </c>
      <c r="AD2" s="178"/>
      <c r="AE2" s="179" t="s">
        <v>6</v>
      </c>
      <c r="AF2" s="180"/>
      <c r="AG2" s="181"/>
      <c r="AH2" s="182" t="s">
        <v>5</v>
      </c>
      <c r="AI2" s="182"/>
      <c r="AJ2" s="183" t="s">
        <v>6</v>
      </c>
      <c r="AK2" s="184"/>
      <c r="AL2" s="201"/>
    </row>
    <row r="3" spans="1:38" s="200" customFormat="1" ht="75" x14ac:dyDescent="0.25">
      <c r="A3" s="185" t="s">
        <v>7</v>
      </c>
      <c r="B3" s="185" t="s">
        <v>8</v>
      </c>
      <c r="C3" s="185" t="s">
        <v>9</v>
      </c>
      <c r="D3" s="185" t="s">
        <v>10</v>
      </c>
      <c r="E3" s="185" t="s">
        <v>11</v>
      </c>
      <c r="F3" s="186" t="s">
        <v>12</v>
      </c>
      <c r="G3" s="185" t="s">
        <v>13</v>
      </c>
      <c r="H3" s="185" t="s">
        <v>14</v>
      </c>
      <c r="I3" s="185" t="s">
        <v>15</v>
      </c>
      <c r="J3" s="185" t="s">
        <v>16</v>
      </c>
      <c r="K3" s="185" t="s">
        <v>17</v>
      </c>
      <c r="L3" s="185" t="s">
        <v>18</v>
      </c>
      <c r="M3" s="185" t="s">
        <v>19</v>
      </c>
      <c r="N3" s="187" t="s">
        <v>20</v>
      </c>
      <c r="O3" s="185" t="s">
        <v>21</v>
      </c>
      <c r="P3" s="188" t="s">
        <v>22</v>
      </c>
      <c r="Q3" s="188" t="s">
        <v>23</v>
      </c>
      <c r="R3" s="185" t="s">
        <v>24</v>
      </c>
      <c r="S3" s="185" t="s">
        <v>466</v>
      </c>
      <c r="T3" s="185" t="s">
        <v>26</v>
      </c>
      <c r="U3" s="185" t="s">
        <v>799</v>
      </c>
      <c r="V3" s="189" t="s">
        <v>27</v>
      </c>
      <c r="W3" s="190" t="s">
        <v>28</v>
      </c>
      <c r="X3" s="191" t="s">
        <v>29</v>
      </c>
      <c r="Y3" s="192" t="s">
        <v>30</v>
      </c>
      <c r="Z3" s="191" t="s">
        <v>31</v>
      </c>
      <c r="AA3" s="193" t="s">
        <v>30</v>
      </c>
      <c r="AB3" s="193" t="s">
        <v>32</v>
      </c>
      <c r="AC3" s="194" t="s">
        <v>29</v>
      </c>
      <c r="AD3" s="195" t="s">
        <v>30</v>
      </c>
      <c r="AE3" s="196" t="s">
        <v>31</v>
      </c>
      <c r="AF3" s="194" t="s">
        <v>30</v>
      </c>
      <c r="AG3" s="194" t="s">
        <v>32</v>
      </c>
      <c r="AH3" s="197" t="s">
        <v>29</v>
      </c>
      <c r="AI3" s="197" t="s">
        <v>30</v>
      </c>
      <c r="AJ3" s="197" t="s">
        <v>31</v>
      </c>
      <c r="AK3" s="198" t="s">
        <v>30</v>
      </c>
      <c r="AL3" s="197" t="s">
        <v>32</v>
      </c>
    </row>
    <row r="4" spans="1:38" s="139" customFormat="1" ht="24.75" customHeight="1" x14ac:dyDescent="0.2">
      <c r="A4" s="108" t="s">
        <v>255</v>
      </c>
      <c r="B4" s="108" t="s">
        <v>258</v>
      </c>
      <c r="C4" s="108" t="s">
        <v>513</v>
      </c>
      <c r="D4" s="202"/>
      <c r="E4" s="73" t="s">
        <v>520</v>
      </c>
      <c r="F4" s="26"/>
      <c r="G4" s="53"/>
      <c r="H4" s="108" t="s">
        <v>113</v>
      </c>
      <c r="I4" s="4" t="s">
        <v>34</v>
      </c>
      <c r="J4" s="158" t="s">
        <v>35</v>
      </c>
      <c r="K4" s="56">
        <v>2</v>
      </c>
      <c r="L4" s="4" t="s">
        <v>282</v>
      </c>
      <c r="M4" s="56" t="s">
        <v>62</v>
      </c>
      <c r="N4" s="159" t="s">
        <v>42</v>
      </c>
      <c r="O4" s="19" t="s">
        <v>39</v>
      </c>
      <c r="P4" s="79" t="s">
        <v>63</v>
      </c>
      <c r="Q4" s="28"/>
      <c r="R4" s="56" t="str">
        <f>_xlfn.CONCAT(I4,"-",J4,"-",K4,"-",L4,"-",M4,"-",N4,"-",O4,"-",P4)</f>
        <v>PER-E-2-U1-FLD-001-00-VHHR</v>
      </c>
      <c r="S4" s="111" t="s">
        <v>543</v>
      </c>
      <c r="T4" s="111" t="s">
        <v>64</v>
      </c>
      <c r="U4" s="111"/>
      <c r="V4" s="160"/>
      <c r="W4" s="111" t="s">
        <v>750</v>
      </c>
      <c r="X4" s="161"/>
      <c r="Y4" s="162"/>
      <c r="Z4" s="163"/>
      <c r="AA4" s="164"/>
      <c r="AB4" s="164"/>
      <c r="AC4" s="165"/>
      <c r="AD4" s="166"/>
      <c r="AE4" s="167"/>
      <c r="AF4" s="165"/>
      <c r="AG4" s="168"/>
      <c r="AH4" s="169"/>
      <c r="AI4" s="169"/>
      <c r="AJ4" s="169"/>
      <c r="AK4" s="199"/>
      <c r="AL4" s="169"/>
    </row>
    <row r="5" spans="1:38" s="139" customFormat="1" ht="24.75" customHeight="1" x14ac:dyDescent="0.2">
      <c r="A5" s="108" t="s">
        <v>255</v>
      </c>
      <c r="B5" s="108" t="s">
        <v>258</v>
      </c>
      <c r="C5" s="108" t="s">
        <v>513</v>
      </c>
      <c r="D5" s="202" t="s">
        <v>800</v>
      </c>
      <c r="E5" s="73" t="s">
        <v>521</v>
      </c>
      <c r="F5" s="26"/>
      <c r="G5" s="53"/>
      <c r="H5" s="108" t="s">
        <v>113</v>
      </c>
      <c r="I5" s="4" t="s">
        <v>34</v>
      </c>
      <c r="J5" s="158" t="s">
        <v>35</v>
      </c>
      <c r="K5" s="56">
        <v>2</v>
      </c>
      <c r="L5" s="4" t="s">
        <v>282</v>
      </c>
      <c r="M5" s="56" t="s">
        <v>50</v>
      </c>
      <c r="N5" s="159" t="s">
        <v>42</v>
      </c>
      <c r="O5" s="19" t="s">
        <v>39</v>
      </c>
      <c r="P5" s="79" t="s">
        <v>63</v>
      </c>
      <c r="Q5" s="28"/>
      <c r="R5" s="56" t="str">
        <f t="shared" ref="R5:R26" si="0">_xlfn.CONCAT(I5,"-",J5,"-",K5,"-",L5,"-",M5,"-",N5,"-",O5,"-",P5)</f>
        <v>PER-E-2-U1-SCH-001-00-VHHR</v>
      </c>
      <c r="S5" s="111" t="s">
        <v>544</v>
      </c>
      <c r="T5" s="111" t="s">
        <v>66</v>
      </c>
      <c r="U5" s="111" t="s">
        <v>801</v>
      </c>
      <c r="V5" s="160"/>
      <c r="W5" s="111" t="s">
        <v>750</v>
      </c>
      <c r="X5" s="161"/>
      <c r="Y5" s="162"/>
      <c r="Z5" s="163"/>
      <c r="AA5" s="164"/>
      <c r="AB5" s="164"/>
      <c r="AC5" s="165"/>
      <c r="AD5" s="166"/>
      <c r="AE5" s="167"/>
      <c r="AF5" s="165"/>
      <c r="AG5" s="168"/>
      <c r="AH5" s="169"/>
      <c r="AI5" s="169"/>
      <c r="AJ5" s="169"/>
      <c r="AK5" s="199"/>
      <c r="AL5" s="169"/>
    </row>
    <row r="6" spans="1:38" s="139" customFormat="1" ht="24.75" customHeight="1" x14ac:dyDescent="0.2">
      <c r="A6" s="108" t="s">
        <v>255</v>
      </c>
      <c r="B6" s="108" t="s">
        <v>258</v>
      </c>
      <c r="C6" s="108" t="s">
        <v>514</v>
      </c>
      <c r="D6" s="123"/>
      <c r="E6" s="73" t="s">
        <v>522</v>
      </c>
      <c r="F6" s="26"/>
      <c r="G6" s="53"/>
      <c r="H6" s="108" t="s">
        <v>113</v>
      </c>
      <c r="I6" s="4" t="s">
        <v>34</v>
      </c>
      <c r="J6" s="158" t="s">
        <v>35</v>
      </c>
      <c r="K6" s="56">
        <v>2</v>
      </c>
      <c r="L6" s="4" t="s">
        <v>282</v>
      </c>
      <c r="M6" s="56" t="s">
        <v>68</v>
      </c>
      <c r="N6" s="159" t="s">
        <v>42</v>
      </c>
      <c r="O6" s="19" t="s">
        <v>39</v>
      </c>
      <c r="P6" s="79" t="s">
        <v>63</v>
      </c>
      <c r="Q6" s="28"/>
      <c r="R6" s="56" t="str">
        <f t="shared" si="0"/>
        <v>PER-E-2-U1-ASB-001-00-VHHR</v>
      </c>
      <c r="S6" s="144" t="s">
        <v>545</v>
      </c>
      <c r="T6" s="144" t="s">
        <v>69</v>
      </c>
      <c r="U6" s="144"/>
      <c r="V6" s="160"/>
      <c r="W6" s="111" t="s">
        <v>751</v>
      </c>
      <c r="X6" s="161"/>
      <c r="Y6" s="162"/>
      <c r="Z6" s="163"/>
      <c r="AA6" s="164"/>
      <c r="AB6" s="164"/>
      <c r="AC6" s="165"/>
      <c r="AD6" s="166"/>
      <c r="AE6" s="167"/>
      <c r="AF6" s="165"/>
      <c r="AG6" s="168"/>
      <c r="AH6" s="169"/>
      <c r="AI6" s="169"/>
      <c r="AJ6" s="169"/>
      <c r="AK6" s="199"/>
      <c r="AL6" s="169"/>
    </row>
    <row r="7" spans="1:38" s="139" customFormat="1" ht="24.75" customHeight="1" x14ac:dyDescent="0.2">
      <c r="A7" s="108" t="s">
        <v>255</v>
      </c>
      <c r="B7" s="108" t="s">
        <v>258</v>
      </c>
      <c r="C7" s="108" t="s">
        <v>514</v>
      </c>
      <c r="D7" s="123"/>
      <c r="E7" s="73" t="s">
        <v>523</v>
      </c>
      <c r="F7" s="26"/>
      <c r="G7" s="53"/>
      <c r="H7" s="108" t="s">
        <v>113</v>
      </c>
      <c r="I7" s="4" t="s">
        <v>34</v>
      </c>
      <c r="J7" s="158" t="s">
        <v>35</v>
      </c>
      <c r="K7" s="56">
        <v>2</v>
      </c>
      <c r="L7" s="4" t="s">
        <v>282</v>
      </c>
      <c r="M7" s="56" t="s">
        <v>71</v>
      </c>
      <c r="N7" s="159" t="s">
        <v>42</v>
      </c>
      <c r="O7" s="19" t="s">
        <v>39</v>
      </c>
      <c r="P7" s="79" t="s">
        <v>63</v>
      </c>
      <c r="Q7" s="28"/>
      <c r="R7" s="56" t="str">
        <f t="shared" si="0"/>
        <v>PER-E-2-U1-LST-001-00-VHHR</v>
      </c>
      <c r="S7" s="111" t="s">
        <v>546</v>
      </c>
      <c r="T7" s="111" t="s">
        <v>72</v>
      </c>
      <c r="U7" s="111"/>
      <c r="V7" s="160"/>
      <c r="W7" s="111" t="s">
        <v>753</v>
      </c>
      <c r="X7" s="161"/>
      <c r="Y7" s="162"/>
      <c r="Z7" s="163"/>
      <c r="AA7" s="164"/>
      <c r="AB7" s="164"/>
      <c r="AC7" s="165"/>
      <c r="AD7" s="166"/>
      <c r="AE7" s="167"/>
      <c r="AF7" s="165"/>
      <c r="AG7" s="168"/>
      <c r="AH7" s="169"/>
      <c r="AI7" s="169"/>
      <c r="AJ7" s="169"/>
      <c r="AK7" s="199"/>
      <c r="AL7" s="169"/>
    </row>
    <row r="8" spans="1:38" s="139" customFormat="1" ht="24.75" customHeight="1" x14ac:dyDescent="0.2">
      <c r="A8" s="108" t="s">
        <v>255</v>
      </c>
      <c r="B8" s="108" t="s">
        <v>258</v>
      </c>
      <c r="C8" s="108" t="s">
        <v>514</v>
      </c>
      <c r="D8" s="123"/>
      <c r="E8" s="73" t="s">
        <v>524</v>
      </c>
      <c r="F8" s="26"/>
      <c r="G8" s="53"/>
      <c r="H8" s="108" t="s">
        <v>113</v>
      </c>
      <c r="I8" s="4" t="s">
        <v>34</v>
      </c>
      <c r="J8" s="158" t="s">
        <v>35</v>
      </c>
      <c r="K8" s="56">
        <v>2</v>
      </c>
      <c r="L8" s="4" t="s">
        <v>282</v>
      </c>
      <c r="M8" s="56" t="s">
        <v>50</v>
      </c>
      <c r="N8" s="159" t="s">
        <v>38</v>
      </c>
      <c r="O8" s="19" t="s">
        <v>39</v>
      </c>
      <c r="P8" s="79" t="s">
        <v>63</v>
      </c>
      <c r="Q8" s="28"/>
      <c r="R8" s="56" t="str">
        <f t="shared" si="0"/>
        <v>PER-E-2-U1-SCH-002-00-VHHR</v>
      </c>
      <c r="S8" s="144" t="s">
        <v>547</v>
      </c>
      <c r="T8" s="144" t="s">
        <v>74</v>
      </c>
      <c r="U8" s="144"/>
      <c r="V8" s="160"/>
      <c r="W8" s="111" t="s">
        <v>754</v>
      </c>
      <c r="X8" s="161"/>
      <c r="Y8" s="162"/>
      <c r="Z8" s="163"/>
      <c r="AA8" s="164"/>
      <c r="AB8" s="164"/>
      <c r="AC8" s="165"/>
      <c r="AD8" s="166"/>
      <c r="AE8" s="167"/>
      <c r="AF8" s="165"/>
      <c r="AG8" s="168"/>
      <c r="AH8" s="169"/>
      <c r="AI8" s="169"/>
      <c r="AJ8" s="169"/>
      <c r="AK8" s="199"/>
      <c r="AL8" s="169"/>
    </row>
    <row r="9" spans="1:38" s="139" customFormat="1" ht="24.75" customHeight="1" x14ac:dyDescent="0.2">
      <c r="A9" s="108" t="s">
        <v>255</v>
      </c>
      <c r="B9" s="108" t="s">
        <v>258</v>
      </c>
      <c r="C9" s="108" t="s">
        <v>514</v>
      </c>
      <c r="D9" s="123"/>
      <c r="E9" s="73" t="s">
        <v>525</v>
      </c>
      <c r="F9" s="26"/>
      <c r="G9" s="53"/>
      <c r="H9" s="108" t="s">
        <v>113</v>
      </c>
      <c r="I9" s="4" t="s">
        <v>34</v>
      </c>
      <c r="J9" s="158" t="s">
        <v>35</v>
      </c>
      <c r="K9" s="56">
        <v>2</v>
      </c>
      <c r="L9" s="4" t="s">
        <v>282</v>
      </c>
      <c r="M9" s="56" t="s">
        <v>76</v>
      </c>
      <c r="N9" s="159" t="s">
        <v>42</v>
      </c>
      <c r="O9" s="19" t="s">
        <v>39</v>
      </c>
      <c r="P9" s="79" t="s">
        <v>63</v>
      </c>
      <c r="Q9" s="28"/>
      <c r="R9" s="56" t="str">
        <f t="shared" si="0"/>
        <v>PER-E-2-U1-ROU-001-00-VHHR</v>
      </c>
      <c r="S9" s="171" t="s">
        <v>548</v>
      </c>
      <c r="T9" s="171" t="s">
        <v>77</v>
      </c>
      <c r="U9" s="171"/>
      <c r="V9" s="160"/>
      <c r="W9" s="111" t="s">
        <v>753</v>
      </c>
      <c r="X9" s="161"/>
      <c r="Y9" s="162"/>
      <c r="Z9" s="163"/>
      <c r="AA9" s="164"/>
      <c r="AB9" s="164"/>
      <c r="AC9" s="165"/>
      <c r="AD9" s="166"/>
      <c r="AE9" s="167"/>
      <c r="AF9" s="165"/>
      <c r="AG9" s="168"/>
      <c r="AH9" s="169"/>
      <c r="AI9" s="169"/>
      <c r="AJ9" s="169"/>
      <c r="AK9" s="199"/>
      <c r="AL9" s="169"/>
    </row>
    <row r="10" spans="1:38" s="139" customFormat="1" ht="24.75" customHeight="1" x14ac:dyDescent="0.2">
      <c r="A10" s="108" t="s">
        <v>256</v>
      </c>
      <c r="B10" s="108" t="s">
        <v>256</v>
      </c>
      <c r="C10" s="108" t="s">
        <v>515</v>
      </c>
      <c r="D10" s="207"/>
      <c r="E10" s="73" t="s">
        <v>526</v>
      </c>
      <c r="F10" s="26"/>
      <c r="G10" s="53"/>
      <c r="H10" s="108" t="s">
        <v>113</v>
      </c>
      <c r="I10" s="4" t="s">
        <v>34</v>
      </c>
      <c r="J10" s="158" t="s">
        <v>35</v>
      </c>
      <c r="K10" s="56">
        <v>2</v>
      </c>
      <c r="L10" s="4" t="s">
        <v>282</v>
      </c>
      <c r="M10" s="56" t="s">
        <v>79</v>
      </c>
      <c r="N10" s="159" t="s">
        <v>42</v>
      </c>
      <c r="O10" s="19" t="s">
        <v>39</v>
      </c>
      <c r="P10" s="79" t="s">
        <v>63</v>
      </c>
      <c r="Q10" s="28"/>
      <c r="R10" s="56" t="str">
        <f t="shared" si="0"/>
        <v>PER-E-2-U1-FAT-001-00-VHHR</v>
      </c>
      <c r="S10" s="111" t="s">
        <v>770</v>
      </c>
      <c r="T10" s="111" t="s">
        <v>80</v>
      </c>
      <c r="U10" s="111"/>
      <c r="V10" s="160"/>
      <c r="W10" s="111" t="s">
        <v>764</v>
      </c>
      <c r="X10" s="161"/>
      <c r="Y10" s="162"/>
      <c r="Z10" s="163"/>
      <c r="AA10" s="164"/>
      <c r="AB10" s="164"/>
      <c r="AC10" s="165"/>
      <c r="AD10" s="166"/>
      <c r="AE10" s="167"/>
      <c r="AF10" s="165"/>
      <c r="AG10" s="168"/>
      <c r="AH10" s="169"/>
      <c r="AI10" s="169"/>
      <c r="AJ10" s="169"/>
      <c r="AK10" s="199"/>
      <c r="AL10" s="169"/>
    </row>
    <row r="11" spans="1:38" s="139" customFormat="1" ht="24.75" customHeight="1" x14ac:dyDescent="0.2">
      <c r="A11" s="108" t="s">
        <v>256</v>
      </c>
      <c r="B11" s="108" t="s">
        <v>256</v>
      </c>
      <c r="C11" s="108" t="s">
        <v>515</v>
      </c>
      <c r="D11" s="207"/>
      <c r="E11" s="73" t="s">
        <v>527</v>
      </c>
      <c r="F11" s="26"/>
      <c r="G11" s="53"/>
      <c r="H11" s="108" t="s">
        <v>113</v>
      </c>
      <c r="I11" s="4" t="s">
        <v>34</v>
      </c>
      <c r="J11" s="158" t="s">
        <v>35</v>
      </c>
      <c r="K11" s="56">
        <v>2</v>
      </c>
      <c r="L11" s="4" t="s">
        <v>282</v>
      </c>
      <c r="M11" s="56" t="s">
        <v>82</v>
      </c>
      <c r="N11" s="159" t="s">
        <v>42</v>
      </c>
      <c r="O11" s="19" t="s">
        <v>39</v>
      </c>
      <c r="P11" s="79" t="s">
        <v>63</v>
      </c>
      <c r="Q11" s="28"/>
      <c r="R11" s="56" t="str">
        <f t="shared" si="0"/>
        <v>PER-E-2-U1-CMM-001-00-VHHR</v>
      </c>
      <c r="S11" s="111" t="s">
        <v>769</v>
      </c>
      <c r="T11" s="111" t="s">
        <v>83</v>
      </c>
      <c r="U11" s="111"/>
      <c r="V11" s="160"/>
      <c r="W11" s="111" t="s">
        <v>764</v>
      </c>
      <c r="X11" s="161"/>
      <c r="Y11" s="162"/>
      <c r="Z11" s="163"/>
      <c r="AA11" s="164"/>
      <c r="AB11" s="164"/>
      <c r="AC11" s="165"/>
      <c r="AD11" s="166"/>
      <c r="AE11" s="167"/>
      <c r="AF11" s="165"/>
      <c r="AG11" s="168"/>
      <c r="AH11" s="169"/>
      <c r="AI11" s="169"/>
      <c r="AJ11" s="169"/>
      <c r="AK11" s="199"/>
      <c r="AL11" s="169"/>
    </row>
    <row r="12" spans="1:38" s="139" customFormat="1" ht="24.75" customHeight="1" x14ac:dyDescent="0.2">
      <c r="A12" s="108" t="s">
        <v>258</v>
      </c>
      <c r="B12" s="108" t="s">
        <v>256</v>
      </c>
      <c r="C12" s="108" t="s">
        <v>515</v>
      </c>
      <c r="D12" s="205"/>
      <c r="E12" s="73" t="s">
        <v>528</v>
      </c>
      <c r="F12" s="26"/>
      <c r="G12" s="53"/>
      <c r="H12" s="108" t="s">
        <v>113</v>
      </c>
      <c r="I12" s="4" t="s">
        <v>34</v>
      </c>
      <c r="J12" s="158" t="s">
        <v>35</v>
      </c>
      <c r="K12" s="56">
        <v>2</v>
      </c>
      <c r="L12" s="4" t="s">
        <v>282</v>
      </c>
      <c r="M12" s="56" t="s">
        <v>85</v>
      </c>
      <c r="N12" s="159" t="s">
        <v>38</v>
      </c>
      <c r="O12" s="19" t="s">
        <v>39</v>
      </c>
      <c r="P12" s="79" t="s">
        <v>63</v>
      </c>
      <c r="Q12" s="28"/>
      <c r="R12" s="56" t="str">
        <f t="shared" si="0"/>
        <v>PER-E-2-U1-MAN-002-00-VHHR</v>
      </c>
      <c r="S12" s="111"/>
      <c r="T12" s="111" t="s">
        <v>86</v>
      </c>
      <c r="U12" s="111"/>
      <c r="V12" s="160"/>
      <c r="W12" s="111" t="s">
        <v>755</v>
      </c>
      <c r="X12" s="161"/>
      <c r="Y12" s="162"/>
      <c r="Z12" s="163"/>
      <c r="AA12" s="164"/>
      <c r="AB12" s="164"/>
      <c r="AC12" s="165"/>
      <c r="AD12" s="166"/>
      <c r="AE12" s="167"/>
      <c r="AF12" s="165"/>
      <c r="AG12" s="168"/>
      <c r="AH12" s="169"/>
      <c r="AI12" s="169"/>
      <c r="AJ12" s="169"/>
      <c r="AK12" s="199"/>
      <c r="AL12" s="169"/>
    </row>
    <row r="13" spans="1:38" s="139" customFormat="1" ht="24.75" customHeight="1" x14ac:dyDescent="0.2">
      <c r="A13" s="108" t="s">
        <v>258</v>
      </c>
      <c r="B13" s="108" t="s">
        <v>256</v>
      </c>
      <c r="C13" s="108" t="s">
        <v>515</v>
      </c>
      <c r="D13" s="205"/>
      <c r="E13" s="73" t="s">
        <v>529</v>
      </c>
      <c r="F13" s="26"/>
      <c r="G13" s="53"/>
      <c r="H13" s="108" t="s">
        <v>113</v>
      </c>
      <c r="I13" s="4" t="s">
        <v>34</v>
      </c>
      <c r="J13" s="158" t="s">
        <v>35</v>
      </c>
      <c r="K13" s="56">
        <v>2</v>
      </c>
      <c r="L13" s="4" t="s">
        <v>282</v>
      </c>
      <c r="M13" s="56" t="s">
        <v>85</v>
      </c>
      <c r="N13" s="159" t="s">
        <v>42</v>
      </c>
      <c r="O13" s="19" t="s">
        <v>39</v>
      </c>
      <c r="P13" s="79" t="s">
        <v>63</v>
      </c>
      <c r="Q13" s="28"/>
      <c r="R13" s="56" t="str">
        <f t="shared" si="0"/>
        <v>PER-E-2-U1-MAN-001-00-VHHR</v>
      </c>
      <c r="S13" s="111"/>
      <c r="T13" s="111" t="s">
        <v>88</v>
      </c>
      <c r="U13" s="111"/>
      <c r="V13" s="160"/>
      <c r="W13" s="111" t="s">
        <v>756</v>
      </c>
      <c r="X13" s="161" t="s">
        <v>802</v>
      </c>
      <c r="Y13" s="162"/>
      <c r="Z13" s="163"/>
      <c r="AA13" s="164"/>
      <c r="AB13" s="164"/>
      <c r="AC13" s="165"/>
      <c r="AD13" s="166"/>
      <c r="AE13" s="167"/>
      <c r="AF13" s="165"/>
      <c r="AG13" s="168"/>
      <c r="AH13" s="169"/>
      <c r="AI13" s="169"/>
      <c r="AJ13" s="169"/>
      <c r="AK13" s="199"/>
      <c r="AL13" s="169"/>
    </row>
    <row r="14" spans="1:38" s="139" customFormat="1" ht="24.75" customHeight="1" x14ac:dyDescent="0.2">
      <c r="A14" s="108" t="s">
        <v>255</v>
      </c>
      <c r="B14" s="108" t="s">
        <v>258</v>
      </c>
      <c r="C14" s="108" t="s">
        <v>513</v>
      </c>
      <c r="D14" s="205"/>
      <c r="E14" s="73" t="s">
        <v>530</v>
      </c>
      <c r="F14" s="26"/>
      <c r="G14" s="53"/>
      <c r="H14" s="108" t="s">
        <v>113</v>
      </c>
      <c r="I14" s="4" t="s">
        <v>34</v>
      </c>
      <c r="J14" s="158" t="s">
        <v>35</v>
      </c>
      <c r="K14" s="56">
        <v>2</v>
      </c>
      <c r="L14" s="4" t="s">
        <v>282</v>
      </c>
      <c r="M14" s="56" t="s">
        <v>47</v>
      </c>
      <c r="N14" s="159" t="s">
        <v>91</v>
      </c>
      <c r="O14" s="19" t="s">
        <v>39</v>
      </c>
      <c r="P14" s="79" t="s">
        <v>63</v>
      </c>
      <c r="Q14" s="28"/>
      <c r="R14" s="56" t="str">
        <f t="shared" si="0"/>
        <v>PER-E-2-U1-SOF-100-00-VHHR</v>
      </c>
      <c r="S14" s="111" t="s">
        <v>761</v>
      </c>
      <c r="T14" s="111" t="s">
        <v>92</v>
      </c>
      <c r="U14" s="111"/>
      <c r="V14" s="160"/>
      <c r="W14" s="111" t="s">
        <v>757</v>
      </c>
      <c r="X14" s="161" t="s">
        <v>802</v>
      </c>
      <c r="Y14" s="162"/>
      <c r="Z14" s="163"/>
      <c r="AA14" s="164"/>
      <c r="AB14" s="164"/>
      <c r="AC14" s="165"/>
      <c r="AD14" s="166"/>
      <c r="AE14" s="167"/>
      <c r="AF14" s="165"/>
      <c r="AG14" s="168"/>
      <c r="AH14" s="169"/>
      <c r="AI14" s="169"/>
      <c r="AJ14" s="169"/>
      <c r="AK14" s="199"/>
      <c r="AL14" s="169"/>
    </row>
    <row r="15" spans="1:38" s="139" customFormat="1" ht="24.75" customHeight="1" x14ac:dyDescent="0.2">
      <c r="A15" s="108" t="s">
        <v>255</v>
      </c>
      <c r="B15" s="108" t="s">
        <v>258</v>
      </c>
      <c r="C15" s="108" t="s">
        <v>513</v>
      </c>
      <c r="D15" s="205" t="s">
        <v>800</v>
      </c>
      <c r="E15" s="73" t="s">
        <v>531</v>
      </c>
      <c r="F15" s="26"/>
      <c r="G15" s="53"/>
      <c r="H15" s="108" t="s">
        <v>113</v>
      </c>
      <c r="I15" s="4" t="s">
        <v>34</v>
      </c>
      <c r="J15" s="158" t="s">
        <v>35</v>
      </c>
      <c r="K15" s="56">
        <v>2</v>
      </c>
      <c r="L15" s="4" t="s">
        <v>282</v>
      </c>
      <c r="M15" s="56" t="s">
        <v>47</v>
      </c>
      <c r="N15" s="159" t="s">
        <v>51</v>
      </c>
      <c r="O15" s="19" t="s">
        <v>39</v>
      </c>
      <c r="P15" s="79" t="s">
        <v>63</v>
      </c>
      <c r="Q15" s="28"/>
      <c r="R15" s="56" t="str">
        <f t="shared" si="0"/>
        <v>PER-E-2-U1-SOF-101-00-VHHR</v>
      </c>
      <c r="S15" s="111" t="s">
        <v>549</v>
      </c>
      <c r="T15" s="111" t="s">
        <v>94</v>
      </c>
      <c r="U15" s="111" t="s">
        <v>803</v>
      </c>
      <c r="V15" s="160"/>
      <c r="W15" s="111" t="s">
        <v>759</v>
      </c>
      <c r="X15" s="161"/>
      <c r="Y15" s="162"/>
      <c r="Z15" s="163"/>
      <c r="AA15" s="164"/>
      <c r="AB15" s="164"/>
      <c r="AC15" s="165"/>
      <c r="AD15" s="166"/>
      <c r="AE15" s="167"/>
      <c r="AF15" s="165"/>
      <c r="AG15" s="168"/>
      <c r="AH15" s="169"/>
      <c r="AI15" s="169"/>
      <c r="AJ15" s="169"/>
      <c r="AK15" s="199"/>
      <c r="AL15" s="169"/>
    </row>
    <row r="16" spans="1:38" s="139" customFormat="1" ht="24.75" customHeight="1" x14ac:dyDescent="0.2">
      <c r="A16" s="108" t="s">
        <v>255</v>
      </c>
      <c r="B16" s="108" t="s">
        <v>258</v>
      </c>
      <c r="C16" s="108" t="s">
        <v>516</v>
      </c>
      <c r="D16" s="205" t="s">
        <v>800</v>
      </c>
      <c r="E16" s="73" t="s">
        <v>532</v>
      </c>
      <c r="F16" s="26"/>
      <c r="G16" s="53"/>
      <c r="H16" s="108" t="s">
        <v>113</v>
      </c>
      <c r="I16" s="4" t="s">
        <v>34</v>
      </c>
      <c r="J16" s="158" t="s">
        <v>35</v>
      </c>
      <c r="K16" s="56">
        <v>8</v>
      </c>
      <c r="L16" s="4" t="s">
        <v>282</v>
      </c>
      <c r="M16" s="56" t="s">
        <v>50</v>
      </c>
      <c r="N16" s="159" t="s">
        <v>42</v>
      </c>
      <c r="O16" s="19" t="s">
        <v>39</v>
      </c>
      <c r="P16" s="79" t="s">
        <v>63</v>
      </c>
      <c r="Q16" s="28"/>
      <c r="R16" s="56" t="str">
        <f t="shared" si="0"/>
        <v>PER-E-8-U1-SCH-001-00-VHHR</v>
      </c>
      <c r="S16" s="111" t="s">
        <v>550</v>
      </c>
      <c r="T16" s="111" t="s">
        <v>96</v>
      </c>
      <c r="U16" s="111" t="s">
        <v>804</v>
      </c>
      <c r="V16" s="160"/>
      <c r="W16" s="111" t="s">
        <v>754</v>
      </c>
      <c r="X16" s="161"/>
      <c r="Y16" s="162"/>
      <c r="Z16" s="163"/>
      <c r="AA16" s="164"/>
      <c r="AB16" s="164"/>
      <c r="AC16" s="165"/>
      <c r="AD16" s="166"/>
      <c r="AE16" s="167"/>
      <c r="AF16" s="165"/>
      <c r="AG16" s="168"/>
      <c r="AH16" s="169"/>
      <c r="AI16" s="169"/>
      <c r="AJ16" s="169"/>
      <c r="AK16" s="199"/>
      <c r="AL16" s="169"/>
    </row>
    <row r="17" spans="1:38" s="139" customFormat="1" ht="24.75" customHeight="1" x14ac:dyDescent="0.2">
      <c r="A17" s="108" t="s">
        <v>255</v>
      </c>
      <c r="B17" s="108" t="s">
        <v>258</v>
      </c>
      <c r="C17" s="108" t="s">
        <v>516</v>
      </c>
      <c r="D17" s="123"/>
      <c r="E17" s="73" t="s">
        <v>533</v>
      </c>
      <c r="F17" s="26"/>
      <c r="G17" s="53"/>
      <c r="H17" s="108" t="s">
        <v>113</v>
      </c>
      <c r="I17" s="4" t="s">
        <v>34</v>
      </c>
      <c r="J17" s="158" t="s">
        <v>35</v>
      </c>
      <c r="K17" s="56">
        <v>8</v>
      </c>
      <c r="L17" s="4" t="s">
        <v>282</v>
      </c>
      <c r="M17" s="56" t="s">
        <v>68</v>
      </c>
      <c r="N17" s="159" t="s">
        <v>42</v>
      </c>
      <c r="O17" s="19" t="s">
        <v>39</v>
      </c>
      <c r="P17" s="79" t="s">
        <v>63</v>
      </c>
      <c r="Q17" s="28"/>
      <c r="R17" s="56" t="str">
        <f t="shared" si="0"/>
        <v>PER-E-8-U1-ASB-001-00-VHHR</v>
      </c>
      <c r="S17" s="111" t="s">
        <v>551</v>
      </c>
      <c r="T17" s="111" t="s">
        <v>69</v>
      </c>
      <c r="U17" s="111"/>
      <c r="V17" s="160"/>
      <c r="W17" s="111" t="s">
        <v>751</v>
      </c>
      <c r="X17" s="161"/>
      <c r="Y17" s="162"/>
      <c r="Z17" s="163"/>
      <c r="AA17" s="164"/>
      <c r="AB17" s="164"/>
      <c r="AC17" s="165"/>
      <c r="AD17" s="166"/>
      <c r="AE17" s="167"/>
      <c r="AF17" s="165"/>
      <c r="AG17" s="168"/>
      <c r="AH17" s="169"/>
      <c r="AI17" s="169"/>
      <c r="AJ17" s="169"/>
      <c r="AK17" s="199"/>
      <c r="AL17" s="169"/>
    </row>
    <row r="18" spans="1:38" s="139" customFormat="1" ht="24.75" customHeight="1" x14ac:dyDescent="0.2">
      <c r="A18" s="108" t="s">
        <v>255</v>
      </c>
      <c r="B18" s="108" t="s">
        <v>258</v>
      </c>
      <c r="C18" s="108" t="s">
        <v>516</v>
      </c>
      <c r="D18" s="123" t="s">
        <v>407</v>
      </c>
      <c r="E18" s="73" t="s">
        <v>534</v>
      </c>
      <c r="F18" s="26"/>
      <c r="G18" s="53"/>
      <c r="H18" s="108" t="s">
        <v>113</v>
      </c>
      <c r="I18" s="4" t="s">
        <v>34</v>
      </c>
      <c r="J18" s="158" t="s">
        <v>35</v>
      </c>
      <c r="K18" s="56">
        <v>8</v>
      </c>
      <c r="L18" s="4" t="s">
        <v>282</v>
      </c>
      <c r="M18" s="56" t="s">
        <v>71</v>
      </c>
      <c r="N18" s="159" t="s">
        <v>42</v>
      </c>
      <c r="O18" s="19" t="s">
        <v>39</v>
      </c>
      <c r="P18" s="79" t="s">
        <v>63</v>
      </c>
      <c r="Q18" s="28"/>
      <c r="R18" s="56" t="str">
        <f t="shared" si="0"/>
        <v>PER-E-8-U1-LST-001-00-VHHR</v>
      </c>
      <c r="S18" s="111" t="s">
        <v>552</v>
      </c>
      <c r="T18" s="111" t="s">
        <v>99</v>
      </c>
      <c r="U18" s="111"/>
      <c r="V18" s="160"/>
      <c r="W18" s="111" t="s">
        <v>753</v>
      </c>
      <c r="X18" s="161"/>
      <c r="Y18" s="162"/>
      <c r="Z18" s="163"/>
      <c r="AA18" s="164"/>
      <c r="AB18" s="164"/>
      <c r="AC18" s="165"/>
      <c r="AD18" s="166"/>
      <c r="AE18" s="167"/>
      <c r="AF18" s="165"/>
      <c r="AG18" s="168"/>
      <c r="AH18" s="169"/>
      <c r="AI18" s="169"/>
      <c r="AJ18" s="169"/>
      <c r="AK18" s="199"/>
      <c r="AL18" s="169"/>
    </row>
    <row r="19" spans="1:38" s="139" customFormat="1" ht="24.75" customHeight="1" x14ac:dyDescent="0.2">
      <c r="A19" s="108" t="s">
        <v>255</v>
      </c>
      <c r="B19" s="108" t="s">
        <v>258</v>
      </c>
      <c r="C19" s="108" t="s">
        <v>516</v>
      </c>
      <c r="D19" s="123" t="s">
        <v>407</v>
      </c>
      <c r="E19" s="73" t="s">
        <v>535</v>
      </c>
      <c r="F19" s="26"/>
      <c r="G19" s="53"/>
      <c r="H19" s="108" t="s">
        <v>113</v>
      </c>
      <c r="I19" s="4" t="s">
        <v>34</v>
      </c>
      <c r="J19" s="158" t="s">
        <v>35</v>
      </c>
      <c r="K19" s="56">
        <v>8</v>
      </c>
      <c r="L19" s="4" t="s">
        <v>282</v>
      </c>
      <c r="M19" s="56" t="s">
        <v>76</v>
      </c>
      <c r="N19" s="159" t="s">
        <v>42</v>
      </c>
      <c r="O19" s="19" t="s">
        <v>39</v>
      </c>
      <c r="P19" s="79" t="s">
        <v>63</v>
      </c>
      <c r="Q19" s="28"/>
      <c r="R19" s="56" t="str">
        <f t="shared" si="0"/>
        <v>PER-E-8-U1-ROU-001-00-VHHR</v>
      </c>
      <c r="S19" s="111" t="s">
        <v>600</v>
      </c>
      <c r="T19" s="111" t="s">
        <v>77</v>
      </c>
      <c r="U19" s="111"/>
      <c r="V19" s="160"/>
      <c r="W19" s="111" t="s">
        <v>753</v>
      </c>
      <c r="X19" s="161"/>
      <c r="Y19" s="162"/>
      <c r="Z19" s="163"/>
      <c r="AA19" s="164"/>
      <c r="AB19" s="164"/>
      <c r="AC19" s="165"/>
      <c r="AD19" s="166"/>
      <c r="AE19" s="167"/>
      <c r="AF19" s="165"/>
      <c r="AG19" s="168"/>
      <c r="AH19" s="169"/>
      <c r="AI19" s="169"/>
      <c r="AJ19" s="169"/>
      <c r="AK19" s="199"/>
      <c r="AL19" s="169"/>
    </row>
    <row r="20" spans="1:38" s="139" customFormat="1" ht="24.75" customHeight="1" x14ac:dyDescent="0.2">
      <c r="A20" s="108" t="s">
        <v>256</v>
      </c>
      <c r="B20" s="108" t="s">
        <v>256</v>
      </c>
      <c r="C20" s="108" t="s">
        <v>517</v>
      </c>
      <c r="D20" s="262"/>
      <c r="E20" s="73" t="s">
        <v>536</v>
      </c>
      <c r="F20" s="26"/>
      <c r="G20" s="53"/>
      <c r="H20" s="108" t="s">
        <v>113</v>
      </c>
      <c r="I20" s="4" t="s">
        <v>34</v>
      </c>
      <c r="J20" s="158" t="s">
        <v>35</v>
      </c>
      <c r="K20" s="56">
        <v>8</v>
      </c>
      <c r="L20" s="4" t="s">
        <v>282</v>
      </c>
      <c r="M20" s="56" t="s">
        <v>79</v>
      </c>
      <c r="N20" s="159" t="s">
        <v>42</v>
      </c>
      <c r="O20" s="19" t="s">
        <v>39</v>
      </c>
      <c r="P20" s="79" t="s">
        <v>63</v>
      </c>
      <c r="Q20" s="28"/>
      <c r="R20" s="56" t="str">
        <f t="shared" si="0"/>
        <v>PER-E-8-U1-FAT-001-00-VHHR</v>
      </c>
      <c r="S20" s="111"/>
      <c r="T20" s="111" t="s">
        <v>102</v>
      </c>
      <c r="U20" s="111"/>
      <c r="V20" s="160"/>
      <c r="W20" s="111" t="s">
        <v>765</v>
      </c>
      <c r="X20" s="161"/>
      <c r="Y20" s="162"/>
      <c r="Z20" s="163"/>
      <c r="AA20" s="164"/>
      <c r="AB20" s="164"/>
      <c r="AC20" s="165"/>
      <c r="AD20" s="166"/>
      <c r="AE20" s="167"/>
      <c r="AF20" s="165"/>
      <c r="AG20" s="168"/>
      <c r="AH20" s="169"/>
      <c r="AI20" s="169"/>
      <c r="AJ20" s="169"/>
      <c r="AK20" s="199"/>
      <c r="AL20" s="169"/>
    </row>
    <row r="21" spans="1:38" s="139" customFormat="1" ht="24.75" customHeight="1" x14ac:dyDescent="0.2">
      <c r="A21" s="108" t="s">
        <v>255</v>
      </c>
      <c r="B21" s="108" t="s">
        <v>258</v>
      </c>
      <c r="C21" s="108" t="s">
        <v>565</v>
      </c>
      <c r="D21" s="123"/>
      <c r="E21" s="73" t="s">
        <v>537</v>
      </c>
      <c r="F21" s="26"/>
      <c r="G21" s="53"/>
      <c r="H21" s="108" t="s">
        <v>113</v>
      </c>
      <c r="I21" s="4" t="s">
        <v>34</v>
      </c>
      <c r="J21" s="158" t="s">
        <v>35</v>
      </c>
      <c r="K21" s="56">
        <v>8</v>
      </c>
      <c r="L21" s="4" t="s">
        <v>282</v>
      </c>
      <c r="M21" s="56" t="s">
        <v>47</v>
      </c>
      <c r="N21" s="159" t="s">
        <v>91</v>
      </c>
      <c r="O21" s="19" t="s">
        <v>39</v>
      </c>
      <c r="P21" s="79" t="s">
        <v>63</v>
      </c>
      <c r="Q21" s="28"/>
      <c r="R21" s="56" t="str">
        <f t="shared" si="0"/>
        <v>PER-E-8-U1-SOF-100-00-VHHR</v>
      </c>
      <c r="S21" s="111" t="s">
        <v>762</v>
      </c>
      <c r="T21" s="111" t="s">
        <v>104</v>
      </c>
      <c r="U21" s="111"/>
      <c r="V21" s="160"/>
      <c r="W21" s="111" t="s">
        <v>757</v>
      </c>
      <c r="X21" s="161"/>
      <c r="Y21" s="162"/>
      <c r="Z21" s="163"/>
      <c r="AA21" s="164"/>
      <c r="AB21" s="164"/>
      <c r="AC21" s="165"/>
      <c r="AD21" s="166"/>
      <c r="AE21" s="167"/>
      <c r="AF21" s="165"/>
      <c r="AG21" s="168"/>
      <c r="AH21" s="169"/>
      <c r="AI21" s="169"/>
      <c r="AJ21" s="169"/>
      <c r="AK21" s="199"/>
      <c r="AL21" s="169"/>
    </row>
    <row r="22" spans="1:38" s="139" customFormat="1" ht="24.75" customHeight="1" x14ac:dyDescent="0.2">
      <c r="A22" s="108" t="s">
        <v>255</v>
      </c>
      <c r="B22" s="108" t="s">
        <v>258</v>
      </c>
      <c r="C22" s="108" t="s">
        <v>565</v>
      </c>
      <c r="D22" s="123"/>
      <c r="E22" s="73" t="s">
        <v>538</v>
      </c>
      <c r="F22" s="26"/>
      <c r="G22" s="53"/>
      <c r="H22" s="108" t="s">
        <v>113</v>
      </c>
      <c r="I22" s="4" t="s">
        <v>34</v>
      </c>
      <c r="J22" s="158" t="s">
        <v>35</v>
      </c>
      <c r="K22" s="56">
        <v>8</v>
      </c>
      <c r="L22" s="4" t="s">
        <v>282</v>
      </c>
      <c r="M22" s="56" t="s">
        <v>50</v>
      </c>
      <c r="N22" s="159" t="s">
        <v>38</v>
      </c>
      <c r="O22" s="19" t="s">
        <v>39</v>
      </c>
      <c r="P22" s="79" t="s">
        <v>63</v>
      </c>
      <c r="Q22" s="28"/>
      <c r="R22" s="56" t="str">
        <f t="shared" si="0"/>
        <v>PER-E-8-U1-SCH-002-00-VHHR</v>
      </c>
      <c r="S22" s="111" t="s">
        <v>106</v>
      </c>
      <c r="T22" s="111" t="s">
        <v>106</v>
      </c>
      <c r="U22" s="111"/>
      <c r="V22" s="160"/>
      <c r="W22" s="111" t="s">
        <v>750</v>
      </c>
      <c r="X22" s="161"/>
      <c r="Y22" s="162"/>
      <c r="Z22" s="163"/>
      <c r="AA22" s="164"/>
      <c r="AB22" s="164"/>
      <c r="AC22" s="165"/>
      <c r="AD22" s="166"/>
      <c r="AE22" s="167"/>
      <c r="AF22" s="165"/>
      <c r="AG22" s="168"/>
      <c r="AH22" s="169"/>
      <c r="AI22" s="169"/>
      <c r="AJ22" s="169"/>
      <c r="AK22" s="199"/>
      <c r="AL22" s="169"/>
    </row>
    <row r="23" spans="1:38" s="139" customFormat="1" ht="24.75" customHeight="1" x14ac:dyDescent="0.2">
      <c r="A23" s="108" t="s">
        <v>256</v>
      </c>
      <c r="B23" s="108" t="s">
        <v>256</v>
      </c>
      <c r="C23" s="108" t="s">
        <v>517</v>
      </c>
      <c r="D23" s="207"/>
      <c r="E23" s="73" t="s">
        <v>539</v>
      </c>
      <c r="F23" s="26"/>
      <c r="G23" s="53"/>
      <c r="H23" s="108" t="s">
        <v>113</v>
      </c>
      <c r="I23" s="4" t="s">
        <v>34</v>
      </c>
      <c r="J23" s="158" t="s">
        <v>35</v>
      </c>
      <c r="K23" s="56">
        <v>8</v>
      </c>
      <c r="L23" s="4" t="s">
        <v>282</v>
      </c>
      <c r="M23" s="56" t="s">
        <v>82</v>
      </c>
      <c r="N23" s="159" t="s">
        <v>42</v>
      </c>
      <c r="O23" s="19" t="s">
        <v>39</v>
      </c>
      <c r="P23" s="79" t="s">
        <v>63</v>
      </c>
      <c r="Q23" s="28"/>
      <c r="R23" s="56" t="str">
        <f t="shared" si="0"/>
        <v>PER-E-8-U1-CMM-001-00-VHHR</v>
      </c>
      <c r="S23" s="111" t="s">
        <v>768</v>
      </c>
      <c r="T23" s="111" t="s">
        <v>83</v>
      </c>
      <c r="U23" s="111"/>
      <c r="V23" s="160"/>
      <c r="W23" s="111" t="s">
        <v>764</v>
      </c>
      <c r="X23" s="161"/>
      <c r="Y23" s="162"/>
      <c r="Z23" s="163"/>
      <c r="AA23" s="164"/>
      <c r="AB23" s="164"/>
      <c r="AC23" s="165"/>
      <c r="AD23" s="166"/>
      <c r="AE23" s="167"/>
      <c r="AF23" s="165"/>
      <c r="AG23" s="168"/>
      <c r="AH23" s="169"/>
      <c r="AI23" s="169"/>
      <c r="AJ23" s="169"/>
      <c r="AK23" s="199"/>
      <c r="AL23" s="169"/>
    </row>
    <row r="24" spans="1:38" s="139" customFormat="1" ht="24.75" customHeight="1" x14ac:dyDescent="0.2">
      <c r="A24" s="108" t="s">
        <v>258</v>
      </c>
      <c r="B24" s="108" t="s">
        <v>256</v>
      </c>
      <c r="C24" s="108" t="s">
        <v>515</v>
      </c>
      <c r="D24" s="205"/>
      <c r="E24" s="73" t="s">
        <v>540</v>
      </c>
      <c r="F24" s="26"/>
      <c r="G24" s="53"/>
      <c r="H24" s="108" t="s">
        <v>113</v>
      </c>
      <c r="I24" s="4" t="s">
        <v>34</v>
      </c>
      <c r="J24" s="158" t="s">
        <v>35</v>
      </c>
      <c r="K24" s="56">
        <v>8</v>
      </c>
      <c r="L24" s="4" t="s">
        <v>282</v>
      </c>
      <c r="M24" s="56" t="s">
        <v>85</v>
      </c>
      <c r="N24" s="159" t="s">
        <v>42</v>
      </c>
      <c r="O24" s="19" t="s">
        <v>39</v>
      </c>
      <c r="P24" s="79" t="s">
        <v>63</v>
      </c>
      <c r="Q24" s="28"/>
      <c r="R24" s="56" t="str">
        <f t="shared" si="0"/>
        <v>PER-E-8-U1-MAN-001-00-VHHR</v>
      </c>
      <c r="S24" s="111"/>
      <c r="T24" s="111" t="s">
        <v>109</v>
      </c>
      <c r="U24" s="111"/>
      <c r="V24" s="160"/>
      <c r="W24" s="111" t="s">
        <v>763</v>
      </c>
      <c r="X24" s="161"/>
      <c r="Y24" s="162"/>
      <c r="Z24" s="163"/>
      <c r="AA24" s="164"/>
      <c r="AB24" s="164"/>
      <c r="AC24" s="165"/>
      <c r="AD24" s="166"/>
      <c r="AE24" s="167"/>
      <c r="AF24" s="165"/>
      <c r="AG24" s="168"/>
      <c r="AH24" s="169"/>
      <c r="AI24" s="169"/>
      <c r="AJ24" s="169"/>
      <c r="AK24" s="199"/>
      <c r="AL24" s="169"/>
    </row>
    <row r="25" spans="1:38" s="139" customFormat="1" ht="24.75" customHeight="1" x14ac:dyDescent="0.2">
      <c r="A25" s="108" t="s">
        <v>255</v>
      </c>
      <c r="B25" s="108" t="s">
        <v>258</v>
      </c>
      <c r="C25" s="108" t="s">
        <v>519</v>
      </c>
      <c r="D25" s="123"/>
      <c r="E25" s="73" t="s">
        <v>541</v>
      </c>
      <c r="F25" s="26"/>
      <c r="G25" s="53"/>
      <c r="H25" s="108" t="s">
        <v>113</v>
      </c>
      <c r="I25" s="4" t="s">
        <v>34</v>
      </c>
      <c r="J25" s="158" t="s">
        <v>35</v>
      </c>
      <c r="K25" s="56">
        <v>2</v>
      </c>
      <c r="L25" s="4" t="s">
        <v>282</v>
      </c>
      <c r="M25" s="56" t="s">
        <v>52</v>
      </c>
      <c r="N25" s="159" t="s">
        <v>42</v>
      </c>
      <c r="O25" s="19" t="s">
        <v>39</v>
      </c>
      <c r="P25" s="79" t="s">
        <v>63</v>
      </c>
      <c r="Q25" s="28"/>
      <c r="R25" s="56" t="str">
        <f t="shared" si="0"/>
        <v>PER-E-2-U1-TSP-001-00-VHHR</v>
      </c>
      <c r="S25" s="111" t="s">
        <v>553</v>
      </c>
      <c r="T25" s="111" t="s">
        <v>553</v>
      </c>
      <c r="U25" s="111"/>
      <c r="V25" s="160"/>
      <c r="W25" s="111" t="s">
        <v>750</v>
      </c>
      <c r="X25" s="161"/>
      <c r="Y25" s="162"/>
      <c r="Z25" s="163"/>
      <c r="AA25" s="164"/>
      <c r="AB25" s="164"/>
      <c r="AC25" s="165"/>
      <c r="AD25" s="166"/>
      <c r="AE25" s="167"/>
      <c r="AF25" s="165"/>
      <c r="AG25" s="168"/>
      <c r="AH25" s="169"/>
      <c r="AI25" s="169"/>
      <c r="AJ25" s="169"/>
      <c r="AK25" s="199"/>
      <c r="AL25" s="169"/>
    </row>
    <row r="26" spans="1:38" s="139" customFormat="1" ht="24.75" customHeight="1" x14ac:dyDescent="0.2">
      <c r="A26" s="108" t="s">
        <v>255</v>
      </c>
      <c r="B26" s="108" t="s">
        <v>258</v>
      </c>
      <c r="C26" s="108" t="s">
        <v>518</v>
      </c>
      <c r="D26" s="123"/>
      <c r="E26" s="73" t="s">
        <v>542</v>
      </c>
      <c r="F26" s="26"/>
      <c r="G26" s="53"/>
      <c r="H26" s="108" t="s">
        <v>113</v>
      </c>
      <c r="I26" s="4" t="s">
        <v>34</v>
      </c>
      <c r="J26" s="158" t="s">
        <v>35</v>
      </c>
      <c r="K26" s="56">
        <v>8</v>
      </c>
      <c r="L26" s="4" t="s">
        <v>282</v>
      </c>
      <c r="M26" s="56" t="s">
        <v>52</v>
      </c>
      <c r="N26" s="159" t="s">
        <v>42</v>
      </c>
      <c r="O26" s="19" t="s">
        <v>39</v>
      </c>
      <c r="P26" s="79" t="s">
        <v>63</v>
      </c>
      <c r="Q26" s="28"/>
      <c r="R26" s="56" t="str">
        <f t="shared" si="0"/>
        <v>PER-E-8-U1-TSP-001-00-VHHR</v>
      </c>
      <c r="S26" s="111" t="s">
        <v>554</v>
      </c>
      <c r="T26" s="111" t="s">
        <v>554</v>
      </c>
      <c r="U26" s="111"/>
      <c r="V26" s="160"/>
      <c r="W26" s="111" t="s">
        <v>750</v>
      </c>
      <c r="X26" s="161"/>
      <c r="Y26" s="162"/>
      <c r="Z26" s="163"/>
      <c r="AA26" s="164"/>
      <c r="AB26" s="164"/>
      <c r="AC26" s="165"/>
      <c r="AD26" s="166"/>
      <c r="AE26" s="167"/>
      <c r="AF26" s="165"/>
      <c r="AG26" s="168"/>
      <c r="AH26" s="169"/>
      <c r="AI26" s="169"/>
      <c r="AJ26" s="169"/>
      <c r="AK26" s="199"/>
      <c r="AL26" s="169"/>
    </row>
    <row r="29" spans="1:38" x14ac:dyDescent="0.25">
      <c r="D29" s="140"/>
      <c r="E29" s="109" t="s">
        <v>420</v>
      </c>
    </row>
    <row r="30" spans="1:38" x14ac:dyDescent="0.25">
      <c r="D30" s="141"/>
      <c r="E30" s="109" t="s">
        <v>758</v>
      </c>
    </row>
    <row r="31" spans="1:38" x14ac:dyDescent="0.25">
      <c r="D31" s="142" t="s">
        <v>800</v>
      </c>
      <c r="E31" s="109" t="s">
        <v>421</v>
      </c>
      <c r="U31" t="s">
        <v>805</v>
      </c>
    </row>
    <row r="32" spans="1:38" x14ac:dyDescent="0.25">
      <c r="D32" s="143" t="s">
        <v>800</v>
      </c>
      <c r="E32" s="109" t="s">
        <v>454</v>
      </c>
      <c r="U32" t="s">
        <v>809</v>
      </c>
    </row>
    <row r="33" spans="4:21" x14ac:dyDescent="0.25">
      <c r="D33" s="206"/>
      <c r="E33" s="109" t="s">
        <v>453</v>
      </c>
    </row>
    <row r="34" spans="4:21" x14ac:dyDescent="0.25">
      <c r="D34" s="204"/>
      <c r="E34" s="109" t="s">
        <v>760</v>
      </c>
    </row>
    <row r="37" spans="4:21" x14ac:dyDescent="0.25">
      <c r="D37" t="s">
        <v>800</v>
      </c>
      <c r="U37" t="s">
        <v>806</v>
      </c>
    </row>
    <row r="38" spans="4:21" x14ac:dyDescent="0.25">
      <c r="D38" t="s">
        <v>800</v>
      </c>
      <c r="U38" t="s">
        <v>807</v>
      </c>
    </row>
    <row r="39" spans="4:21" x14ac:dyDescent="0.25">
      <c r="D39" t="s">
        <v>800</v>
      </c>
      <c r="U39" t="s">
        <v>808</v>
      </c>
    </row>
  </sheetData>
  <protectedRanges>
    <protectedRange sqref="S26" name="Range2_2_2"/>
  </protectedRanges>
  <autoFilter ref="A3:A26" xr:uid="{3ADE1A5F-F452-4D16-BE9C-9BE9C5CD28FF}"/>
  <conditionalFormatting sqref="A1:D2">
    <cfRule type="duplicateValues" dxfId="148" priority="23"/>
    <cfRule type="duplicateValues" dxfId="147" priority="24"/>
  </conditionalFormatting>
  <conditionalFormatting sqref="A3:D3">
    <cfRule type="duplicateValues" dxfId="146" priority="25"/>
    <cfRule type="duplicateValues" dxfId="145" priority="26"/>
  </conditionalFormatting>
  <conditionalFormatting sqref="E1:E3">
    <cfRule type="duplicateValues" dxfId="144" priority="3499"/>
    <cfRule type="duplicateValues" dxfId="143" priority="3500"/>
  </conditionalFormatting>
  <conditionalFormatting sqref="E4:E26">
    <cfRule type="duplicateValues" dxfId="142" priority="5"/>
    <cfRule type="duplicateValues" dxfId="141" priority="6"/>
  </conditionalFormatting>
  <conditionalFormatting sqref="E29:E31 E34">
    <cfRule type="duplicateValues" dxfId="140" priority="1"/>
    <cfRule type="duplicateValues" dxfId="139" priority="2"/>
  </conditionalFormatting>
  <conditionalFormatting sqref="E32:E33">
    <cfRule type="duplicateValues" dxfId="138" priority="3"/>
    <cfRule type="duplicateValues" dxfId="137" priority="4"/>
  </conditionalFormatting>
  <conditionalFormatting sqref="F1:F3 F5:F26">
    <cfRule type="duplicateValues" dxfId="136" priority="3501"/>
  </conditionalFormatting>
  <conditionalFormatting sqref="F4">
    <cfRule type="duplicateValues" dxfId="135" priority="7"/>
  </conditionalFormatting>
  <conditionalFormatting sqref="G1:G2 G5:G26">
    <cfRule type="duplicateValues" dxfId="134" priority="3503"/>
  </conditionalFormatting>
  <conditionalFormatting sqref="G3">
    <cfRule type="duplicateValues" dxfId="133" priority="15"/>
    <cfRule type="duplicateValues" dxfId="132" priority="16"/>
  </conditionalFormatting>
  <conditionalFormatting sqref="G4">
    <cfRule type="duplicateValues" dxfId="131" priority="8"/>
  </conditionalFormatting>
  <conditionalFormatting sqref="R4:R26">
    <cfRule type="duplicateValues" dxfId="130" priority="9"/>
    <cfRule type="duplicateValues" dxfId="129" priority="10"/>
  </conditionalFormatting>
  <conditionalFormatting sqref="R1:S2 R3">
    <cfRule type="duplicateValues" dxfId="128" priority="3505"/>
    <cfRule type="duplicateValues" dxfId="127" priority="3506"/>
  </conditionalFormatting>
  <dataValidations disablePrompts="1" count="2">
    <dataValidation type="list" allowBlank="1" showInputMessage="1" showErrorMessage="1" sqref="K1:K3" xr:uid="{74F7FBA3-0BF7-40DC-81B2-BC297DC8B682}">
      <formula1>#REF!</formula1>
    </dataValidation>
    <dataValidation type="list" allowBlank="1" showInputMessage="1" showErrorMessage="1" sqref="I1:I26" xr:uid="{1604FE55-4959-444A-91FA-1A2FC8E8C24E}">
      <formula1>"PER"</formula1>
    </dataValidation>
  </dataValidations>
  <pageMargins left="0.7" right="0.7" top="0.75" bottom="0.75" header="0.3" footer="0.3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DC13-D966-4351-AD43-6AECC03E84B0}">
  <sheetPr>
    <tabColor theme="0"/>
    <pageSetUpPr autoPageBreaks="0"/>
  </sheetPr>
  <dimension ref="A1:AL39"/>
  <sheetViews>
    <sheetView tabSelected="1" topLeftCell="R3" zoomScale="70" zoomScaleNormal="70" workbookViewId="0">
      <selection activeCell="U35" sqref="U35"/>
    </sheetView>
  </sheetViews>
  <sheetFormatPr defaultRowHeight="15" x14ac:dyDescent="0.25"/>
  <cols>
    <col min="3" max="3" width="10.140625" bestFit="1" customWidth="1"/>
    <col min="5" max="5" width="26.5703125" customWidth="1"/>
    <col min="6" max="6" width="18.42578125" hidden="1" customWidth="1"/>
    <col min="7" max="7" width="12" hidden="1" customWidth="1"/>
    <col min="8" max="8" width="15" hidden="1" customWidth="1"/>
    <col min="9" max="9" width="12" hidden="1" customWidth="1"/>
    <col min="10" max="10" width="12.42578125" hidden="1" customWidth="1"/>
    <col min="11" max="11" width="11.5703125" hidden="1" customWidth="1"/>
    <col min="12" max="12" width="12.42578125" hidden="1" customWidth="1"/>
    <col min="13" max="13" width="12.5703125" hidden="1" customWidth="1"/>
    <col min="14" max="14" width="13.42578125" hidden="1" customWidth="1"/>
    <col min="15" max="15" width="11.42578125" hidden="1" customWidth="1"/>
    <col min="16" max="16" width="12.5703125" hidden="1" customWidth="1"/>
    <col min="17" max="17" width="27.42578125" hidden="1" customWidth="1"/>
    <col min="18" max="18" width="34.42578125" customWidth="1"/>
    <col min="19" max="19" width="63.140625" bestFit="1" customWidth="1"/>
    <col min="20" max="20" width="55.85546875" bestFit="1" customWidth="1"/>
    <col min="21" max="21" width="75.5703125" customWidth="1"/>
    <col min="22" max="22" width="14" customWidth="1"/>
    <col min="23" max="23" width="136.140625" bestFit="1" customWidth="1"/>
    <col min="24" max="24" width="13.42578125" customWidth="1"/>
    <col min="25" max="25" width="14.42578125" customWidth="1"/>
    <col min="26" max="26" width="10.42578125" customWidth="1"/>
    <col min="27" max="27" width="13.5703125" customWidth="1"/>
    <col min="28" max="28" width="45.42578125" customWidth="1"/>
    <col min="29" max="29" width="18.5703125" customWidth="1"/>
    <col min="30" max="30" width="14.42578125" customWidth="1"/>
    <col min="31" max="31" width="10.42578125" customWidth="1"/>
    <col min="32" max="32" width="13.5703125" customWidth="1"/>
    <col min="33" max="33" width="45.42578125" customWidth="1"/>
    <col min="34" max="34" width="19.5703125" customWidth="1"/>
    <col min="35" max="35" width="14.42578125" customWidth="1"/>
    <col min="36" max="36" width="10.42578125" customWidth="1"/>
    <col min="37" max="37" width="13.5703125" customWidth="1"/>
    <col min="38" max="38" width="45.42578125" customWidth="1"/>
  </cols>
  <sheetData>
    <row r="1" spans="1:38" s="139" customFormat="1" ht="29.25" thickBot="1" x14ac:dyDescent="0.25">
      <c r="A1" s="15"/>
      <c r="B1" s="15"/>
      <c r="C1" s="15"/>
      <c r="D1" s="15"/>
      <c r="E1" s="34"/>
      <c r="F1" s="21" t="s">
        <v>0</v>
      </c>
      <c r="G1" s="12"/>
      <c r="H1" s="15"/>
      <c r="I1" s="15"/>
      <c r="J1" s="15"/>
      <c r="K1" s="5"/>
      <c r="L1" s="124"/>
      <c r="M1" s="125"/>
      <c r="N1" s="15"/>
      <c r="O1" s="5"/>
      <c r="P1" s="15"/>
      <c r="Q1" s="15"/>
      <c r="R1" s="5"/>
      <c r="S1" s="5"/>
      <c r="T1" s="34"/>
      <c r="U1" s="34"/>
      <c r="V1" s="29"/>
      <c r="W1" s="127"/>
      <c r="X1" s="128" t="s">
        <v>1</v>
      </c>
      <c r="Y1" s="129"/>
      <c r="Z1" s="130"/>
      <c r="AA1" s="131"/>
      <c r="AB1" s="131"/>
      <c r="AC1" s="132" t="s">
        <v>2</v>
      </c>
      <c r="AD1" s="133"/>
      <c r="AE1" s="134"/>
      <c r="AF1" s="135"/>
      <c r="AG1" s="136"/>
      <c r="AH1" s="137" t="s">
        <v>3</v>
      </c>
      <c r="AI1" s="137"/>
      <c r="AJ1" s="137"/>
      <c r="AK1" s="138"/>
      <c r="AL1" s="169"/>
    </row>
    <row r="2" spans="1:38" s="139" customFormat="1" ht="45" x14ac:dyDescent="0.2">
      <c r="A2" s="63"/>
      <c r="B2" s="63"/>
      <c r="C2" s="63"/>
      <c r="D2" s="63"/>
      <c r="E2" s="63" t="s">
        <v>4</v>
      </c>
      <c r="F2" s="14"/>
      <c r="G2" s="13"/>
      <c r="H2" s="2"/>
      <c r="I2" s="2"/>
      <c r="J2" s="2"/>
      <c r="K2" s="2"/>
      <c r="L2" s="126"/>
      <c r="M2" s="126"/>
      <c r="N2" s="2"/>
      <c r="O2" s="2"/>
      <c r="P2" s="2"/>
      <c r="Q2" s="2"/>
      <c r="R2" s="2"/>
      <c r="S2" s="2"/>
      <c r="T2" s="61"/>
      <c r="U2" s="61"/>
      <c r="V2" s="31"/>
      <c r="W2" s="172"/>
      <c r="X2" s="173" t="s">
        <v>5</v>
      </c>
      <c r="Y2" s="174"/>
      <c r="Z2" s="175" t="s">
        <v>6</v>
      </c>
      <c r="AA2" s="176"/>
      <c r="AB2" s="176"/>
      <c r="AC2" s="177" t="s">
        <v>5</v>
      </c>
      <c r="AD2" s="178"/>
      <c r="AE2" s="179" t="s">
        <v>6</v>
      </c>
      <c r="AF2" s="180"/>
      <c r="AG2" s="181"/>
      <c r="AH2" s="182" t="s">
        <v>5</v>
      </c>
      <c r="AI2" s="182"/>
      <c r="AJ2" s="183" t="s">
        <v>6</v>
      </c>
      <c r="AK2" s="184"/>
      <c r="AL2" s="201"/>
    </row>
    <row r="3" spans="1:38" s="200" customFormat="1" ht="75" x14ac:dyDescent="0.25">
      <c r="A3" s="185" t="s">
        <v>7</v>
      </c>
      <c r="B3" s="185" t="s">
        <v>8</v>
      </c>
      <c r="C3" s="185" t="s">
        <v>9</v>
      </c>
      <c r="D3" s="185" t="s">
        <v>10</v>
      </c>
      <c r="E3" s="185" t="s">
        <v>11</v>
      </c>
      <c r="F3" s="186" t="s">
        <v>12</v>
      </c>
      <c r="G3" s="185" t="s">
        <v>13</v>
      </c>
      <c r="H3" s="185" t="s">
        <v>14</v>
      </c>
      <c r="I3" s="185" t="s">
        <v>15</v>
      </c>
      <c r="J3" s="185" t="s">
        <v>16</v>
      </c>
      <c r="K3" s="185" t="s">
        <v>17</v>
      </c>
      <c r="L3" s="185" t="s">
        <v>18</v>
      </c>
      <c r="M3" s="185" t="s">
        <v>19</v>
      </c>
      <c r="N3" s="187" t="s">
        <v>20</v>
      </c>
      <c r="O3" s="185" t="s">
        <v>21</v>
      </c>
      <c r="P3" s="188" t="s">
        <v>22</v>
      </c>
      <c r="Q3" s="188" t="s">
        <v>23</v>
      </c>
      <c r="R3" s="185" t="s">
        <v>24</v>
      </c>
      <c r="S3" s="185" t="s">
        <v>466</v>
      </c>
      <c r="T3" s="185" t="s">
        <v>26</v>
      </c>
      <c r="U3" s="185" t="s">
        <v>799</v>
      </c>
      <c r="V3" s="189" t="s">
        <v>27</v>
      </c>
      <c r="W3" s="190" t="s">
        <v>28</v>
      </c>
      <c r="X3" s="191" t="s">
        <v>29</v>
      </c>
      <c r="Y3" s="192" t="s">
        <v>30</v>
      </c>
      <c r="Z3" s="191" t="s">
        <v>31</v>
      </c>
      <c r="AA3" s="193" t="s">
        <v>30</v>
      </c>
      <c r="AB3" s="193" t="s">
        <v>32</v>
      </c>
      <c r="AC3" s="194" t="s">
        <v>29</v>
      </c>
      <c r="AD3" s="195" t="s">
        <v>30</v>
      </c>
      <c r="AE3" s="196" t="s">
        <v>31</v>
      </c>
      <c r="AF3" s="194" t="s">
        <v>30</v>
      </c>
      <c r="AG3" s="194" t="s">
        <v>32</v>
      </c>
      <c r="AH3" s="197" t="s">
        <v>29</v>
      </c>
      <c r="AI3" s="197" t="s">
        <v>30</v>
      </c>
      <c r="AJ3" s="197" t="s">
        <v>31</v>
      </c>
      <c r="AK3" s="198" t="s">
        <v>30</v>
      </c>
      <c r="AL3" s="197" t="s">
        <v>32</v>
      </c>
    </row>
    <row r="4" spans="1:38" s="139" customFormat="1" ht="24.75" customHeight="1" x14ac:dyDescent="0.2">
      <c r="A4" s="108" t="s">
        <v>255</v>
      </c>
      <c r="B4" s="108" t="s">
        <v>258</v>
      </c>
      <c r="C4" s="108" t="s">
        <v>558</v>
      </c>
      <c r="D4" s="202"/>
      <c r="E4" s="73" t="s">
        <v>567</v>
      </c>
      <c r="F4" s="26"/>
      <c r="G4" s="53"/>
      <c r="H4" s="108" t="s">
        <v>113</v>
      </c>
      <c r="I4" s="4" t="s">
        <v>34</v>
      </c>
      <c r="J4" s="158" t="s">
        <v>35</v>
      </c>
      <c r="K4" s="56">
        <v>2</v>
      </c>
      <c r="L4" s="4" t="s">
        <v>289</v>
      </c>
      <c r="M4" s="56" t="s">
        <v>62</v>
      </c>
      <c r="N4" s="159" t="s">
        <v>42</v>
      </c>
      <c r="O4" s="19" t="s">
        <v>39</v>
      </c>
      <c r="P4" s="79" t="s">
        <v>63</v>
      </c>
      <c r="Q4" s="28"/>
      <c r="R4" s="56" t="str">
        <f>_xlfn.CONCAT(I4,"-",J4,"-",K4,"-",L4,"-",M4,"-",N4,"-",O4,"-",P4)</f>
        <v>PER-E-2-U2-FLD-001-00-VHHR</v>
      </c>
      <c r="S4" s="111" t="s">
        <v>590</v>
      </c>
      <c r="T4" s="111" t="s">
        <v>64</v>
      </c>
      <c r="U4" s="111"/>
      <c r="V4" s="160"/>
      <c r="W4" s="111" t="s">
        <v>750</v>
      </c>
      <c r="X4" s="161"/>
      <c r="Y4" s="162"/>
      <c r="Z4" s="163"/>
      <c r="AA4" s="164"/>
      <c r="AB4" s="164"/>
      <c r="AC4" s="165"/>
      <c r="AD4" s="166"/>
      <c r="AE4" s="167"/>
      <c r="AF4" s="165"/>
      <c r="AG4" s="168"/>
      <c r="AH4" s="169"/>
      <c r="AI4" s="169"/>
      <c r="AJ4" s="169"/>
      <c r="AK4" s="199"/>
      <c r="AL4" s="169"/>
    </row>
    <row r="5" spans="1:38" s="139" customFormat="1" ht="24.75" customHeight="1" x14ac:dyDescent="0.2">
      <c r="A5" s="108" t="s">
        <v>255</v>
      </c>
      <c r="B5" s="108" t="s">
        <v>258</v>
      </c>
      <c r="C5" s="108" t="s">
        <v>558</v>
      </c>
      <c r="D5" s="202" t="s">
        <v>800</v>
      </c>
      <c r="E5" s="73" t="s">
        <v>568</v>
      </c>
      <c r="F5" s="26"/>
      <c r="G5" s="53"/>
      <c r="H5" s="108" t="s">
        <v>113</v>
      </c>
      <c r="I5" s="4" t="s">
        <v>34</v>
      </c>
      <c r="J5" s="158" t="s">
        <v>35</v>
      </c>
      <c r="K5" s="56">
        <v>2</v>
      </c>
      <c r="L5" s="4" t="s">
        <v>289</v>
      </c>
      <c r="M5" s="56" t="s">
        <v>50</v>
      </c>
      <c r="N5" s="159" t="s">
        <v>42</v>
      </c>
      <c r="O5" s="19" t="s">
        <v>39</v>
      </c>
      <c r="P5" s="79" t="s">
        <v>63</v>
      </c>
      <c r="Q5" s="28"/>
      <c r="R5" s="56" t="str">
        <f t="shared" ref="R5:R26" si="0">_xlfn.CONCAT(I5,"-",J5,"-",K5,"-",L5,"-",M5,"-",N5,"-",O5,"-",P5)</f>
        <v>PER-E-2-U2-SCH-001-00-VHHR</v>
      </c>
      <c r="S5" s="111" t="s">
        <v>591</v>
      </c>
      <c r="T5" s="111" t="s">
        <v>66</v>
      </c>
      <c r="U5" s="111" t="s">
        <v>801</v>
      </c>
      <c r="V5" s="160"/>
      <c r="W5" s="111" t="s">
        <v>750</v>
      </c>
      <c r="X5" s="161"/>
      <c r="Y5" s="162"/>
      <c r="Z5" s="163"/>
      <c r="AA5" s="164"/>
      <c r="AB5" s="164"/>
      <c r="AC5" s="165"/>
      <c r="AD5" s="166"/>
      <c r="AE5" s="167"/>
      <c r="AF5" s="165"/>
      <c r="AG5" s="168"/>
      <c r="AH5" s="169"/>
      <c r="AI5" s="169"/>
      <c r="AJ5" s="169"/>
      <c r="AK5" s="199"/>
      <c r="AL5" s="169"/>
    </row>
    <row r="6" spans="1:38" s="139" customFormat="1" ht="24.75" customHeight="1" x14ac:dyDescent="0.2">
      <c r="A6" s="108" t="s">
        <v>255</v>
      </c>
      <c r="B6" s="108" t="s">
        <v>258</v>
      </c>
      <c r="C6" s="108" t="s">
        <v>559</v>
      </c>
      <c r="D6" s="123"/>
      <c r="E6" s="73" t="s">
        <v>569</v>
      </c>
      <c r="F6" s="26"/>
      <c r="G6" s="53"/>
      <c r="H6" s="108" t="s">
        <v>113</v>
      </c>
      <c r="I6" s="4" t="s">
        <v>34</v>
      </c>
      <c r="J6" s="158" t="s">
        <v>35</v>
      </c>
      <c r="K6" s="56">
        <v>2</v>
      </c>
      <c r="L6" s="4" t="s">
        <v>289</v>
      </c>
      <c r="M6" s="56" t="s">
        <v>68</v>
      </c>
      <c r="N6" s="159" t="s">
        <v>42</v>
      </c>
      <c r="O6" s="19" t="s">
        <v>39</v>
      </c>
      <c r="P6" s="79" t="s">
        <v>63</v>
      </c>
      <c r="Q6" s="28"/>
      <c r="R6" s="56" t="str">
        <f t="shared" si="0"/>
        <v>PER-E-2-U2-ASB-001-00-VHHR</v>
      </c>
      <c r="S6" s="144" t="s">
        <v>592</v>
      </c>
      <c r="T6" s="144" t="s">
        <v>69</v>
      </c>
      <c r="U6" s="144"/>
      <c r="V6" s="160"/>
      <c r="W6" s="111" t="s">
        <v>751</v>
      </c>
      <c r="X6" s="161"/>
      <c r="Y6" s="162"/>
      <c r="Z6" s="163"/>
      <c r="AA6" s="164"/>
      <c r="AB6" s="164"/>
      <c r="AC6" s="165"/>
      <c r="AD6" s="166"/>
      <c r="AE6" s="167"/>
      <c r="AF6" s="165"/>
      <c r="AG6" s="168"/>
      <c r="AH6" s="169"/>
      <c r="AI6" s="169"/>
      <c r="AJ6" s="169"/>
      <c r="AK6" s="199"/>
      <c r="AL6" s="169"/>
    </row>
    <row r="7" spans="1:38" s="139" customFormat="1" ht="24.75" customHeight="1" x14ac:dyDescent="0.2">
      <c r="A7" s="108" t="s">
        <v>255</v>
      </c>
      <c r="B7" s="108" t="s">
        <v>258</v>
      </c>
      <c r="C7" s="108" t="s">
        <v>559</v>
      </c>
      <c r="D7" s="123"/>
      <c r="E7" s="73" t="s">
        <v>570</v>
      </c>
      <c r="F7" s="26"/>
      <c r="G7" s="53"/>
      <c r="H7" s="108" t="s">
        <v>113</v>
      </c>
      <c r="I7" s="4" t="s">
        <v>34</v>
      </c>
      <c r="J7" s="158" t="s">
        <v>35</v>
      </c>
      <c r="K7" s="56">
        <v>2</v>
      </c>
      <c r="L7" s="4" t="s">
        <v>289</v>
      </c>
      <c r="M7" s="56" t="s">
        <v>71</v>
      </c>
      <c r="N7" s="159" t="s">
        <v>42</v>
      </c>
      <c r="O7" s="19" t="s">
        <v>39</v>
      </c>
      <c r="P7" s="79" t="s">
        <v>63</v>
      </c>
      <c r="Q7" s="28"/>
      <c r="R7" s="56" t="str">
        <f t="shared" si="0"/>
        <v>PER-E-2-U2-LST-001-00-VHHR</v>
      </c>
      <c r="S7" s="111" t="s">
        <v>593</v>
      </c>
      <c r="T7" s="111" t="s">
        <v>72</v>
      </c>
      <c r="U7" s="111"/>
      <c r="V7" s="160"/>
      <c r="W7" s="111" t="s">
        <v>753</v>
      </c>
      <c r="X7" s="161"/>
      <c r="Y7" s="162"/>
      <c r="Z7" s="163"/>
      <c r="AA7" s="164"/>
      <c r="AB7" s="164"/>
      <c r="AC7" s="165"/>
      <c r="AD7" s="166"/>
      <c r="AE7" s="167"/>
      <c r="AF7" s="165"/>
      <c r="AG7" s="168"/>
      <c r="AH7" s="169"/>
      <c r="AI7" s="169"/>
      <c r="AJ7" s="169"/>
      <c r="AK7" s="199"/>
      <c r="AL7" s="169"/>
    </row>
    <row r="8" spans="1:38" s="139" customFormat="1" ht="24.75" customHeight="1" x14ac:dyDescent="0.2">
      <c r="A8" s="108" t="s">
        <v>255</v>
      </c>
      <c r="B8" s="108" t="s">
        <v>258</v>
      </c>
      <c r="C8" s="108" t="s">
        <v>559</v>
      </c>
      <c r="D8" s="123"/>
      <c r="E8" s="73" t="s">
        <v>571</v>
      </c>
      <c r="F8" s="26"/>
      <c r="G8" s="53"/>
      <c r="H8" s="108" t="s">
        <v>113</v>
      </c>
      <c r="I8" s="4" t="s">
        <v>34</v>
      </c>
      <c r="J8" s="158" t="s">
        <v>35</v>
      </c>
      <c r="K8" s="56">
        <v>2</v>
      </c>
      <c r="L8" s="4" t="s">
        <v>289</v>
      </c>
      <c r="M8" s="56" t="s">
        <v>50</v>
      </c>
      <c r="N8" s="159" t="s">
        <v>38</v>
      </c>
      <c r="O8" s="19" t="s">
        <v>39</v>
      </c>
      <c r="P8" s="79" t="s">
        <v>63</v>
      </c>
      <c r="Q8" s="28"/>
      <c r="R8" s="56" t="str">
        <f t="shared" si="0"/>
        <v>PER-E-2-U2-SCH-002-00-VHHR</v>
      </c>
      <c r="S8" s="144" t="s">
        <v>594</v>
      </c>
      <c r="T8" s="144" t="s">
        <v>74</v>
      </c>
      <c r="U8" s="144"/>
      <c r="V8" s="160"/>
      <c r="W8" s="111" t="s">
        <v>754</v>
      </c>
      <c r="X8" s="161"/>
      <c r="Y8" s="162"/>
      <c r="Z8" s="163"/>
      <c r="AA8" s="164"/>
      <c r="AB8" s="164"/>
      <c r="AC8" s="165"/>
      <c r="AD8" s="166"/>
      <c r="AE8" s="167"/>
      <c r="AF8" s="165"/>
      <c r="AG8" s="168"/>
      <c r="AH8" s="169"/>
      <c r="AI8" s="169"/>
      <c r="AJ8" s="169"/>
      <c r="AK8" s="199"/>
      <c r="AL8" s="169"/>
    </row>
    <row r="9" spans="1:38" s="139" customFormat="1" ht="24.75" customHeight="1" x14ac:dyDescent="0.2">
      <c r="A9" s="108" t="s">
        <v>255</v>
      </c>
      <c r="B9" s="108" t="s">
        <v>258</v>
      </c>
      <c r="C9" s="108" t="s">
        <v>559</v>
      </c>
      <c r="D9" s="123"/>
      <c r="E9" s="73" t="s">
        <v>572</v>
      </c>
      <c r="F9" s="26"/>
      <c r="G9" s="53"/>
      <c r="H9" s="108" t="s">
        <v>113</v>
      </c>
      <c r="I9" s="4" t="s">
        <v>34</v>
      </c>
      <c r="J9" s="158" t="s">
        <v>35</v>
      </c>
      <c r="K9" s="56">
        <v>2</v>
      </c>
      <c r="L9" s="4" t="s">
        <v>289</v>
      </c>
      <c r="M9" s="56" t="s">
        <v>76</v>
      </c>
      <c r="N9" s="159" t="s">
        <v>42</v>
      </c>
      <c r="O9" s="19" t="s">
        <v>39</v>
      </c>
      <c r="P9" s="79" t="s">
        <v>63</v>
      </c>
      <c r="Q9" s="28"/>
      <c r="R9" s="56" t="str">
        <f t="shared" si="0"/>
        <v>PER-E-2-U2-ROU-001-00-VHHR</v>
      </c>
      <c r="S9" s="171" t="s">
        <v>595</v>
      </c>
      <c r="T9" s="171" t="s">
        <v>77</v>
      </c>
      <c r="U9" s="171"/>
      <c r="V9" s="160"/>
      <c r="W9" s="111" t="s">
        <v>753</v>
      </c>
      <c r="X9" s="161"/>
      <c r="Y9" s="162"/>
      <c r="Z9" s="163"/>
      <c r="AA9" s="164"/>
      <c r="AB9" s="164"/>
      <c r="AC9" s="165"/>
      <c r="AD9" s="166"/>
      <c r="AE9" s="167"/>
      <c r="AF9" s="165"/>
      <c r="AG9" s="168"/>
      <c r="AH9" s="169"/>
      <c r="AI9" s="169"/>
      <c r="AJ9" s="169"/>
      <c r="AK9" s="199"/>
      <c r="AL9" s="169"/>
    </row>
    <row r="10" spans="1:38" s="139" customFormat="1" ht="24.75" customHeight="1" x14ac:dyDescent="0.2">
      <c r="A10" s="108" t="s">
        <v>256</v>
      </c>
      <c r="B10" s="108" t="s">
        <v>256</v>
      </c>
      <c r="C10" s="108" t="s">
        <v>562</v>
      </c>
      <c r="D10" s="207"/>
      <c r="E10" s="73" t="s">
        <v>573</v>
      </c>
      <c r="F10" s="26"/>
      <c r="G10" s="53"/>
      <c r="H10" s="108" t="s">
        <v>113</v>
      </c>
      <c r="I10" s="4" t="s">
        <v>34</v>
      </c>
      <c r="J10" s="158" t="s">
        <v>35</v>
      </c>
      <c r="K10" s="56">
        <v>2</v>
      </c>
      <c r="L10" s="4" t="s">
        <v>289</v>
      </c>
      <c r="M10" s="56" t="s">
        <v>79</v>
      </c>
      <c r="N10" s="159" t="s">
        <v>42</v>
      </c>
      <c r="O10" s="19" t="s">
        <v>39</v>
      </c>
      <c r="P10" s="79" t="s">
        <v>63</v>
      </c>
      <c r="Q10" s="28"/>
      <c r="R10" s="56" t="str">
        <f t="shared" si="0"/>
        <v>PER-E-2-U2-FAT-001-00-VHHR</v>
      </c>
      <c r="S10" s="111" t="s">
        <v>770</v>
      </c>
      <c r="T10" s="111" t="s">
        <v>80</v>
      </c>
      <c r="U10" s="111"/>
      <c r="V10" s="160"/>
      <c r="W10" s="111" t="s">
        <v>764</v>
      </c>
      <c r="X10" s="161"/>
      <c r="Y10" s="162"/>
      <c r="Z10" s="163"/>
      <c r="AA10" s="164"/>
      <c r="AB10" s="164"/>
      <c r="AC10" s="165"/>
      <c r="AD10" s="166"/>
      <c r="AE10" s="167"/>
      <c r="AF10" s="165"/>
      <c r="AG10" s="168"/>
      <c r="AH10" s="169"/>
      <c r="AI10" s="169"/>
      <c r="AJ10" s="169"/>
      <c r="AK10" s="199"/>
      <c r="AL10" s="169"/>
    </row>
    <row r="11" spans="1:38" s="139" customFormat="1" ht="24.75" customHeight="1" x14ac:dyDescent="0.2">
      <c r="A11" s="108" t="s">
        <v>256</v>
      </c>
      <c r="B11" s="108" t="s">
        <v>256</v>
      </c>
      <c r="C11" s="108" t="s">
        <v>562</v>
      </c>
      <c r="D11" s="207"/>
      <c r="E11" s="73" t="s">
        <v>574</v>
      </c>
      <c r="F11" s="26"/>
      <c r="G11" s="53"/>
      <c r="H11" s="108" t="s">
        <v>113</v>
      </c>
      <c r="I11" s="4" t="s">
        <v>34</v>
      </c>
      <c r="J11" s="158" t="s">
        <v>35</v>
      </c>
      <c r="K11" s="56">
        <v>2</v>
      </c>
      <c r="L11" s="4" t="s">
        <v>289</v>
      </c>
      <c r="M11" s="56" t="s">
        <v>82</v>
      </c>
      <c r="N11" s="159" t="s">
        <v>42</v>
      </c>
      <c r="O11" s="19" t="s">
        <v>39</v>
      </c>
      <c r="P11" s="79" t="s">
        <v>63</v>
      </c>
      <c r="Q11" s="28"/>
      <c r="R11" s="56" t="str">
        <f t="shared" si="0"/>
        <v>PER-E-2-U2-CMM-001-00-VHHR</v>
      </c>
      <c r="S11" s="111" t="s">
        <v>769</v>
      </c>
      <c r="T11" s="111" t="s">
        <v>83</v>
      </c>
      <c r="U11" s="111"/>
      <c r="V11" s="160"/>
      <c r="W11" s="111" t="s">
        <v>764</v>
      </c>
      <c r="X11" s="161"/>
      <c r="Y11" s="162"/>
      <c r="Z11" s="163"/>
      <c r="AA11" s="164"/>
      <c r="AB11" s="164"/>
      <c r="AC11" s="165"/>
      <c r="AD11" s="166"/>
      <c r="AE11" s="167"/>
      <c r="AF11" s="165"/>
      <c r="AG11" s="168"/>
      <c r="AH11" s="169"/>
      <c r="AI11" s="169"/>
      <c r="AJ11" s="169"/>
      <c r="AK11" s="199"/>
      <c r="AL11" s="169"/>
    </row>
    <row r="12" spans="1:38" s="139" customFormat="1" ht="24.75" customHeight="1" x14ac:dyDescent="0.2">
      <c r="A12" s="108" t="s">
        <v>258</v>
      </c>
      <c r="B12" s="108" t="s">
        <v>256</v>
      </c>
      <c r="C12" s="108" t="s">
        <v>562</v>
      </c>
      <c r="D12" s="205"/>
      <c r="E12" s="73" t="s">
        <v>575</v>
      </c>
      <c r="F12" s="26"/>
      <c r="G12" s="53"/>
      <c r="H12" s="108" t="s">
        <v>113</v>
      </c>
      <c r="I12" s="4" t="s">
        <v>34</v>
      </c>
      <c r="J12" s="158" t="s">
        <v>35</v>
      </c>
      <c r="K12" s="56">
        <v>2</v>
      </c>
      <c r="L12" s="4" t="s">
        <v>289</v>
      </c>
      <c r="M12" s="56" t="s">
        <v>85</v>
      </c>
      <c r="N12" s="159" t="s">
        <v>38</v>
      </c>
      <c r="O12" s="19" t="s">
        <v>39</v>
      </c>
      <c r="P12" s="79" t="s">
        <v>63</v>
      </c>
      <c r="Q12" s="28"/>
      <c r="R12" s="56" t="str">
        <f t="shared" si="0"/>
        <v>PER-E-2-U2-MAN-002-00-VHHR</v>
      </c>
      <c r="S12" s="111"/>
      <c r="T12" s="111" t="s">
        <v>86</v>
      </c>
      <c r="U12" s="111"/>
      <c r="V12" s="160"/>
      <c r="W12" s="111" t="s">
        <v>755</v>
      </c>
      <c r="X12" s="161"/>
      <c r="Y12" s="162"/>
      <c r="Z12" s="163"/>
      <c r="AA12" s="164"/>
      <c r="AB12" s="164"/>
      <c r="AC12" s="165"/>
      <c r="AD12" s="166"/>
      <c r="AE12" s="167"/>
      <c r="AF12" s="165"/>
      <c r="AG12" s="168"/>
      <c r="AH12" s="169"/>
      <c r="AI12" s="169"/>
      <c r="AJ12" s="169"/>
      <c r="AK12" s="199"/>
      <c r="AL12" s="169"/>
    </row>
    <row r="13" spans="1:38" s="139" customFormat="1" ht="24.75" customHeight="1" x14ac:dyDescent="0.2">
      <c r="A13" s="108" t="s">
        <v>258</v>
      </c>
      <c r="B13" s="108" t="s">
        <v>256</v>
      </c>
      <c r="C13" s="108" t="s">
        <v>562</v>
      </c>
      <c r="D13" s="205"/>
      <c r="E13" s="73" t="s">
        <v>576</v>
      </c>
      <c r="F13" s="26"/>
      <c r="G13" s="53"/>
      <c r="H13" s="108" t="s">
        <v>113</v>
      </c>
      <c r="I13" s="4" t="s">
        <v>34</v>
      </c>
      <c r="J13" s="158" t="s">
        <v>35</v>
      </c>
      <c r="K13" s="56">
        <v>2</v>
      </c>
      <c r="L13" s="4" t="s">
        <v>289</v>
      </c>
      <c r="M13" s="56" t="s">
        <v>85</v>
      </c>
      <c r="N13" s="159" t="s">
        <v>42</v>
      </c>
      <c r="O13" s="19" t="s">
        <v>39</v>
      </c>
      <c r="P13" s="79" t="s">
        <v>63</v>
      </c>
      <c r="Q13" s="28"/>
      <c r="R13" s="56" t="str">
        <f t="shared" si="0"/>
        <v>PER-E-2-U2-MAN-001-00-VHHR</v>
      </c>
      <c r="S13" s="111"/>
      <c r="T13" s="111" t="s">
        <v>88</v>
      </c>
      <c r="U13" s="111"/>
      <c r="V13" s="160"/>
      <c r="W13" s="111" t="s">
        <v>756</v>
      </c>
      <c r="X13" s="161" t="s">
        <v>802</v>
      </c>
      <c r="Y13" s="162"/>
      <c r="Z13" s="163"/>
      <c r="AA13" s="164"/>
      <c r="AB13" s="164"/>
      <c r="AC13" s="165"/>
      <c r="AD13" s="166"/>
      <c r="AE13" s="167"/>
      <c r="AF13" s="165"/>
      <c r="AG13" s="168"/>
      <c r="AH13" s="169"/>
      <c r="AI13" s="169"/>
      <c r="AJ13" s="169"/>
      <c r="AK13" s="199"/>
      <c r="AL13" s="169"/>
    </row>
    <row r="14" spans="1:38" s="139" customFormat="1" ht="24.75" customHeight="1" x14ac:dyDescent="0.2">
      <c r="A14" s="108" t="s">
        <v>255</v>
      </c>
      <c r="B14" s="108" t="s">
        <v>258</v>
      </c>
      <c r="C14" s="108" t="s">
        <v>558</v>
      </c>
      <c r="D14" s="205"/>
      <c r="E14" s="73" t="s">
        <v>577</v>
      </c>
      <c r="F14" s="26"/>
      <c r="G14" s="53"/>
      <c r="H14" s="108" t="s">
        <v>113</v>
      </c>
      <c r="I14" s="4" t="s">
        <v>34</v>
      </c>
      <c r="J14" s="158" t="s">
        <v>35</v>
      </c>
      <c r="K14" s="56">
        <v>2</v>
      </c>
      <c r="L14" s="4" t="s">
        <v>289</v>
      </c>
      <c r="M14" s="56" t="s">
        <v>47</v>
      </c>
      <c r="N14" s="159" t="s">
        <v>91</v>
      </c>
      <c r="O14" s="19" t="s">
        <v>39</v>
      </c>
      <c r="P14" s="79" t="s">
        <v>63</v>
      </c>
      <c r="Q14" s="28"/>
      <c r="R14" s="56" t="str">
        <f t="shared" si="0"/>
        <v>PER-E-2-U2-SOF-100-00-VHHR</v>
      </c>
      <c r="S14" s="111" t="s">
        <v>766</v>
      </c>
      <c r="T14" s="111" t="s">
        <v>92</v>
      </c>
      <c r="U14" s="111"/>
      <c r="V14" s="160"/>
      <c r="W14" s="111" t="s">
        <v>757</v>
      </c>
      <c r="X14" s="161" t="s">
        <v>802</v>
      </c>
      <c r="Y14" s="162"/>
      <c r="Z14" s="163"/>
      <c r="AA14" s="164"/>
      <c r="AB14" s="164"/>
      <c r="AC14" s="165"/>
      <c r="AD14" s="166"/>
      <c r="AE14" s="167"/>
      <c r="AF14" s="165"/>
      <c r="AG14" s="168"/>
      <c r="AH14" s="169"/>
      <c r="AI14" s="169"/>
      <c r="AJ14" s="169"/>
      <c r="AK14" s="199"/>
      <c r="AL14" s="169"/>
    </row>
    <row r="15" spans="1:38" s="139" customFormat="1" ht="24.75" customHeight="1" x14ac:dyDescent="0.2">
      <c r="A15" s="108" t="s">
        <v>255</v>
      </c>
      <c r="B15" s="108" t="s">
        <v>258</v>
      </c>
      <c r="C15" s="108" t="s">
        <v>558</v>
      </c>
      <c r="D15" s="205" t="s">
        <v>800</v>
      </c>
      <c r="E15" s="73" t="s">
        <v>578</v>
      </c>
      <c r="F15" s="26"/>
      <c r="G15" s="53"/>
      <c r="H15" s="108" t="s">
        <v>113</v>
      </c>
      <c r="I15" s="4" t="s">
        <v>34</v>
      </c>
      <c r="J15" s="158" t="s">
        <v>35</v>
      </c>
      <c r="K15" s="56">
        <v>2</v>
      </c>
      <c r="L15" s="4" t="s">
        <v>289</v>
      </c>
      <c r="M15" s="56" t="s">
        <v>47</v>
      </c>
      <c r="N15" s="159" t="s">
        <v>51</v>
      </c>
      <c r="O15" s="19" t="s">
        <v>39</v>
      </c>
      <c r="P15" s="79" t="s">
        <v>63</v>
      </c>
      <c r="Q15" s="28"/>
      <c r="R15" s="56" t="str">
        <f t="shared" si="0"/>
        <v>PER-E-2-U2-SOF-101-00-VHHR</v>
      </c>
      <c r="S15" s="111" t="s">
        <v>596</v>
      </c>
      <c r="T15" s="111" t="s">
        <v>94</v>
      </c>
      <c r="U15" s="111" t="s">
        <v>803</v>
      </c>
      <c r="V15" s="160"/>
      <c r="W15" s="111" t="s">
        <v>759</v>
      </c>
      <c r="X15" s="161"/>
      <c r="Y15" s="162"/>
      <c r="Z15" s="163"/>
      <c r="AA15" s="164"/>
      <c r="AB15" s="164"/>
      <c r="AC15" s="165"/>
      <c r="AD15" s="166"/>
      <c r="AE15" s="167"/>
      <c r="AF15" s="165"/>
      <c r="AG15" s="168"/>
      <c r="AH15" s="169"/>
      <c r="AI15" s="169"/>
      <c r="AJ15" s="169"/>
      <c r="AK15" s="199"/>
      <c r="AL15" s="169"/>
    </row>
    <row r="16" spans="1:38" s="139" customFormat="1" ht="24.75" customHeight="1" x14ac:dyDescent="0.2">
      <c r="A16" s="108" t="s">
        <v>255</v>
      </c>
      <c r="B16" s="108" t="s">
        <v>258</v>
      </c>
      <c r="C16" s="108" t="s">
        <v>560</v>
      </c>
      <c r="D16" s="205" t="s">
        <v>800</v>
      </c>
      <c r="E16" s="73" t="s">
        <v>579</v>
      </c>
      <c r="F16" s="26"/>
      <c r="G16" s="53"/>
      <c r="H16" s="108" t="s">
        <v>113</v>
      </c>
      <c r="I16" s="4" t="s">
        <v>34</v>
      </c>
      <c r="J16" s="158" t="s">
        <v>35</v>
      </c>
      <c r="K16" s="56">
        <v>8</v>
      </c>
      <c r="L16" s="4" t="s">
        <v>289</v>
      </c>
      <c r="M16" s="56" t="s">
        <v>50</v>
      </c>
      <c r="N16" s="159" t="s">
        <v>42</v>
      </c>
      <c r="O16" s="19" t="s">
        <v>39</v>
      </c>
      <c r="P16" s="79" t="s">
        <v>63</v>
      </c>
      <c r="Q16" s="28"/>
      <c r="R16" s="56" t="str">
        <f t="shared" si="0"/>
        <v>PER-E-8-U2-SCH-001-00-VHHR</v>
      </c>
      <c r="S16" s="111" t="s">
        <v>597</v>
      </c>
      <c r="T16" s="111" t="s">
        <v>96</v>
      </c>
      <c r="U16" s="111" t="s">
        <v>804</v>
      </c>
      <c r="V16" s="160"/>
      <c r="W16" s="111" t="s">
        <v>754</v>
      </c>
      <c r="X16" s="161"/>
      <c r="Y16" s="162"/>
      <c r="Z16" s="163"/>
      <c r="AA16" s="164"/>
      <c r="AB16" s="164"/>
      <c r="AC16" s="165"/>
      <c r="AD16" s="166"/>
      <c r="AE16" s="167"/>
      <c r="AF16" s="165"/>
      <c r="AG16" s="168"/>
      <c r="AH16" s="169"/>
      <c r="AI16" s="169"/>
      <c r="AJ16" s="169"/>
      <c r="AK16" s="199"/>
      <c r="AL16" s="169"/>
    </row>
    <row r="17" spans="1:38" s="139" customFormat="1" ht="24.75" customHeight="1" x14ac:dyDescent="0.2">
      <c r="A17" s="108" t="s">
        <v>255</v>
      </c>
      <c r="B17" s="108" t="s">
        <v>258</v>
      </c>
      <c r="C17" s="108" t="s">
        <v>560</v>
      </c>
      <c r="D17" s="123"/>
      <c r="E17" s="73" t="s">
        <v>580</v>
      </c>
      <c r="F17" s="26"/>
      <c r="G17" s="53"/>
      <c r="H17" s="108" t="s">
        <v>113</v>
      </c>
      <c r="I17" s="4" t="s">
        <v>34</v>
      </c>
      <c r="J17" s="158" t="s">
        <v>35</v>
      </c>
      <c r="K17" s="56">
        <v>8</v>
      </c>
      <c r="L17" s="4" t="s">
        <v>289</v>
      </c>
      <c r="M17" s="56" t="s">
        <v>68</v>
      </c>
      <c r="N17" s="159" t="s">
        <v>42</v>
      </c>
      <c r="O17" s="19" t="s">
        <v>39</v>
      </c>
      <c r="P17" s="79" t="s">
        <v>63</v>
      </c>
      <c r="Q17" s="28"/>
      <c r="R17" s="56" t="str">
        <f t="shared" si="0"/>
        <v>PER-E-8-U2-ASB-001-00-VHHR</v>
      </c>
      <c r="S17" s="111" t="s">
        <v>598</v>
      </c>
      <c r="T17" s="111" t="s">
        <v>69</v>
      </c>
      <c r="U17" s="111"/>
      <c r="V17" s="160"/>
      <c r="W17" s="111" t="s">
        <v>751</v>
      </c>
      <c r="X17" s="161"/>
      <c r="Y17" s="162"/>
      <c r="Z17" s="163"/>
      <c r="AA17" s="164"/>
      <c r="AB17" s="164"/>
      <c r="AC17" s="165"/>
      <c r="AD17" s="166"/>
      <c r="AE17" s="167"/>
      <c r="AF17" s="165"/>
      <c r="AG17" s="168"/>
      <c r="AH17" s="169"/>
      <c r="AI17" s="169"/>
      <c r="AJ17" s="169"/>
      <c r="AK17" s="199"/>
      <c r="AL17" s="169"/>
    </row>
    <row r="18" spans="1:38" s="139" customFormat="1" ht="24.75" customHeight="1" x14ac:dyDescent="0.2">
      <c r="A18" s="108" t="s">
        <v>255</v>
      </c>
      <c r="B18" s="108" t="s">
        <v>258</v>
      </c>
      <c r="C18" s="108" t="s">
        <v>560</v>
      </c>
      <c r="D18" s="123" t="s">
        <v>407</v>
      </c>
      <c r="E18" s="73" t="s">
        <v>581</v>
      </c>
      <c r="F18" s="26"/>
      <c r="G18" s="53"/>
      <c r="H18" s="108" t="s">
        <v>113</v>
      </c>
      <c r="I18" s="4" t="s">
        <v>34</v>
      </c>
      <c r="J18" s="158" t="s">
        <v>35</v>
      </c>
      <c r="K18" s="56">
        <v>8</v>
      </c>
      <c r="L18" s="4" t="s">
        <v>289</v>
      </c>
      <c r="M18" s="56" t="s">
        <v>71</v>
      </c>
      <c r="N18" s="159" t="s">
        <v>42</v>
      </c>
      <c r="O18" s="19" t="s">
        <v>39</v>
      </c>
      <c r="P18" s="79" t="s">
        <v>63</v>
      </c>
      <c r="Q18" s="28"/>
      <c r="R18" s="56" t="str">
        <f t="shared" si="0"/>
        <v>PER-E-8-U2-LST-001-00-VHHR</v>
      </c>
      <c r="S18" s="111" t="s">
        <v>599</v>
      </c>
      <c r="T18" s="111" t="s">
        <v>99</v>
      </c>
      <c r="U18" s="111"/>
      <c r="V18" s="160"/>
      <c r="W18" s="111" t="s">
        <v>753</v>
      </c>
      <c r="X18" s="161"/>
      <c r="Y18" s="162"/>
      <c r="Z18" s="163"/>
      <c r="AA18" s="164"/>
      <c r="AB18" s="164"/>
      <c r="AC18" s="165"/>
      <c r="AD18" s="166"/>
      <c r="AE18" s="167"/>
      <c r="AF18" s="165"/>
      <c r="AG18" s="168"/>
      <c r="AH18" s="169"/>
      <c r="AI18" s="169"/>
      <c r="AJ18" s="169"/>
      <c r="AK18" s="199"/>
      <c r="AL18" s="169"/>
    </row>
    <row r="19" spans="1:38" s="139" customFormat="1" ht="24.75" customHeight="1" x14ac:dyDescent="0.2">
      <c r="A19" s="108" t="s">
        <v>255</v>
      </c>
      <c r="B19" s="108" t="s">
        <v>258</v>
      </c>
      <c r="C19" s="108" t="s">
        <v>560</v>
      </c>
      <c r="D19" s="123" t="s">
        <v>407</v>
      </c>
      <c r="E19" s="73" t="s">
        <v>582</v>
      </c>
      <c r="F19" s="26"/>
      <c r="G19" s="53"/>
      <c r="H19" s="108" t="s">
        <v>113</v>
      </c>
      <c r="I19" s="4" t="s">
        <v>34</v>
      </c>
      <c r="J19" s="158" t="s">
        <v>35</v>
      </c>
      <c r="K19" s="56">
        <v>8</v>
      </c>
      <c r="L19" s="4" t="s">
        <v>289</v>
      </c>
      <c r="M19" s="56" t="s">
        <v>76</v>
      </c>
      <c r="N19" s="159" t="s">
        <v>42</v>
      </c>
      <c r="O19" s="19" t="s">
        <v>39</v>
      </c>
      <c r="P19" s="79" t="s">
        <v>63</v>
      </c>
      <c r="Q19" s="28"/>
      <c r="R19" s="56" t="str">
        <f t="shared" si="0"/>
        <v>PER-E-8-U2-ROU-001-00-VHHR</v>
      </c>
      <c r="S19" s="111" t="s">
        <v>600</v>
      </c>
      <c r="T19" s="111" t="s">
        <v>77</v>
      </c>
      <c r="U19" s="111"/>
      <c r="V19" s="160"/>
      <c r="W19" s="111" t="s">
        <v>753</v>
      </c>
      <c r="X19" s="161"/>
      <c r="Y19" s="162"/>
      <c r="Z19" s="163"/>
      <c r="AA19" s="164"/>
      <c r="AB19" s="164"/>
      <c r="AC19" s="165"/>
      <c r="AD19" s="166"/>
      <c r="AE19" s="167"/>
      <c r="AF19" s="165"/>
      <c r="AG19" s="168"/>
      <c r="AH19" s="169"/>
      <c r="AI19" s="169"/>
      <c r="AJ19" s="169"/>
      <c r="AK19" s="199"/>
      <c r="AL19" s="169"/>
    </row>
    <row r="20" spans="1:38" s="139" customFormat="1" ht="24.75" customHeight="1" x14ac:dyDescent="0.2">
      <c r="A20" s="108" t="s">
        <v>256</v>
      </c>
      <c r="B20" s="108" t="s">
        <v>256</v>
      </c>
      <c r="C20" s="108" t="s">
        <v>561</v>
      </c>
      <c r="D20" s="262"/>
      <c r="E20" s="73" t="s">
        <v>583</v>
      </c>
      <c r="F20" s="26"/>
      <c r="G20" s="53"/>
      <c r="H20" s="108" t="s">
        <v>113</v>
      </c>
      <c r="I20" s="4" t="s">
        <v>34</v>
      </c>
      <c r="J20" s="158" t="s">
        <v>35</v>
      </c>
      <c r="K20" s="56">
        <v>8</v>
      </c>
      <c r="L20" s="4" t="s">
        <v>289</v>
      </c>
      <c r="M20" s="56" t="s">
        <v>79</v>
      </c>
      <c r="N20" s="159" t="s">
        <v>42</v>
      </c>
      <c r="O20" s="19" t="s">
        <v>39</v>
      </c>
      <c r="P20" s="79" t="s">
        <v>63</v>
      </c>
      <c r="Q20" s="28"/>
      <c r="R20" s="56" t="str">
        <f t="shared" si="0"/>
        <v>PER-E-8-U2-FAT-001-00-VHHR</v>
      </c>
      <c r="S20" s="111"/>
      <c r="T20" s="111" t="s">
        <v>102</v>
      </c>
      <c r="U20" s="111"/>
      <c r="V20" s="160"/>
      <c r="W20" s="111" t="s">
        <v>765</v>
      </c>
      <c r="X20" s="161"/>
      <c r="Y20" s="162"/>
      <c r="Z20" s="163"/>
      <c r="AA20" s="164"/>
      <c r="AB20" s="164"/>
      <c r="AC20" s="165"/>
      <c r="AD20" s="166"/>
      <c r="AE20" s="167"/>
      <c r="AF20" s="165"/>
      <c r="AG20" s="168"/>
      <c r="AH20" s="169"/>
      <c r="AI20" s="169"/>
      <c r="AJ20" s="169"/>
      <c r="AK20" s="199"/>
      <c r="AL20" s="169"/>
    </row>
    <row r="21" spans="1:38" s="139" customFormat="1" ht="24.75" customHeight="1" x14ac:dyDescent="0.2">
      <c r="A21" s="108" t="s">
        <v>255</v>
      </c>
      <c r="B21" s="108" t="s">
        <v>258</v>
      </c>
      <c r="C21" s="108" t="s">
        <v>566</v>
      </c>
      <c r="D21" s="123"/>
      <c r="E21" s="73" t="s">
        <v>584</v>
      </c>
      <c r="F21" s="26"/>
      <c r="G21" s="53"/>
      <c r="H21" s="108" t="s">
        <v>113</v>
      </c>
      <c r="I21" s="4" t="s">
        <v>34</v>
      </c>
      <c r="J21" s="158" t="s">
        <v>35</v>
      </c>
      <c r="K21" s="56">
        <v>8</v>
      </c>
      <c r="L21" s="4" t="s">
        <v>289</v>
      </c>
      <c r="M21" s="56" t="s">
        <v>47</v>
      </c>
      <c r="N21" s="159" t="s">
        <v>91</v>
      </c>
      <c r="O21" s="19" t="s">
        <v>39</v>
      </c>
      <c r="P21" s="79" t="s">
        <v>63</v>
      </c>
      <c r="Q21" s="28"/>
      <c r="R21" s="56" t="str">
        <f t="shared" si="0"/>
        <v>PER-E-8-U2-SOF-100-00-VHHR</v>
      </c>
      <c r="S21" s="111" t="s">
        <v>767</v>
      </c>
      <c r="T21" s="111" t="s">
        <v>104</v>
      </c>
      <c r="U21" s="111"/>
      <c r="V21" s="160"/>
      <c r="W21" s="111" t="s">
        <v>757</v>
      </c>
      <c r="X21" s="161"/>
      <c r="Y21" s="162"/>
      <c r="Z21" s="163"/>
      <c r="AA21" s="164"/>
      <c r="AB21" s="164"/>
      <c r="AC21" s="165"/>
      <c r="AD21" s="166"/>
      <c r="AE21" s="167"/>
      <c r="AF21" s="165"/>
      <c r="AG21" s="168"/>
      <c r="AH21" s="169"/>
      <c r="AI21" s="169"/>
      <c r="AJ21" s="169"/>
      <c r="AK21" s="199"/>
      <c r="AL21" s="169"/>
    </row>
    <row r="22" spans="1:38" s="139" customFormat="1" ht="24.75" customHeight="1" x14ac:dyDescent="0.2">
      <c r="A22" s="108" t="s">
        <v>255</v>
      </c>
      <c r="B22" s="108" t="s">
        <v>258</v>
      </c>
      <c r="C22" s="108" t="s">
        <v>566</v>
      </c>
      <c r="D22" s="123"/>
      <c r="E22" s="73" t="s">
        <v>585</v>
      </c>
      <c r="F22" s="26"/>
      <c r="G22" s="53"/>
      <c r="H22" s="108" t="s">
        <v>113</v>
      </c>
      <c r="I22" s="4" t="s">
        <v>34</v>
      </c>
      <c r="J22" s="158" t="s">
        <v>35</v>
      </c>
      <c r="K22" s="56">
        <v>8</v>
      </c>
      <c r="L22" s="4" t="s">
        <v>289</v>
      </c>
      <c r="M22" s="56" t="s">
        <v>50</v>
      </c>
      <c r="N22" s="159" t="s">
        <v>38</v>
      </c>
      <c r="O22" s="19" t="s">
        <v>39</v>
      </c>
      <c r="P22" s="79" t="s">
        <v>63</v>
      </c>
      <c r="Q22" s="28"/>
      <c r="R22" s="56" t="str">
        <f t="shared" si="0"/>
        <v>PER-E-8-U2-SCH-002-00-VHHR</v>
      </c>
      <c r="S22" s="111" t="s">
        <v>601</v>
      </c>
      <c r="T22" s="111" t="s">
        <v>106</v>
      </c>
      <c r="U22" s="111"/>
      <c r="V22" s="160"/>
      <c r="W22" s="111" t="s">
        <v>750</v>
      </c>
      <c r="X22" s="161"/>
      <c r="Y22" s="162"/>
      <c r="Z22" s="163"/>
      <c r="AA22" s="164"/>
      <c r="AB22" s="164"/>
      <c r="AC22" s="165"/>
      <c r="AD22" s="166"/>
      <c r="AE22" s="167"/>
      <c r="AF22" s="165"/>
      <c r="AG22" s="168"/>
      <c r="AH22" s="169"/>
      <c r="AI22" s="169"/>
      <c r="AJ22" s="169"/>
      <c r="AK22" s="199"/>
      <c r="AL22" s="169"/>
    </row>
    <row r="23" spans="1:38" s="139" customFormat="1" ht="24.75" customHeight="1" x14ac:dyDescent="0.2">
      <c r="A23" s="108" t="s">
        <v>256</v>
      </c>
      <c r="B23" s="108" t="s">
        <v>256</v>
      </c>
      <c r="C23" s="108" t="s">
        <v>561</v>
      </c>
      <c r="D23" s="207"/>
      <c r="E23" s="73" t="s">
        <v>586</v>
      </c>
      <c r="F23" s="26"/>
      <c r="G23" s="53"/>
      <c r="H23" s="108" t="s">
        <v>113</v>
      </c>
      <c r="I23" s="4" t="s">
        <v>34</v>
      </c>
      <c r="J23" s="158" t="s">
        <v>35</v>
      </c>
      <c r="K23" s="56">
        <v>8</v>
      </c>
      <c r="L23" s="4" t="s">
        <v>289</v>
      </c>
      <c r="M23" s="56" t="s">
        <v>82</v>
      </c>
      <c r="N23" s="159" t="s">
        <v>42</v>
      </c>
      <c r="O23" s="19" t="s">
        <v>39</v>
      </c>
      <c r="P23" s="79" t="s">
        <v>63</v>
      </c>
      <c r="Q23" s="28"/>
      <c r="R23" s="56" t="str">
        <f t="shared" si="0"/>
        <v>PER-E-8-U2-CMM-001-00-VHHR</v>
      </c>
      <c r="S23" s="111" t="s">
        <v>768</v>
      </c>
      <c r="T23" s="111" t="s">
        <v>83</v>
      </c>
      <c r="U23" s="111"/>
      <c r="V23" s="160"/>
      <c r="W23" s="111" t="s">
        <v>764</v>
      </c>
      <c r="X23" s="161"/>
      <c r="Y23" s="162"/>
      <c r="Z23" s="163"/>
      <c r="AA23" s="164"/>
      <c r="AB23" s="164"/>
      <c r="AC23" s="165"/>
      <c r="AD23" s="166"/>
      <c r="AE23" s="167"/>
      <c r="AF23" s="165"/>
      <c r="AG23" s="168"/>
      <c r="AH23" s="169"/>
      <c r="AI23" s="169"/>
      <c r="AJ23" s="169"/>
      <c r="AK23" s="199"/>
      <c r="AL23" s="169"/>
    </row>
    <row r="24" spans="1:38" s="139" customFormat="1" ht="24.75" customHeight="1" x14ac:dyDescent="0.2">
      <c r="A24" s="108" t="s">
        <v>258</v>
      </c>
      <c r="B24" s="108" t="s">
        <v>256</v>
      </c>
      <c r="C24" s="108" t="s">
        <v>562</v>
      </c>
      <c r="D24" s="205"/>
      <c r="E24" s="73" t="s">
        <v>587</v>
      </c>
      <c r="F24" s="26"/>
      <c r="G24" s="53"/>
      <c r="H24" s="108" t="s">
        <v>113</v>
      </c>
      <c r="I24" s="4" t="s">
        <v>34</v>
      </c>
      <c r="J24" s="158" t="s">
        <v>35</v>
      </c>
      <c r="K24" s="56">
        <v>8</v>
      </c>
      <c r="L24" s="4" t="s">
        <v>289</v>
      </c>
      <c r="M24" s="56" t="s">
        <v>85</v>
      </c>
      <c r="N24" s="159" t="s">
        <v>42</v>
      </c>
      <c r="O24" s="19" t="s">
        <v>39</v>
      </c>
      <c r="P24" s="79" t="s">
        <v>63</v>
      </c>
      <c r="Q24" s="28"/>
      <c r="R24" s="56" t="str">
        <f t="shared" si="0"/>
        <v>PER-E-8-U2-MAN-001-00-VHHR</v>
      </c>
      <c r="S24" s="111"/>
      <c r="T24" s="111" t="s">
        <v>109</v>
      </c>
      <c r="U24" s="111"/>
      <c r="V24" s="160"/>
      <c r="W24" s="111" t="s">
        <v>763</v>
      </c>
      <c r="X24" s="161"/>
      <c r="Y24" s="162"/>
      <c r="Z24" s="163"/>
      <c r="AA24" s="164"/>
      <c r="AB24" s="164"/>
      <c r="AC24" s="165"/>
      <c r="AD24" s="166"/>
      <c r="AE24" s="167"/>
      <c r="AF24" s="165"/>
      <c r="AG24" s="168"/>
      <c r="AH24" s="169"/>
      <c r="AI24" s="169"/>
      <c r="AJ24" s="169"/>
      <c r="AK24" s="199"/>
      <c r="AL24" s="169"/>
    </row>
    <row r="25" spans="1:38" s="139" customFormat="1" ht="24.75" customHeight="1" x14ac:dyDescent="0.2">
      <c r="A25" s="108" t="s">
        <v>255</v>
      </c>
      <c r="B25" s="108" t="s">
        <v>258</v>
      </c>
      <c r="C25" s="108" t="s">
        <v>564</v>
      </c>
      <c r="D25" s="123"/>
      <c r="E25" s="73" t="s">
        <v>588</v>
      </c>
      <c r="F25" s="26"/>
      <c r="G25" s="53"/>
      <c r="H25" s="108" t="s">
        <v>113</v>
      </c>
      <c r="I25" s="4" t="s">
        <v>34</v>
      </c>
      <c r="J25" s="158" t="s">
        <v>35</v>
      </c>
      <c r="K25" s="56">
        <v>2</v>
      </c>
      <c r="L25" s="4" t="s">
        <v>289</v>
      </c>
      <c r="M25" s="56" t="s">
        <v>52</v>
      </c>
      <c r="N25" s="159" t="s">
        <v>42</v>
      </c>
      <c r="O25" s="19" t="s">
        <v>39</v>
      </c>
      <c r="P25" s="79" t="s">
        <v>63</v>
      </c>
      <c r="Q25" s="28"/>
      <c r="R25" s="56" t="str">
        <f t="shared" si="0"/>
        <v>PER-E-2-U2-TSP-001-00-VHHR</v>
      </c>
      <c r="S25" s="111" t="s">
        <v>602</v>
      </c>
      <c r="T25" s="111" t="s">
        <v>602</v>
      </c>
      <c r="U25" s="111"/>
      <c r="V25" s="160"/>
      <c r="W25" s="111" t="s">
        <v>750</v>
      </c>
      <c r="X25" s="161"/>
      <c r="Y25" s="162"/>
      <c r="Z25" s="163"/>
      <c r="AA25" s="164"/>
      <c r="AB25" s="164"/>
      <c r="AC25" s="165"/>
      <c r="AD25" s="166"/>
      <c r="AE25" s="167"/>
      <c r="AF25" s="165"/>
      <c r="AG25" s="168"/>
      <c r="AH25" s="169"/>
      <c r="AI25" s="169"/>
      <c r="AJ25" s="169"/>
      <c r="AK25" s="199"/>
      <c r="AL25" s="169"/>
    </row>
    <row r="26" spans="1:38" s="139" customFormat="1" ht="24.75" customHeight="1" x14ac:dyDescent="0.2">
      <c r="A26" s="108" t="s">
        <v>255</v>
      </c>
      <c r="B26" s="108" t="s">
        <v>258</v>
      </c>
      <c r="C26" s="108" t="s">
        <v>563</v>
      </c>
      <c r="D26" s="123"/>
      <c r="E26" s="73" t="s">
        <v>589</v>
      </c>
      <c r="F26" s="26"/>
      <c r="G26" s="53"/>
      <c r="H26" s="108" t="s">
        <v>113</v>
      </c>
      <c r="I26" s="4" t="s">
        <v>34</v>
      </c>
      <c r="J26" s="158" t="s">
        <v>35</v>
      </c>
      <c r="K26" s="56">
        <v>8</v>
      </c>
      <c r="L26" s="4" t="s">
        <v>289</v>
      </c>
      <c r="M26" s="56" t="s">
        <v>52</v>
      </c>
      <c r="N26" s="159" t="s">
        <v>42</v>
      </c>
      <c r="O26" s="19" t="s">
        <v>39</v>
      </c>
      <c r="P26" s="79" t="s">
        <v>63</v>
      </c>
      <c r="Q26" s="28"/>
      <c r="R26" s="56" t="str">
        <f t="shared" si="0"/>
        <v>PER-E-8-U2-TSP-001-00-VHHR</v>
      </c>
      <c r="S26" s="111" t="s">
        <v>603</v>
      </c>
      <c r="T26" s="111" t="s">
        <v>603</v>
      </c>
      <c r="U26" s="111"/>
      <c r="V26" s="160"/>
      <c r="W26" s="111" t="s">
        <v>750</v>
      </c>
      <c r="X26" s="161"/>
      <c r="Y26" s="162"/>
      <c r="Z26" s="163"/>
      <c r="AA26" s="164"/>
      <c r="AB26" s="164"/>
      <c r="AC26" s="165"/>
      <c r="AD26" s="166"/>
      <c r="AE26" s="167"/>
      <c r="AF26" s="165"/>
      <c r="AG26" s="168"/>
      <c r="AH26" s="169"/>
      <c r="AI26" s="169"/>
      <c r="AJ26" s="169"/>
      <c r="AK26" s="199"/>
      <c r="AL26" s="169"/>
    </row>
    <row r="27" spans="1:38" s="139" customFormat="1" ht="17.25" x14ac:dyDescent="0.25">
      <c r="D27"/>
      <c r="E27" s="109"/>
      <c r="F27" s="3"/>
      <c r="G27" s="11"/>
      <c r="H27" s="218"/>
      <c r="I27" s="219"/>
      <c r="J27" s="16"/>
      <c r="M27" s="219"/>
      <c r="N27" s="220"/>
      <c r="P27" s="30"/>
      <c r="Q27" s="30"/>
      <c r="T27" s="221"/>
      <c r="U27" s="221"/>
      <c r="V27" s="222"/>
      <c r="W27" s="223"/>
      <c r="X27" s="224"/>
      <c r="Y27" s="225"/>
      <c r="Z27" s="226"/>
      <c r="AA27" s="227"/>
      <c r="AB27" s="227"/>
      <c r="AC27" s="228"/>
      <c r="AD27" s="229"/>
      <c r="AE27" s="230"/>
      <c r="AF27" s="228"/>
      <c r="AG27" s="231"/>
      <c r="AH27" s="232"/>
      <c r="AI27" s="232"/>
      <c r="AJ27" s="232"/>
      <c r="AK27" s="232"/>
      <c r="AL27" s="232"/>
    </row>
    <row r="28" spans="1:38" s="139" customFormat="1" ht="17.25" x14ac:dyDescent="0.25">
      <c r="D28"/>
      <c r="F28" s="3"/>
      <c r="G28" s="11"/>
      <c r="H28" s="218"/>
      <c r="I28" s="219"/>
      <c r="J28" s="16"/>
      <c r="M28" s="219"/>
      <c r="N28" s="220"/>
      <c r="P28" s="30"/>
      <c r="Q28" s="30"/>
      <c r="T28" s="221"/>
      <c r="U28" s="221"/>
      <c r="V28" s="222"/>
      <c r="W28" s="223"/>
      <c r="X28" s="224"/>
      <c r="Y28" s="225"/>
      <c r="Z28" s="226"/>
      <c r="AA28" s="227"/>
      <c r="AB28" s="227"/>
      <c r="AC28" s="228"/>
      <c r="AD28" s="229"/>
      <c r="AE28" s="230"/>
      <c r="AF28" s="228"/>
      <c r="AG28" s="231"/>
      <c r="AH28" s="232"/>
      <c r="AI28" s="232"/>
      <c r="AJ28" s="232"/>
      <c r="AK28" s="232"/>
      <c r="AL28" s="232"/>
    </row>
    <row r="29" spans="1:38" s="139" customFormat="1" ht="17.25" x14ac:dyDescent="0.25">
      <c r="D29" s="140"/>
      <c r="E29" s="109" t="s">
        <v>420</v>
      </c>
      <c r="F29" s="3"/>
      <c r="G29" s="11"/>
      <c r="H29" s="218"/>
      <c r="I29" s="219"/>
      <c r="J29" s="16"/>
      <c r="M29" s="219"/>
      <c r="N29" s="220"/>
      <c r="P29" s="30"/>
      <c r="Q29" s="30"/>
      <c r="T29" s="221"/>
      <c r="U29" s="221"/>
      <c r="V29" s="222"/>
      <c r="W29" s="223"/>
      <c r="X29" s="224"/>
      <c r="Y29" s="225"/>
      <c r="Z29" s="226"/>
      <c r="AA29" s="227"/>
      <c r="AB29" s="227"/>
      <c r="AC29" s="228"/>
      <c r="AD29" s="229"/>
      <c r="AE29" s="230"/>
      <c r="AF29" s="228"/>
      <c r="AG29" s="231"/>
      <c r="AH29" s="232"/>
      <c r="AI29" s="232"/>
      <c r="AJ29" s="232"/>
      <c r="AK29" s="232"/>
      <c r="AL29" s="232"/>
    </row>
    <row r="30" spans="1:38" s="139" customFormat="1" ht="17.25" x14ac:dyDescent="0.25">
      <c r="D30" s="141"/>
      <c r="E30" s="109" t="s">
        <v>758</v>
      </c>
      <c r="F30" s="3"/>
      <c r="G30" s="11"/>
      <c r="H30" s="218"/>
      <c r="I30" s="219"/>
      <c r="J30" s="16"/>
      <c r="M30" s="219"/>
      <c r="N30" s="220"/>
      <c r="P30" s="30"/>
      <c r="Q30" s="30"/>
      <c r="T30" s="221"/>
      <c r="U30" s="221"/>
      <c r="V30" s="222"/>
      <c r="W30" s="223"/>
      <c r="X30" s="224"/>
      <c r="Y30" s="225"/>
      <c r="Z30" s="226"/>
      <c r="AA30" s="227"/>
      <c r="AB30" s="227"/>
      <c r="AC30" s="228"/>
      <c r="AD30" s="229"/>
      <c r="AE30" s="230"/>
      <c r="AF30" s="228"/>
      <c r="AG30" s="231"/>
      <c r="AH30" s="232"/>
      <c r="AI30" s="232"/>
      <c r="AJ30" s="232"/>
      <c r="AK30" s="232"/>
      <c r="AL30" s="232"/>
    </row>
    <row r="31" spans="1:38" s="139" customFormat="1" ht="17.25" x14ac:dyDescent="0.25">
      <c r="D31" s="142" t="s">
        <v>800</v>
      </c>
      <c r="E31" s="109" t="s">
        <v>421</v>
      </c>
      <c r="F31" s="3"/>
      <c r="G31" s="11"/>
      <c r="H31" s="218"/>
      <c r="I31" s="219"/>
      <c r="J31" s="16"/>
      <c r="M31" s="219"/>
      <c r="N31" s="220"/>
      <c r="P31" s="30"/>
      <c r="Q31" s="30"/>
      <c r="T31" s="221"/>
      <c r="U31" s="221" t="s">
        <v>805</v>
      </c>
      <c r="V31" s="222"/>
      <c r="W31" s="223"/>
      <c r="X31" s="224"/>
      <c r="Y31" s="225"/>
      <c r="Z31" s="226"/>
      <c r="AA31" s="227"/>
      <c r="AB31" s="227"/>
      <c r="AC31" s="228"/>
      <c r="AD31" s="229"/>
      <c r="AE31" s="230"/>
      <c r="AF31" s="228"/>
      <c r="AG31" s="231"/>
      <c r="AH31" s="232"/>
      <c r="AI31" s="232"/>
      <c r="AJ31" s="232"/>
      <c r="AK31" s="232"/>
      <c r="AL31" s="232"/>
    </row>
    <row r="32" spans="1:38" s="139" customFormat="1" ht="17.25" x14ac:dyDescent="0.25">
      <c r="D32" s="143" t="s">
        <v>800</v>
      </c>
      <c r="E32" s="109" t="s">
        <v>454</v>
      </c>
      <c r="F32" s="3"/>
      <c r="G32" s="11"/>
      <c r="H32" s="218"/>
      <c r="I32" s="219"/>
      <c r="J32" s="16"/>
      <c r="M32" s="219"/>
      <c r="N32" s="220"/>
      <c r="P32" s="30"/>
      <c r="Q32" s="30"/>
      <c r="T32" s="221"/>
      <c r="U32" s="221" t="s">
        <v>809</v>
      </c>
      <c r="V32" s="222"/>
      <c r="W32" s="223"/>
      <c r="X32" s="224"/>
      <c r="Y32" s="225"/>
      <c r="Z32" s="226"/>
      <c r="AA32" s="227"/>
      <c r="AB32" s="227"/>
      <c r="AC32" s="228"/>
      <c r="AD32" s="229"/>
      <c r="AE32" s="230"/>
      <c r="AF32" s="228"/>
      <c r="AG32" s="231"/>
      <c r="AH32" s="232"/>
      <c r="AI32" s="232"/>
      <c r="AJ32" s="232"/>
      <c r="AK32" s="232"/>
      <c r="AL32" s="232"/>
    </row>
    <row r="33" spans="4:21" x14ac:dyDescent="0.25">
      <c r="D33" s="206"/>
      <c r="E33" s="109" t="s">
        <v>453</v>
      </c>
    </row>
    <row r="34" spans="4:21" x14ac:dyDescent="0.25">
      <c r="D34" s="204"/>
      <c r="E34" s="109" t="s">
        <v>760</v>
      </c>
    </row>
    <row r="37" spans="4:21" x14ac:dyDescent="0.25">
      <c r="D37" t="s">
        <v>800</v>
      </c>
      <c r="U37" t="s">
        <v>806</v>
      </c>
    </row>
    <row r="38" spans="4:21" x14ac:dyDescent="0.25">
      <c r="D38" t="s">
        <v>800</v>
      </c>
      <c r="U38" t="s">
        <v>807</v>
      </c>
    </row>
    <row r="39" spans="4:21" x14ac:dyDescent="0.25">
      <c r="D39" t="s">
        <v>800</v>
      </c>
      <c r="U39" t="s">
        <v>808</v>
      </c>
    </row>
  </sheetData>
  <protectedRanges>
    <protectedRange sqref="S26" name="Range2_2_2"/>
  </protectedRanges>
  <autoFilter ref="A3:A26" xr:uid="{3ADE1A5F-F452-4D16-BE9C-9BE9C5CD28FF}"/>
  <conditionalFormatting sqref="A1:D2">
    <cfRule type="duplicateValues" dxfId="126" priority="21"/>
    <cfRule type="duplicateValues" dxfId="125" priority="22"/>
  </conditionalFormatting>
  <conditionalFormatting sqref="A3:D3">
    <cfRule type="duplicateValues" dxfId="124" priority="23"/>
    <cfRule type="duplicateValues" dxfId="123" priority="24"/>
  </conditionalFormatting>
  <conditionalFormatting sqref="E1:E3 E27">
    <cfRule type="duplicateValues" dxfId="122" priority="15"/>
    <cfRule type="duplicateValues" dxfId="121" priority="16"/>
  </conditionalFormatting>
  <conditionalFormatting sqref="E4:E26">
    <cfRule type="duplicateValues" dxfId="120" priority="5"/>
    <cfRule type="duplicateValues" dxfId="119" priority="6"/>
  </conditionalFormatting>
  <conditionalFormatting sqref="E29:E31 E34">
    <cfRule type="duplicateValues" dxfId="118" priority="1"/>
    <cfRule type="duplicateValues" dxfId="117" priority="2"/>
  </conditionalFormatting>
  <conditionalFormatting sqref="E32:E33">
    <cfRule type="duplicateValues" dxfId="116" priority="3"/>
    <cfRule type="duplicateValues" dxfId="115" priority="4"/>
  </conditionalFormatting>
  <conditionalFormatting sqref="F1:F3 F5:F32">
    <cfRule type="duplicateValues" dxfId="114" priority="17"/>
  </conditionalFormatting>
  <conditionalFormatting sqref="F4">
    <cfRule type="duplicateValues" dxfId="113" priority="7"/>
  </conditionalFormatting>
  <conditionalFormatting sqref="G1:G2 G5:G32">
    <cfRule type="duplicateValues" dxfId="112" priority="18"/>
  </conditionalFormatting>
  <conditionalFormatting sqref="G3">
    <cfRule type="duplicateValues" dxfId="111" priority="13"/>
    <cfRule type="duplicateValues" dxfId="110" priority="14"/>
  </conditionalFormatting>
  <conditionalFormatting sqref="G4">
    <cfRule type="duplicateValues" dxfId="109" priority="8"/>
  </conditionalFormatting>
  <conditionalFormatting sqref="R4:R26">
    <cfRule type="duplicateValues" dxfId="108" priority="9"/>
    <cfRule type="duplicateValues" dxfId="107" priority="10"/>
  </conditionalFormatting>
  <conditionalFormatting sqref="R27:S32 R1:S2 R3">
    <cfRule type="duplicateValues" dxfId="106" priority="19"/>
    <cfRule type="duplicateValues" dxfId="105" priority="20"/>
  </conditionalFormatting>
  <dataValidations disablePrompts="1" count="2">
    <dataValidation type="list" allowBlank="1" showInputMessage="1" showErrorMessage="1" sqref="I1:I32" xr:uid="{0460717B-FB19-44C9-92E2-34C807B16C89}">
      <formula1>"PER"</formula1>
    </dataValidation>
    <dataValidation type="list" allowBlank="1" showInputMessage="1" showErrorMessage="1" sqref="K1:K3 K27:K32" xr:uid="{8C0A4748-7AAE-42F6-B80B-8912AEB83D79}">
      <formula1>#REF!</formula1>
    </dataValidation>
  </dataValidations>
  <pageMargins left="0.7" right="0.7" top="0.75" bottom="0.75" header="0.3" footer="0.3"/>
  <pageSetup paperSize="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1A5F-F452-4D16-BE9C-9BE9C5CD28FF}">
  <sheetPr>
    <tabColor theme="0"/>
  </sheetPr>
  <dimension ref="A1:AL39"/>
  <sheetViews>
    <sheetView tabSelected="1" topLeftCell="R3" zoomScale="70" zoomScaleNormal="70" workbookViewId="0">
      <selection activeCell="U35" sqref="U35"/>
    </sheetView>
  </sheetViews>
  <sheetFormatPr defaultRowHeight="15" x14ac:dyDescent="0.25"/>
  <cols>
    <col min="3" max="3" width="10.140625" bestFit="1" customWidth="1"/>
    <col min="5" max="5" width="26.5703125" customWidth="1"/>
    <col min="6" max="6" width="18.42578125" hidden="1" customWidth="1"/>
    <col min="7" max="7" width="12" hidden="1" customWidth="1"/>
    <col min="8" max="8" width="15" hidden="1" customWidth="1"/>
    <col min="9" max="9" width="12" hidden="1" customWidth="1"/>
    <col min="10" max="10" width="12.42578125" hidden="1" customWidth="1"/>
    <col min="11" max="11" width="11.5703125" hidden="1" customWidth="1"/>
    <col min="12" max="12" width="12.42578125" hidden="1" customWidth="1"/>
    <col min="13" max="13" width="12.5703125" hidden="1" customWidth="1"/>
    <col min="14" max="14" width="13.42578125" hidden="1" customWidth="1"/>
    <col min="15" max="15" width="11.42578125" hidden="1" customWidth="1"/>
    <col min="16" max="16" width="12.5703125" hidden="1" customWidth="1"/>
    <col min="17" max="17" width="27.42578125" hidden="1" customWidth="1"/>
    <col min="18" max="18" width="34.42578125" customWidth="1"/>
    <col min="19" max="19" width="59.85546875" bestFit="1" customWidth="1"/>
    <col min="20" max="20" width="55.85546875" bestFit="1" customWidth="1"/>
    <col min="21" max="21" width="75.5703125" customWidth="1"/>
    <col min="22" max="22" width="14" customWidth="1"/>
    <col min="23" max="23" width="185" bestFit="1" customWidth="1"/>
    <col min="24" max="24" width="13.42578125" customWidth="1"/>
    <col min="25" max="25" width="14.42578125" customWidth="1"/>
    <col min="26" max="26" width="10.42578125" customWidth="1"/>
    <col min="27" max="27" width="13.5703125" customWidth="1"/>
    <col min="28" max="28" width="45.42578125" customWidth="1"/>
    <col min="29" max="29" width="18.5703125" customWidth="1"/>
    <col min="30" max="30" width="14.42578125" customWidth="1"/>
    <col min="31" max="31" width="10.42578125" customWidth="1"/>
    <col min="32" max="32" width="13.5703125" customWidth="1"/>
    <col min="33" max="33" width="45.42578125" customWidth="1"/>
    <col min="34" max="34" width="19.5703125" customWidth="1"/>
    <col min="35" max="35" width="14.42578125" customWidth="1"/>
    <col min="36" max="36" width="10.42578125" customWidth="1"/>
    <col min="37" max="37" width="13.5703125" customWidth="1"/>
    <col min="38" max="38" width="45.42578125" customWidth="1"/>
  </cols>
  <sheetData>
    <row r="1" spans="1:38" s="139" customFormat="1" ht="29.25" thickBot="1" x14ac:dyDescent="0.25">
      <c r="A1" s="15"/>
      <c r="B1" s="15"/>
      <c r="C1" s="15"/>
      <c r="D1" s="15"/>
      <c r="E1" s="34"/>
      <c r="F1" s="21" t="s">
        <v>0</v>
      </c>
      <c r="G1" s="12"/>
      <c r="H1" s="15"/>
      <c r="I1" s="15"/>
      <c r="J1" s="15"/>
      <c r="K1" s="5"/>
      <c r="L1" s="124"/>
      <c r="M1" s="125"/>
      <c r="N1" s="15"/>
      <c r="O1" s="5"/>
      <c r="P1" s="15"/>
      <c r="Q1" s="15"/>
      <c r="R1" s="5"/>
      <c r="S1" s="5"/>
      <c r="T1" s="34"/>
      <c r="U1" s="34"/>
      <c r="V1" s="29"/>
      <c r="W1" s="127"/>
      <c r="X1" s="128" t="s">
        <v>1</v>
      </c>
      <c r="Y1" s="129"/>
      <c r="Z1" s="130"/>
      <c r="AA1" s="131"/>
      <c r="AB1" s="131"/>
      <c r="AC1" s="132" t="s">
        <v>2</v>
      </c>
      <c r="AD1" s="133"/>
      <c r="AE1" s="134"/>
      <c r="AF1" s="135"/>
      <c r="AG1" s="136"/>
      <c r="AH1" s="137" t="s">
        <v>3</v>
      </c>
      <c r="AI1" s="137"/>
      <c r="AJ1" s="137"/>
      <c r="AK1" s="138"/>
      <c r="AL1" s="169"/>
    </row>
    <row r="2" spans="1:38" s="139" customFormat="1" ht="45" x14ac:dyDescent="0.2">
      <c r="A2" s="63"/>
      <c r="B2" s="63"/>
      <c r="C2" s="63"/>
      <c r="D2" s="63"/>
      <c r="E2" s="63" t="s">
        <v>4</v>
      </c>
      <c r="F2" s="14"/>
      <c r="G2" s="13"/>
      <c r="H2" s="2"/>
      <c r="I2" s="2"/>
      <c r="J2" s="2"/>
      <c r="K2" s="2"/>
      <c r="L2" s="126"/>
      <c r="M2" s="126"/>
      <c r="N2" s="2"/>
      <c r="O2" s="2"/>
      <c r="P2" s="2"/>
      <c r="Q2" s="2"/>
      <c r="R2" s="2"/>
      <c r="S2" s="2"/>
      <c r="T2" s="61"/>
      <c r="U2" s="61"/>
      <c r="V2" s="31"/>
      <c r="W2" s="172"/>
      <c r="X2" s="173" t="s">
        <v>5</v>
      </c>
      <c r="Y2" s="174"/>
      <c r="Z2" s="175" t="s">
        <v>6</v>
      </c>
      <c r="AA2" s="176"/>
      <c r="AB2" s="176"/>
      <c r="AC2" s="177" t="s">
        <v>5</v>
      </c>
      <c r="AD2" s="178"/>
      <c r="AE2" s="179" t="s">
        <v>6</v>
      </c>
      <c r="AF2" s="180"/>
      <c r="AG2" s="181"/>
      <c r="AH2" s="182" t="s">
        <v>5</v>
      </c>
      <c r="AI2" s="182"/>
      <c r="AJ2" s="183" t="s">
        <v>6</v>
      </c>
      <c r="AK2" s="184"/>
      <c r="AL2" s="201"/>
    </row>
    <row r="3" spans="1:38" s="200" customFormat="1" ht="75" x14ac:dyDescent="0.25">
      <c r="A3" s="185" t="s">
        <v>7</v>
      </c>
      <c r="B3" s="185" t="s">
        <v>8</v>
      </c>
      <c r="C3" s="185" t="s">
        <v>9</v>
      </c>
      <c r="D3" s="185" t="s">
        <v>10</v>
      </c>
      <c r="E3" s="185" t="s">
        <v>11</v>
      </c>
      <c r="F3" s="186" t="s">
        <v>12</v>
      </c>
      <c r="G3" s="185" t="s">
        <v>13</v>
      </c>
      <c r="H3" s="185" t="s">
        <v>14</v>
      </c>
      <c r="I3" s="185" t="s">
        <v>15</v>
      </c>
      <c r="J3" s="185" t="s">
        <v>16</v>
      </c>
      <c r="K3" s="185" t="s">
        <v>17</v>
      </c>
      <c r="L3" s="185" t="s">
        <v>18</v>
      </c>
      <c r="M3" s="185" t="s">
        <v>19</v>
      </c>
      <c r="N3" s="187" t="s">
        <v>20</v>
      </c>
      <c r="O3" s="185" t="s">
        <v>21</v>
      </c>
      <c r="P3" s="188" t="s">
        <v>22</v>
      </c>
      <c r="Q3" s="188" t="s">
        <v>23</v>
      </c>
      <c r="R3" s="185" t="s">
        <v>24</v>
      </c>
      <c r="S3" s="185" t="s">
        <v>466</v>
      </c>
      <c r="T3" s="185" t="s">
        <v>26</v>
      </c>
      <c r="U3" s="185" t="s">
        <v>799</v>
      </c>
      <c r="V3" s="189" t="s">
        <v>27</v>
      </c>
      <c r="W3" s="190" t="s">
        <v>28</v>
      </c>
      <c r="X3" s="191" t="s">
        <v>29</v>
      </c>
      <c r="Y3" s="192" t="s">
        <v>30</v>
      </c>
      <c r="Z3" s="191" t="s">
        <v>31</v>
      </c>
      <c r="AA3" s="193" t="s">
        <v>30</v>
      </c>
      <c r="AB3" s="193" t="s">
        <v>32</v>
      </c>
      <c r="AC3" s="194" t="s">
        <v>29</v>
      </c>
      <c r="AD3" s="195" t="s">
        <v>30</v>
      </c>
      <c r="AE3" s="196" t="s">
        <v>31</v>
      </c>
      <c r="AF3" s="194" t="s">
        <v>30</v>
      </c>
      <c r="AG3" s="194" t="s">
        <v>32</v>
      </c>
      <c r="AH3" s="197" t="s">
        <v>29</v>
      </c>
      <c r="AI3" s="197" t="s">
        <v>30</v>
      </c>
      <c r="AJ3" s="197" t="s">
        <v>31</v>
      </c>
      <c r="AK3" s="198" t="s">
        <v>30</v>
      </c>
      <c r="AL3" s="197" t="s">
        <v>32</v>
      </c>
    </row>
    <row r="4" spans="1:38" s="139" customFormat="1" ht="24.75" customHeight="1" x14ac:dyDescent="0.2">
      <c r="A4" s="108" t="s">
        <v>255</v>
      </c>
      <c r="B4" s="108" t="s">
        <v>258</v>
      </c>
      <c r="C4" s="108" t="s">
        <v>395</v>
      </c>
      <c r="D4" s="123" t="s">
        <v>452</v>
      </c>
      <c r="E4" s="73" t="s">
        <v>451</v>
      </c>
      <c r="F4" s="26"/>
      <c r="G4" s="53"/>
      <c r="H4" s="108" t="s">
        <v>113</v>
      </c>
      <c r="I4" s="4" t="s">
        <v>34</v>
      </c>
      <c r="J4" s="158" t="s">
        <v>35</v>
      </c>
      <c r="K4" s="56">
        <v>2</v>
      </c>
      <c r="L4" s="4" t="s">
        <v>36</v>
      </c>
      <c r="M4" s="56" t="s">
        <v>62</v>
      </c>
      <c r="N4" s="159" t="s">
        <v>42</v>
      </c>
      <c r="O4" s="19" t="s">
        <v>39</v>
      </c>
      <c r="P4" s="79" t="s">
        <v>63</v>
      </c>
      <c r="Q4" s="28"/>
      <c r="R4" s="56" t="str">
        <f>_xlfn.CONCAT(I4,"-",J4,"-",K4,"-",L4,"-",M4,"-",N4,"-",O4,"-",P4)</f>
        <v>PER-E-2-U3-FLD-001-00-VHHR</v>
      </c>
      <c r="S4" s="111" t="s">
        <v>470</v>
      </c>
      <c r="T4" s="111" t="s">
        <v>64</v>
      </c>
      <c r="U4" s="111"/>
      <c r="V4" s="160"/>
      <c r="W4" s="111" t="s">
        <v>750</v>
      </c>
      <c r="X4" s="161"/>
      <c r="Y4" s="162"/>
      <c r="Z4" s="163"/>
      <c r="AA4" s="164"/>
      <c r="AB4" s="164"/>
      <c r="AC4" s="165"/>
      <c r="AD4" s="166"/>
      <c r="AE4" s="167"/>
      <c r="AF4" s="165"/>
      <c r="AG4" s="168"/>
      <c r="AH4" s="169"/>
      <c r="AI4" s="169"/>
      <c r="AJ4" s="169"/>
      <c r="AK4" s="199"/>
      <c r="AL4" s="169"/>
    </row>
    <row r="5" spans="1:38" s="139" customFormat="1" ht="24.75" customHeight="1" x14ac:dyDescent="0.2">
      <c r="A5" s="108" t="s">
        <v>255</v>
      </c>
      <c r="B5" s="108" t="s">
        <v>258</v>
      </c>
      <c r="C5" s="108" t="s">
        <v>395</v>
      </c>
      <c r="D5" s="123" t="s">
        <v>800</v>
      </c>
      <c r="E5" s="73" t="s">
        <v>65</v>
      </c>
      <c r="F5" s="26"/>
      <c r="G5" s="53"/>
      <c r="H5" s="108" t="s">
        <v>113</v>
      </c>
      <c r="I5" s="4" t="s">
        <v>34</v>
      </c>
      <c r="J5" s="158" t="s">
        <v>35</v>
      </c>
      <c r="K5" s="56">
        <v>2</v>
      </c>
      <c r="L5" s="4" t="s">
        <v>36</v>
      </c>
      <c r="M5" s="56" t="s">
        <v>50</v>
      </c>
      <c r="N5" s="159" t="s">
        <v>42</v>
      </c>
      <c r="O5" s="19" t="s">
        <v>39</v>
      </c>
      <c r="P5" s="79" t="s">
        <v>63</v>
      </c>
      <c r="Q5" s="28"/>
      <c r="R5" s="56" t="str">
        <f t="shared" ref="R5:R26" si="0">_xlfn.CONCAT(I5,"-",J5,"-",K5,"-",L5,"-",M5,"-",N5,"-",O5,"-",P5)</f>
        <v>PER-E-2-U3-SCH-001-00-VHHR</v>
      </c>
      <c r="S5" s="111" t="s">
        <v>471</v>
      </c>
      <c r="T5" s="111" t="s">
        <v>66</v>
      </c>
      <c r="U5" s="111" t="s">
        <v>801</v>
      </c>
      <c r="V5" s="160"/>
      <c r="W5" s="111" t="s">
        <v>750</v>
      </c>
      <c r="X5" s="161"/>
      <c r="Y5" s="162"/>
      <c r="Z5" s="163"/>
      <c r="AA5" s="164"/>
      <c r="AB5" s="164"/>
      <c r="AC5" s="165"/>
      <c r="AD5" s="166"/>
      <c r="AE5" s="167"/>
      <c r="AF5" s="165"/>
      <c r="AG5" s="168"/>
      <c r="AH5" s="169"/>
      <c r="AI5" s="169"/>
      <c r="AJ5" s="169"/>
      <c r="AK5" s="199"/>
      <c r="AL5" s="169"/>
    </row>
    <row r="6" spans="1:38" s="139" customFormat="1" ht="24.75" customHeight="1" x14ac:dyDescent="0.2">
      <c r="A6" s="108" t="s">
        <v>255</v>
      </c>
      <c r="B6" s="108" t="s">
        <v>258</v>
      </c>
      <c r="C6" s="108" t="s">
        <v>396</v>
      </c>
      <c r="D6" s="123" t="s">
        <v>407</v>
      </c>
      <c r="E6" s="73" t="s">
        <v>67</v>
      </c>
      <c r="F6" s="26"/>
      <c r="G6" s="53"/>
      <c r="H6" s="108" t="s">
        <v>113</v>
      </c>
      <c r="I6" s="4" t="s">
        <v>34</v>
      </c>
      <c r="J6" s="158" t="s">
        <v>35</v>
      </c>
      <c r="K6" s="56">
        <v>2</v>
      </c>
      <c r="L6" s="4" t="s">
        <v>36</v>
      </c>
      <c r="M6" s="56" t="s">
        <v>68</v>
      </c>
      <c r="N6" s="159" t="s">
        <v>42</v>
      </c>
      <c r="O6" s="19" t="s">
        <v>39</v>
      </c>
      <c r="P6" s="79" t="s">
        <v>63</v>
      </c>
      <c r="Q6" s="28"/>
      <c r="R6" s="56" t="str">
        <f t="shared" si="0"/>
        <v>PER-E-2-U3-ASB-001-00-VHHR</v>
      </c>
      <c r="S6" s="144" t="s">
        <v>465</v>
      </c>
      <c r="T6" s="144" t="s">
        <v>69</v>
      </c>
      <c r="U6" s="144"/>
      <c r="V6" s="160"/>
      <c r="W6" s="111" t="s">
        <v>751</v>
      </c>
      <c r="X6" s="161"/>
      <c r="Y6" s="162"/>
      <c r="Z6" s="163"/>
      <c r="AA6" s="164"/>
      <c r="AB6" s="164"/>
      <c r="AC6" s="165"/>
      <c r="AD6" s="166"/>
      <c r="AE6" s="167"/>
      <c r="AF6" s="165"/>
      <c r="AG6" s="168"/>
      <c r="AH6" s="169"/>
      <c r="AI6" s="169"/>
      <c r="AJ6" s="169"/>
      <c r="AK6" s="199"/>
      <c r="AL6" s="169"/>
    </row>
    <row r="7" spans="1:38" s="139" customFormat="1" ht="24.75" customHeight="1" x14ac:dyDescent="0.2">
      <c r="A7" s="108" t="s">
        <v>255</v>
      </c>
      <c r="B7" s="108" t="s">
        <v>258</v>
      </c>
      <c r="C7" s="108" t="s">
        <v>396</v>
      </c>
      <c r="D7" s="123"/>
      <c r="E7" s="73" t="s">
        <v>70</v>
      </c>
      <c r="F7" s="26"/>
      <c r="G7" s="53"/>
      <c r="H7" s="108" t="s">
        <v>113</v>
      </c>
      <c r="I7" s="4" t="s">
        <v>34</v>
      </c>
      <c r="J7" s="158" t="s">
        <v>35</v>
      </c>
      <c r="K7" s="56">
        <v>2</v>
      </c>
      <c r="L7" s="4" t="s">
        <v>36</v>
      </c>
      <c r="M7" s="56" t="s">
        <v>71</v>
      </c>
      <c r="N7" s="159" t="s">
        <v>42</v>
      </c>
      <c r="O7" s="19" t="s">
        <v>39</v>
      </c>
      <c r="P7" s="79" t="s">
        <v>63</v>
      </c>
      <c r="Q7" s="28"/>
      <c r="R7" s="56" t="str">
        <f t="shared" si="0"/>
        <v>PER-E-2-U3-LST-001-00-VHHR</v>
      </c>
      <c r="S7" s="111" t="s">
        <v>467</v>
      </c>
      <c r="T7" s="111" t="s">
        <v>72</v>
      </c>
      <c r="U7" s="111"/>
      <c r="V7" s="160"/>
      <c r="W7" s="111" t="s">
        <v>753</v>
      </c>
      <c r="X7" s="161"/>
      <c r="Y7" s="162"/>
      <c r="Z7" s="163"/>
      <c r="AA7" s="164"/>
      <c r="AB7" s="164"/>
      <c r="AC7" s="165"/>
      <c r="AD7" s="166"/>
      <c r="AE7" s="167"/>
      <c r="AF7" s="165"/>
      <c r="AG7" s="168"/>
      <c r="AH7" s="169"/>
      <c r="AI7" s="169"/>
      <c r="AJ7" s="169"/>
      <c r="AK7" s="199"/>
      <c r="AL7" s="169"/>
    </row>
    <row r="8" spans="1:38" s="139" customFormat="1" ht="24.75" customHeight="1" x14ac:dyDescent="0.2">
      <c r="A8" s="108" t="s">
        <v>255</v>
      </c>
      <c r="B8" s="108" t="s">
        <v>258</v>
      </c>
      <c r="C8" s="108" t="s">
        <v>396</v>
      </c>
      <c r="D8" s="123" t="s">
        <v>407</v>
      </c>
      <c r="E8" s="73" t="s">
        <v>73</v>
      </c>
      <c r="F8" s="26"/>
      <c r="G8" s="53"/>
      <c r="H8" s="108" t="s">
        <v>113</v>
      </c>
      <c r="I8" s="4" t="s">
        <v>34</v>
      </c>
      <c r="J8" s="158" t="s">
        <v>35</v>
      </c>
      <c r="K8" s="56">
        <v>2</v>
      </c>
      <c r="L8" s="4" t="s">
        <v>36</v>
      </c>
      <c r="M8" s="56" t="s">
        <v>50</v>
      </c>
      <c r="N8" s="159" t="s">
        <v>38</v>
      </c>
      <c r="O8" s="19" t="s">
        <v>39</v>
      </c>
      <c r="P8" s="79" t="s">
        <v>63</v>
      </c>
      <c r="Q8" s="28"/>
      <c r="R8" s="56" t="str">
        <f t="shared" si="0"/>
        <v>PER-E-2-U3-SCH-002-00-VHHR</v>
      </c>
      <c r="S8" s="144" t="s">
        <v>468</v>
      </c>
      <c r="T8" s="144" t="s">
        <v>74</v>
      </c>
      <c r="U8" s="144"/>
      <c r="V8" s="160"/>
      <c r="W8" s="111" t="s">
        <v>754</v>
      </c>
      <c r="X8" s="161"/>
      <c r="Y8" s="162"/>
      <c r="Z8" s="163"/>
      <c r="AA8" s="164"/>
      <c r="AB8" s="164"/>
      <c r="AC8" s="165"/>
      <c r="AD8" s="166"/>
      <c r="AE8" s="167"/>
      <c r="AF8" s="165"/>
      <c r="AG8" s="168"/>
      <c r="AH8" s="169"/>
      <c r="AI8" s="169"/>
      <c r="AJ8" s="169"/>
      <c r="AK8" s="199"/>
      <c r="AL8" s="169"/>
    </row>
    <row r="9" spans="1:38" s="139" customFormat="1" ht="24.75" customHeight="1" x14ac:dyDescent="0.2">
      <c r="A9" s="108" t="s">
        <v>255</v>
      </c>
      <c r="B9" s="108" t="s">
        <v>258</v>
      </c>
      <c r="C9" s="108" t="s">
        <v>396</v>
      </c>
      <c r="D9" s="123" t="s">
        <v>407</v>
      </c>
      <c r="E9" s="73" t="s">
        <v>75</v>
      </c>
      <c r="F9" s="26"/>
      <c r="G9" s="53"/>
      <c r="H9" s="108" t="s">
        <v>113</v>
      </c>
      <c r="I9" s="4" t="s">
        <v>34</v>
      </c>
      <c r="J9" s="158" t="s">
        <v>35</v>
      </c>
      <c r="K9" s="56">
        <v>2</v>
      </c>
      <c r="L9" s="4" t="s">
        <v>36</v>
      </c>
      <c r="M9" s="56" t="s">
        <v>76</v>
      </c>
      <c r="N9" s="159" t="s">
        <v>42</v>
      </c>
      <c r="O9" s="19" t="s">
        <v>39</v>
      </c>
      <c r="P9" s="79" t="s">
        <v>63</v>
      </c>
      <c r="Q9" s="28"/>
      <c r="R9" s="56" t="str">
        <f t="shared" si="0"/>
        <v>PER-E-2-U3-ROU-001-00-VHHR</v>
      </c>
      <c r="S9" s="171" t="s">
        <v>469</v>
      </c>
      <c r="T9" s="171" t="s">
        <v>77</v>
      </c>
      <c r="U9" s="171"/>
      <c r="V9" s="160"/>
      <c r="W9" s="111" t="s">
        <v>753</v>
      </c>
      <c r="X9" s="161"/>
      <c r="Y9" s="162"/>
      <c r="Z9" s="163"/>
      <c r="AA9" s="164"/>
      <c r="AB9" s="164"/>
      <c r="AC9" s="165"/>
      <c r="AD9" s="166"/>
      <c r="AE9" s="167"/>
      <c r="AF9" s="165"/>
      <c r="AG9" s="168"/>
      <c r="AH9" s="169"/>
      <c r="AI9" s="169"/>
      <c r="AJ9" s="169"/>
      <c r="AK9" s="199"/>
      <c r="AL9" s="169"/>
    </row>
    <row r="10" spans="1:38" s="139" customFormat="1" ht="24.75" customHeight="1" x14ac:dyDescent="0.2">
      <c r="A10" s="108" t="s">
        <v>256</v>
      </c>
      <c r="B10" s="108" t="s">
        <v>256</v>
      </c>
      <c r="C10" s="108" t="s">
        <v>397</v>
      </c>
      <c r="D10" s="207" t="s">
        <v>408</v>
      </c>
      <c r="E10" s="73" t="s">
        <v>78</v>
      </c>
      <c r="F10" s="26"/>
      <c r="G10" s="53"/>
      <c r="H10" s="108" t="s">
        <v>113</v>
      </c>
      <c r="I10" s="4" t="s">
        <v>34</v>
      </c>
      <c r="J10" s="158" t="s">
        <v>35</v>
      </c>
      <c r="K10" s="56">
        <v>2</v>
      </c>
      <c r="L10" s="4" t="s">
        <v>36</v>
      </c>
      <c r="M10" s="56" t="s">
        <v>79</v>
      </c>
      <c r="N10" s="159" t="s">
        <v>42</v>
      </c>
      <c r="O10" s="19" t="s">
        <v>39</v>
      </c>
      <c r="P10" s="79" t="s">
        <v>63</v>
      </c>
      <c r="Q10" s="28"/>
      <c r="R10" s="56" t="str">
        <f t="shared" si="0"/>
        <v>PER-E-2-U3-FAT-001-00-VHHR</v>
      </c>
      <c r="S10" s="111" t="s">
        <v>785</v>
      </c>
      <c r="T10" s="111" t="s">
        <v>80</v>
      </c>
      <c r="U10" s="111"/>
      <c r="V10" s="160"/>
      <c r="W10" s="111" t="s">
        <v>764</v>
      </c>
      <c r="X10" s="161"/>
      <c r="Y10" s="162"/>
      <c r="Z10" s="163"/>
      <c r="AA10" s="164"/>
      <c r="AB10" s="164"/>
      <c r="AC10" s="165"/>
      <c r="AD10" s="166"/>
      <c r="AE10" s="167"/>
      <c r="AF10" s="165"/>
      <c r="AG10" s="168"/>
      <c r="AH10" s="169"/>
      <c r="AI10" s="169"/>
      <c r="AJ10" s="169"/>
      <c r="AK10" s="199"/>
      <c r="AL10" s="169"/>
    </row>
    <row r="11" spans="1:38" s="139" customFormat="1" ht="24.75" customHeight="1" x14ac:dyDescent="0.2">
      <c r="A11" s="108" t="s">
        <v>256</v>
      </c>
      <c r="B11" s="108" t="s">
        <v>256</v>
      </c>
      <c r="C11" s="108" t="s">
        <v>397</v>
      </c>
      <c r="D11" s="207" t="s">
        <v>408</v>
      </c>
      <c r="E11" s="73" t="s">
        <v>81</v>
      </c>
      <c r="F11" s="26"/>
      <c r="G11" s="53"/>
      <c r="H11" s="108" t="s">
        <v>113</v>
      </c>
      <c r="I11" s="4" t="s">
        <v>34</v>
      </c>
      <c r="J11" s="158" t="s">
        <v>35</v>
      </c>
      <c r="K11" s="56">
        <v>2</v>
      </c>
      <c r="L11" s="4" t="s">
        <v>36</v>
      </c>
      <c r="M11" s="56" t="s">
        <v>82</v>
      </c>
      <c r="N11" s="159" t="s">
        <v>42</v>
      </c>
      <c r="O11" s="19" t="s">
        <v>39</v>
      </c>
      <c r="P11" s="79" t="s">
        <v>63</v>
      </c>
      <c r="Q11" s="28"/>
      <c r="R11" s="56" t="str">
        <f t="shared" si="0"/>
        <v>PER-E-2-U3-CMM-001-00-VHHR</v>
      </c>
      <c r="S11" s="111" t="s">
        <v>784</v>
      </c>
      <c r="T11" s="111" t="s">
        <v>83</v>
      </c>
      <c r="U11" s="111"/>
      <c r="V11" s="160"/>
      <c r="W11" s="111" t="s">
        <v>764</v>
      </c>
      <c r="X11" s="161"/>
      <c r="Y11" s="162"/>
      <c r="Z11" s="163"/>
      <c r="AA11" s="164"/>
      <c r="AB11" s="164"/>
      <c r="AC11" s="165"/>
      <c r="AD11" s="166"/>
      <c r="AE11" s="167"/>
      <c r="AF11" s="165"/>
      <c r="AG11" s="168"/>
      <c r="AH11" s="169"/>
      <c r="AI11" s="169"/>
      <c r="AJ11" s="169"/>
      <c r="AK11" s="199"/>
      <c r="AL11" s="169"/>
    </row>
    <row r="12" spans="1:38" s="139" customFormat="1" ht="24.75" customHeight="1" x14ac:dyDescent="0.2">
      <c r="A12" s="108" t="s">
        <v>258</v>
      </c>
      <c r="B12" s="108" t="s">
        <v>256</v>
      </c>
      <c r="C12" s="108" t="s">
        <v>397</v>
      </c>
      <c r="D12" s="205"/>
      <c r="E12" s="73" t="s">
        <v>84</v>
      </c>
      <c r="F12" s="26"/>
      <c r="G12" s="53"/>
      <c r="H12" s="108" t="s">
        <v>113</v>
      </c>
      <c r="I12" s="4" t="s">
        <v>34</v>
      </c>
      <c r="J12" s="158" t="s">
        <v>35</v>
      </c>
      <c r="K12" s="56">
        <v>2</v>
      </c>
      <c r="L12" s="4" t="s">
        <v>36</v>
      </c>
      <c r="M12" s="56" t="s">
        <v>85</v>
      </c>
      <c r="N12" s="159" t="s">
        <v>38</v>
      </c>
      <c r="O12" s="19" t="s">
        <v>39</v>
      </c>
      <c r="P12" s="79" t="s">
        <v>63</v>
      </c>
      <c r="Q12" s="28"/>
      <c r="R12" s="56" t="str">
        <f t="shared" si="0"/>
        <v>PER-E-2-U3-MAN-002-00-VHHR</v>
      </c>
      <c r="S12" s="111"/>
      <c r="T12" s="111" t="s">
        <v>86</v>
      </c>
      <c r="U12" s="111"/>
      <c r="V12" s="160"/>
      <c r="W12" s="203" t="s">
        <v>780</v>
      </c>
      <c r="X12" s="161"/>
      <c r="Y12" s="162"/>
      <c r="Z12" s="163"/>
      <c r="AA12" s="164"/>
      <c r="AB12" s="164"/>
      <c r="AC12" s="165"/>
      <c r="AD12" s="166"/>
      <c r="AE12" s="167"/>
      <c r="AF12" s="165"/>
      <c r="AG12" s="168"/>
      <c r="AH12" s="169"/>
      <c r="AI12" s="169"/>
      <c r="AJ12" s="169"/>
      <c r="AK12" s="199"/>
      <c r="AL12" s="169"/>
    </row>
    <row r="13" spans="1:38" s="139" customFormat="1" ht="24.75" customHeight="1" x14ac:dyDescent="0.2">
      <c r="A13" s="108" t="s">
        <v>258</v>
      </c>
      <c r="B13" s="108" t="s">
        <v>256</v>
      </c>
      <c r="C13" s="108" t="s">
        <v>397</v>
      </c>
      <c r="D13" s="205"/>
      <c r="E13" s="73" t="s">
        <v>87</v>
      </c>
      <c r="F13" s="26"/>
      <c r="G13" s="53"/>
      <c r="H13" s="108" t="s">
        <v>113</v>
      </c>
      <c r="I13" s="4" t="s">
        <v>34</v>
      </c>
      <c r="J13" s="158" t="s">
        <v>35</v>
      </c>
      <c r="K13" s="56">
        <v>2</v>
      </c>
      <c r="L13" s="4" t="s">
        <v>36</v>
      </c>
      <c r="M13" s="56" t="s">
        <v>85</v>
      </c>
      <c r="N13" s="159" t="s">
        <v>42</v>
      </c>
      <c r="O13" s="19" t="s">
        <v>39</v>
      </c>
      <c r="P13" s="79" t="s">
        <v>63</v>
      </c>
      <c r="Q13" s="28"/>
      <c r="R13" s="56" t="str">
        <f t="shared" si="0"/>
        <v>PER-E-2-U3-MAN-001-00-VHHR</v>
      </c>
      <c r="S13" s="111"/>
      <c r="T13" s="111" t="s">
        <v>88</v>
      </c>
      <c r="U13" s="111"/>
      <c r="V13" s="160"/>
      <c r="W13" s="203" t="s">
        <v>780</v>
      </c>
      <c r="X13" s="161" t="s">
        <v>802</v>
      </c>
      <c r="Y13" s="162"/>
      <c r="Z13" s="163"/>
      <c r="AA13" s="164"/>
      <c r="AB13" s="164"/>
      <c r="AC13" s="165"/>
      <c r="AD13" s="166"/>
      <c r="AE13" s="167"/>
      <c r="AF13" s="165"/>
      <c r="AG13" s="168"/>
      <c r="AH13" s="169"/>
      <c r="AI13" s="169"/>
      <c r="AJ13" s="169"/>
      <c r="AK13" s="199"/>
      <c r="AL13" s="169"/>
    </row>
    <row r="14" spans="1:38" s="139" customFormat="1" ht="24.75" customHeight="1" x14ac:dyDescent="0.2">
      <c r="A14" s="108" t="s">
        <v>255</v>
      </c>
      <c r="B14" s="108" t="s">
        <v>258</v>
      </c>
      <c r="C14" s="108" t="s">
        <v>395</v>
      </c>
      <c r="D14" s="205"/>
      <c r="E14" s="73" t="s">
        <v>90</v>
      </c>
      <c r="F14" s="26"/>
      <c r="G14" s="53"/>
      <c r="H14" s="108" t="s">
        <v>113</v>
      </c>
      <c r="I14" s="4" t="s">
        <v>34</v>
      </c>
      <c r="J14" s="158" t="s">
        <v>35</v>
      </c>
      <c r="K14" s="56">
        <v>2</v>
      </c>
      <c r="L14" s="4" t="s">
        <v>36</v>
      </c>
      <c r="M14" s="56" t="s">
        <v>47</v>
      </c>
      <c r="N14" s="159" t="s">
        <v>91</v>
      </c>
      <c r="O14" s="19" t="s">
        <v>39</v>
      </c>
      <c r="P14" s="79" t="s">
        <v>63</v>
      </c>
      <c r="Q14" s="28"/>
      <c r="R14" s="56" t="str">
        <f t="shared" si="0"/>
        <v>PER-E-2-U3-SOF-100-00-VHHR</v>
      </c>
      <c r="S14" s="111" t="s">
        <v>781</v>
      </c>
      <c r="T14" s="111" t="s">
        <v>92</v>
      </c>
      <c r="U14" s="111"/>
      <c r="V14" s="160"/>
      <c r="W14" s="111" t="s">
        <v>757</v>
      </c>
      <c r="X14" s="161" t="s">
        <v>802</v>
      </c>
      <c r="Y14" s="162"/>
      <c r="Z14" s="163"/>
      <c r="AA14" s="164"/>
      <c r="AB14" s="164"/>
      <c r="AC14" s="165"/>
      <c r="AD14" s="166"/>
      <c r="AE14" s="167"/>
      <c r="AF14" s="165"/>
      <c r="AG14" s="168"/>
      <c r="AH14" s="169"/>
      <c r="AI14" s="169"/>
      <c r="AJ14" s="169"/>
      <c r="AK14" s="199"/>
      <c r="AL14" s="169"/>
    </row>
    <row r="15" spans="1:38" s="139" customFormat="1" ht="24.75" customHeight="1" x14ac:dyDescent="0.2">
      <c r="A15" s="108" t="s">
        <v>255</v>
      </c>
      <c r="B15" s="108" t="s">
        <v>258</v>
      </c>
      <c r="C15" s="108" t="s">
        <v>395</v>
      </c>
      <c r="D15" s="205" t="s">
        <v>800</v>
      </c>
      <c r="E15" s="73" t="s">
        <v>93</v>
      </c>
      <c r="F15" s="26"/>
      <c r="G15" s="53"/>
      <c r="H15" s="108" t="s">
        <v>113</v>
      </c>
      <c r="I15" s="4" t="s">
        <v>34</v>
      </c>
      <c r="J15" s="158" t="s">
        <v>35</v>
      </c>
      <c r="K15" s="56">
        <v>2</v>
      </c>
      <c r="L15" s="4" t="s">
        <v>36</v>
      </c>
      <c r="M15" s="56" t="s">
        <v>47</v>
      </c>
      <c r="N15" s="159" t="s">
        <v>51</v>
      </c>
      <c r="O15" s="19" t="s">
        <v>39</v>
      </c>
      <c r="P15" s="79" t="s">
        <v>63</v>
      </c>
      <c r="Q15" s="28"/>
      <c r="R15" s="56" t="str">
        <f t="shared" si="0"/>
        <v>PER-E-2-U3-SOF-101-00-VHHR</v>
      </c>
      <c r="S15" s="111" t="s">
        <v>472</v>
      </c>
      <c r="T15" s="111" t="s">
        <v>94</v>
      </c>
      <c r="U15" s="111" t="s">
        <v>803</v>
      </c>
      <c r="V15" s="160"/>
      <c r="W15" s="203" t="s">
        <v>464</v>
      </c>
      <c r="X15" s="161"/>
      <c r="Y15" s="162"/>
      <c r="Z15" s="163"/>
      <c r="AA15" s="164"/>
      <c r="AB15" s="164"/>
      <c r="AC15" s="165"/>
      <c r="AD15" s="166"/>
      <c r="AE15" s="167"/>
      <c r="AF15" s="165"/>
      <c r="AG15" s="168"/>
      <c r="AH15" s="169"/>
      <c r="AI15" s="169"/>
      <c r="AJ15" s="169"/>
      <c r="AK15" s="199"/>
      <c r="AL15" s="169"/>
    </row>
    <row r="16" spans="1:38" s="139" customFormat="1" ht="24.75" customHeight="1" x14ac:dyDescent="0.2">
      <c r="A16" s="108" t="s">
        <v>255</v>
      </c>
      <c r="B16" s="108" t="s">
        <v>258</v>
      </c>
      <c r="C16" s="108" t="s">
        <v>401</v>
      </c>
      <c r="D16" s="205" t="s">
        <v>800</v>
      </c>
      <c r="E16" s="73" t="s">
        <v>95</v>
      </c>
      <c r="F16" s="26"/>
      <c r="G16" s="53"/>
      <c r="H16" s="108" t="s">
        <v>113</v>
      </c>
      <c r="I16" s="4" t="s">
        <v>34</v>
      </c>
      <c r="J16" s="158" t="s">
        <v>35</v>
      </c>
      <c r="K16" s="56">
        <v>8</v>
      </c>
      <c r="L16" s="4" t="s">
        <v>36</v>
      </c>
      <c r="M16" s="56" t="s">
        <v>50</v>
      </c>
      <c r="N16" s="159" t="s">
        <v>42</v>
      </c>
      <c r="O16" s="19" t="s">
        <v>39</v>
      </c>
      <c r="P16" s="79" t="s">
        <v>63</v>
      </c>
      <c r="Q16" s="28"/>
      <c r="R16" s="56" t="str">
        <f t="shared" si="0"/>
        <v>PER-E-8-U3-SCH-001-00-VHHR</v>
      </c>
      <c r="S16" s="111" t="s">
        <v>482</v>
      </c>
      <c r="T16" s="111" t="s">
        <v>96</v>
      </c>
      <c r="U16" s="111" t="s">
        <v>804</v>
      </c>
      <c r="V16" s="160"/>
      <c r="W16" s="111" t="s">
        <v>754</v>
      </c>
      <c r="X16" s="161"/>
      <c r="Y16" s="162"/>
      <c r="Z16" s="163"/>
      <c r="AA16" s="164"/>
      <c r="AB16" s="164"/>
      <c r="AC16" s="165"/>
      <c r="AD16" s="166"/>
      <c r="AE16" s="167"/>
      <c r="AF16" s="165"/>
      <c r="AG16" s="168"/>
      <c r="AH16" s="169"/>
      <c r="AI16" s="169"/>
      <c r="AJ16" s="169"/>
      <c r="AK16" s="199"/>
      <c r="AL16" s="169"/>
    </row>
    <row r="17" spans="1:38" s="139" customFormat="1" ht="24.75" customHeight="1" x14ac:dyDescent="0.2">
      <c r="A17" s="108" t="s">
        <v>255</v>
      </c>
      <c r="B17" s="108" t="s">
        <v>258</v>
      </c>
      <c r="C17" s="108" t="s">
        <v>401</v>
      </c>
      <c r="D17" s="123" t="s">
        <v>407</v>
      </c>
      <c r="E17" s="73" t="s">
        <v>97</v>
      </c>
      <c r="F17" s="26"/>
      <c r="G17" s="53"/>
      <c r="H17" s="108" t="s">
        <v>113</v>
      </c>
      <c r="I17" s="4" t="s">
        <v>34</v>
      </c>
      <c r="J17" s="158" t="s">
        <v>35</v>
      </c>
      <c r="K17" s="56">
        <v>8</v>
      </c>
      <c r="L17" s="4" t="s">
        <v>36</v>
      </c>
      <c r="M17" s="56" t="s">
        <v>68</v>
      </c>
      <c r="N17" s="159" t="s">
        <v>42</v>
      </c>
      <c r="O17" s="19" t="s">
        <v>39</v>
      </c>
      <c r="P17" s="79" t="s">
        <v>63</v>
      </c>
      <c r="Q17" s="28"/>
      <c r="R17" s="56" t="str">
        <f t="shared" si="0"/>
        <v>PER-E-8-U3-ASB-001-00-VHHR</v>
      </c>
      <c r="S17" s="111" t="s">
        <v>480</v>
      </c>
      <c r="T17" s="111" t="s">
        <v>69</v>
      </c>
      <c r="U17" s="111"/>
      <c r="V17" s="160"/>
      <c r="W17" s="111" t="s">
        <v>751</v>
      </c>
      <c r="X17" s="161"/>
      <c r="Y17" s="162"/>
      <c r="Z17" s="163"/>
      <c r="AA17" s="164"/>
      <c r="AB17" s="164"/>
      <c r="AC17" s="165"/>
      <c r="AD17" s="166"/>
      <c r="AE17" s="167"/>
      <c r="AF17" s="165"/>
      <c r="AG17" s="168"/>
      <c r="AH17" s="169"/>
      <c r="AI17" s="169"/>
      <c r="AJ17" s="169"/>
      <c r="AK17" s="199"/>
      <c r="AL17" s="169"/>
    </row>
    <row r="18" spans="1:38" s="139" customFormat="1" ht="24.75" customHeight="1" x14ac:dyDescent="0.2">
      <c r="A18" s="108" t="s">
        <v>255</v>
      </c>
      <c r="B18" s="108" t="s">
        <v>258</v>
      </c>
      <c r="C18" s="108" t="s">
        <v>401</v>
      </c>
      <c r="D18" s="123" t="s">
        <v>407</v>
      </c>
      <c r="E18" s="73" t="s">
        <v>98</v>
      </c>
      <c r="F18" s="26"/>
      <c r="G18" s="53"/>
      <c r="H18" s="108" t="s">
        <v>113</v>
      </c>
      <c r="I18" s="4" t="s">
        <v>34</v>
      </c>
      <c r="J18" s="158" t="s">
        <v>35</v>
      </c>
      <c r="K18" s="56">
        <v>8</v>
      </c>
      <c r="L18" s="4" t="s">
        <v>36</v>
      </c>
      <c r="M18" s="56" t="s">
        <v>71</v>
      </c>
      <c r="N18" s="159" t="s">
        <v>42</v>
      </c>
      <c r="O18" s="19" t="s">
        <v>39</v>
      </c>
      <c r="P18" s="79" t="s">
        <v>63</v>
      </c>
      <c r="Q18" s="28"/>
      <c r="R18" s="56" t="str">
        <f t="shared" si="0"/>
        <v>PER-E-8-U3-LST-001-00-VHHR</v>
      </c>
      <c r="S18" s="111" t="s">
        <v>481</v>
      </c>
      <c r="T18" s="111" t="s">
        <v>99</v>
      </c>
      <c r="U18" s="111"/>
      <c r="V18" s="160"/>
      <c r="W18" s="111" t="s">
        <v>753</v>
      </c>
      <c r="X18" s="161"/>
      <c r="Y18" s="162"/>
      <c r="Z18" s="163"/>
      <c r="AA18" s="164"/>
      <c r="AB18" s="164"/>
      <c r="AC18" s="165"/>
      <c r="AD18" s="166"/>
      <c r="AE18" s="167"/>
      <c r="AF18" s="165"/>
      <c r="AG18" s="168"/>
      <c r="AH18" s="169"/>
      <c r="AI18" s="169"/>
      <c r="AJ18" s="169"/>
      <c r="AK18" s="199"/>
      <c r="AL18" s="169"/>
    </row>
    <row r="19" spans="1:38" s="139" customFormat="1" ht="24.75" customHeight="1" x14ac:dyDescent="0.2">
      <c r="A19" s="108" t="s">
        <v>255</v>
      </c>
      <c r="B19" s="108" t="s">
        <v>258</v>
      </c>
      <c r="C19" s="108" t="s">
        <v>401</v>
      </c>
      <c r="D19" s="123" t="s">
        <v>407</v>
      </c>
      <c r="E19" s="73" t="s">
        <v>100</v>
      </c>
      <c r="F19" s="26"/>
      <c r="G19" s="53"/>
      <c r="H19" s="108" t="s">
        <v>113</v>
      </c>
      <c r="I19" s="4" t="s">
        <v>34</v>
      </c>
      <c r="J19" s="158" t="s">
        <v>35</v>
      </c>
      <c r="K19" s="56">
        <v>8</v>
      </c>
      <c r="L19" s="4" t="s">
        <v>36</v>
      </c>
      <c r="M19" s="56" t="s">
        <v>76</v>
      </c>
      <c r="N19" s="159" t="s">
        <v>42</v>
      </c>
      <c r="O19" s="19" t="s">
        <v>39</v>
      </c>
      <c r="P19" s="79" t="s">
        <v>63</v>
      </c>
      <c r="Q19" s="28"/>
      <c r="R19" s="56" t="str">
        <f t="shared" si="0"/>
        <v>PER-E-8-U3-ROU-001-00-VHHR</v>
      </c>
      <c r="S19" s="111" t="s">
        <v>600</v>
      </c>
      <c r="T19" s="111" t="s">
        <v>77</v>
      </c>
      <c r="U19" s="111"/>
      <c r="V19" s="160"/>
      <c r="W19" s="111" t="s">
        <v>753</v>
      </c>
      <c r="X19" s="161"/>
      <c r="Y19" s="162"/>
      <c r="Z19" s="163"/>
      <c r="AA19" s="164"/>
      <c r="AB19" s="164"/>
      <c r="AC19" s="165"/>
      <c r="AD19" s="166"/>
      <c r="AE19" s="167"/>
      <c r="AF19" s="165"/>
      <c r="AG19" s="168"/>
      <c r="AH19" s="169"/>
      <c r="AI19" s="169"/>
      <c r="AJ19" s="169"/>
      <c r="AK19" s="199"/>
      <c r="AL19" s="169"/>
    </row>
    <row r="20" spans="1:38" s="139" customFormat="1" ht="24.75" customHeight="1" x14ac:dyDescent="0.2">
      <c r="A20" s="108" t="s">
        <v>256</v>
      </c>
      <c r="B20" s="108" t="s">
        <v>256</v>
      </c>
      <c r="C20" s="108" t="s">
        <v>402</v>
      </c>
      <c r="D20" s="207" t="s">
        <v>408</v>
      </c>
      <c r="E20" s="73" t="s">
        <v>101</v>
      </c>
      <c r="F20" s="26"/>
      <c r="G20" s="53"/>
      <c r="H20" s="108" t="s">
        <v>113</v>
      </c>
      <c r="I20" s="4" t="s">
        <v>34</v>
      </c>
      <c r="J20" s="158" t="s">
        <v>35</v>
      </c>
      <c r="K20" s="56">
        <v>8</v>
      </c>
      <c r="L20" s="4" t="s">
        <v>36</v>
      </c>
      <c r="M20" s="56" t="s">
        <v>79</v>
      </c>
      <c r="N20" s="159" t="s">
        <v>42</v>
      </c>
      <c r="O20" s="19" t="s">
        <v>39</v>
      </c>
      <c r="P20" s="79" t="s">
        <v>63</v>
      </c>
      <c r="Q20" s="28"/>
      <c r="R20" s="56" t="str">
        <f t="shared" si="0"/>
        <v>PER-E-8-U3-FAT-001-00-VHHR</v>
      </c>
      <c r="S20" s="111" t="s">
        <v>782</v>
      </c>
      <c r="T20" s="111" t="s">
        <v>102</v>
      </c>
      <c r="U20" s="111"/>
      <c r="V20" s="160"/>
      <c r="W20" s="111" t="s">
        <v>764</v>
      </c>
      <c r="X20" s="161"/>
      <c r="Y20" s="162"/>
      <c r="Z20" s="163"/>
      <c r="AA20" s="164"/>
      <c r="AB20" s="164"/>
      <c r="AC20" s="165"/>
      <c r="AD20" s="166"/>
      <c r="AE20" s="167"/>
      <c r="AF20" s="165"/>
      <c r="AG20" s="168"/>
      <c r="AH20" s="169"/>
      <c r="AI20" s="169"/>
      <c r="AJ20" s="169"/>
      <c r="AK20" s="199"/>
      <c r="AL20" s="169"/>
    </row>
    <row r="21" spans="1:38" s="139" customFormat="1" ht="24.75" customHeight="1" x14ac:dyDescent="0.2">
      <c r="A21" s="108" t="s">
        <v>255</v>
      </c>
      <c r="B21" s="108" t="s">
        <v>258</v>
      </c>
      <c r="C21" s="108" t="s">
        <v>403</v>
      </c>
      <c r="D21" s="123" t="s">
        <v>407</v>
      </c>
      <c r="E21" s="73" t="s">
        <v>103</v>
      </c>
      <c r="F21" s="26"/>
      <c r="G21" s="53"/>
      <c r="H21" s="108" t="s">
        <v>113</v>
      </c>
      <c r="I21" s="4" t="s">
        <v>34</v>
      </c>
      <c r="J21" s="158" t="s">
        <v>35</v>
      </c>
      <c r="K21" s="56">
        <v>8</v>
      </c>
      <c r="L21" s="4" t="s">
        <v>36</v>
      </c>
      <c r="M21" s="56" t="s">
        <v>47</v>
      </c>
      <c r="N21" s="159" t="s">
        <v>91</v>
      </c>
      <c r="O21" s="19" t="s">
        <v>39</v>
      </c>
      <c r="P21" s="79" t="s">
        <v>63</v>
      </c>
      <c r="Q21" s="28"/>
      <c r="R21" s="56" t="str">
        <f t="shared" si="0"/>
        <v>PER-E-8-U3-SOF-100-00-VHHR</v>
      </c>
      <c r="S21" s="111" t="s">
        <v>781</v>
      </c>
      <c r="T21" s="111" t="s">
        <v>104</v>
      </c>
      <c r="U21" s="111"/>
      <c r="V21" s="160"/>
      <c r="W21" s="111" t="s">
        <v>757</v>
      </c>
      <c r="X21" s="161"/>
      <c r="Y21" s="162"/>
      <c r="Z21" s="163"/>
      <c r="AA21" s="164"/>
      <c r="AB21" s="164"/>
      <c r="AC21" s="165"/>
      <c r="AD21" s="166"/>
      <c r="AE21" s="167"/>
      <c r="AF21" s="165"/>
      <c r="AG21" s="168"/>
      <c r="AH21" s="169"/>
      <c r="AI21" s="169"/>
      <c r="AJ21" s="169"/>
      <c r="AK21" s="199"/>
      <c r="AL21" s="169"/>
    </row>
    <row r="22" spans="1:38" s="139" customFormat="1" ht="24.75" customHeight="1" x14ac:dyDescent="0.2">
      <c r="A22" s="108" t="s">
        <v>255</v>
      </c>
      <c r="B22" s="108" t="s">
        <v>258</v>
      </c>
      <c r="C22" s="108" t="s">
        <v>403</v>
      </c>
      <c r="D22" s="123" t="s">
        <v>407</v>
      </c>
      <c r="E22" s="73" t="s">
        <v>105</v>
      </c>
      <c r="F22" s="26"/>
      <c r="G22" s="53"/>
      <c r="H22" s="108" t="s">
        <v>113</v>
      </c>
      <c r="I22" s="4" t="s">
        <v>34</v>
      </c>
      <c r="J22" s="158" t="s">
        <v>35</v>
      </c>
      <c r="K22" s="56">
        <v>8</v>
      </c>
      <c r="L22" s="4" t="s">
        <v>36</v>
      </c>
      <c r="M22" s="56" t="s">
        <v>50</v>
      </c>
      <c r="N22" s="159" t="s">
        <v>38</v>
      </c>
      <c r="O22" s="19" t="s">
        <v>39</v>
      </c>
      <c r="P22" s="79" t="s">
        <v>63</v>
      </c>
      <c r="Q22" s="28"/>
      <c r="R22" s="56" t="str">
        <f t="shared" si="0"/>
        <v>PER-E-8-U3-SCH-002-00-VHHR</v>
      </c>
      <c r="S22" s="111" t="s">
        <v>483</v>
      </c>
      <c r="T22" s="111" t="s">
        <v>106</v>
      </c>
      <c r="U22" s="111"/>
      <c r="V22" s="160"/>
      <c r="W22" s="111" t="s">
        <v>750</v>
      </c>
      <c r="X22" s="161"/>
      <c r="Y22" s="162"/>
      <c r="Z22" s="163"/>
      <c r="AA22" s="164"/>
      <c r="AB22" s="164"/>
      <c r="AC22" s="165"/>
      <c r="AD22" s="166"/>
      <c r="AE22" s="167"/>
      <c r="AF22" s="165"/>
      <c r="AG22" s="168"/>
      <c r="AH22" s="169"/>
      <c r="AI22" s="169"/>
      <c r="AJ22" s="169"/>
      <c r="AK22" s="199"/>
      <c r="AL22" s="169"/>
    </row>
    <row r="23" spans="1:38" s="139" customFormat="1" ht="24.75" customHeight="1" x14ac:dyDescent="0.2">
      <c r="A23" s="108" t="s">
        <v>256</v>
      </c>
      <c r="B23" s="108" t="s">
        <v>256</v>
      </c>
      <c r="C23" s="108" t="s">
        <v>402</v>
      </c>
      <c r="D23" s="207" t="s">
        <v>408</v>
      </c>
      <c r="E23" s="73" t="s">
        <v>107</v>
      </c>
      <c r="F23" s="26"/>
      <c r="G23" s="53"/>
      <c r="H23" s="108" t="s">
        <v>113</v>
      </c>
      <c r="I23" s="4" t="s">
        <v>34</v>
      </c>
      <c r="J23" s="158" t="s">
        <v>35</v>
      </c>
      <c r="K23" s="56">
        <v>8</v>
      </c>
      <c r="L23" s="4" t="s">
        <v>36</v>
      </c>
      <c r="M23" s="56" t="s">
        <v>82</v>
      </c>
      <c r="N23" s="159" t="s">
        <v>42</v>
      </c>
      <c r="O23" s="19" t="s">
        <v>39</v>
      </c>
      <c r="P23" s="79" t="s">
        <v>63</v>
      </c>
      <c r="Q23" s="28"/>
      <c r="R23" s="56" t="str">
        <f t="shared" si="0"/>
        <v>PER-E-8-U3-CMM-001-00-VHHR</v>
      </c>
      <c r="S23" s="111" t="s">
        <v>783</v>
      </c>
      <c r="T23" s="111" t="s">
        <v>83</v>
      </c>
      <c r="U23" s="111"/>
      <c r="V23" s="160"/>
      <c r="W23" s="111" t="s">
        <v>764</v>
      </c>
      <c r="X23" s="161"/>
      <c r="Y23" s="162"/>
      <c r="Z23" s="163"/>
      <c r="AA23" s="164"/>
      <c r="AB23" s="164"/>
      <c r="AC23" s="165"/>
      <c r="AD23" s="166"/>
      <c r="AE23" s="167"/>
      <c r="AF23" s="165"/>
      <c r="AG23" s="168"/>
      <c r="AH23" s="169"/>
      <c r="AI23" s="169"/>
      <c r="AJ23" s="169"/>
      <c r="AK23" s="199"/>
      <c r="AL23" s="169"/>
    </row>
    <row r="24" spans="1:38" s="139" customFormat="1" ht="24.75" customHeight="1" x14ac:dyDescent="0.2">
      <c r="A24" s="108" t="s">
        <v>258</v>
      </c>
      <c r="B24" s="108" t="s">
        <v>256</v>
      </c>
      <c r="C24" s="108" t="s">
        <v>404</v>
      </c>
      <c r="D24" s="205"/>
      <c r="E24" s="73" t="s">
        <v>108</v>
      </c>
      <c r="F24" s="26"/>
      <c r="G24" s="53"/>
      <c r="H24" s="108" t="s">
        <v>113</v>
      </c>
      <c r="I24" s="4" t="s">
        <v>34</v>
      </c>
      <c r="J24" s="158" t="s">
        <v>35</v>
      </c>
      <c r="K24" s="56">
        <v>8</v>
      </c>
      <c r="L24" s="4" t="s">
        <v>36</v>
      </c>
      <c r="M24" s="56" t="s">
        <v>85</v>
      </c>
      <c r="N24" s="159" t="s">
        <v>42</v>
      </c>
      <c r="O24" s="19" t="s">
        <v>39</v>
      </c>
      <c r="P24" s="79" t="s">
        <v>63</v>
      </c>
      <c r="Q24" s="28"/>
      <c r="R24" s="56" t="str">
        <f t="shared" si="0"/>
        <v>PER-E-8-U3-MAN-001-00-VHHR</v>
      </c>
      <c r="S24" s="111"/>
      <c r="T24" s="111" t="s">
        <v>109</v>
      </c>
      <c r="U24" s="111"/>
      <c r="V24" s="160"/>
      <c r="W24" s="203" t="s">
        <v>780</v>
      </c>
      <c r="X24" s="161"/>
      <c r="Y24" s="162"/>
      <c r="Z24" s="163"/>
      <c r="AA24" s="164"/>
      <c r="AB24" s="164"/>
      <c r="AC24" s="165"/>
      <c r="AD24" s="166"/>
      <c r="AE24" s="167"/>
      <c r="AF24" s="165"/>
      <c r="AG24" s="168"/>
      <c r="AH24" s="169"/>
      <c r="AI24" s="169"/>
      <c r="AJ24" s="169"/>
      <c r="AK24" s="199"/>
      <c r="AL24" s="169"/>
    </row>
    <row r="25" spans="1:38" s="139" customFormat="1" ht="24.75" customHeight="1" x14ac:dyDescent="0.2">
      <c r="A25" s="108" t="s">
        <v>255</v>
      </c>
      <c r="B25" s="108" t="s">
        <v>258</v>
      </c>
      <c r="C25" s="108" t="s">
        <v>398</v>
      </c>
      <c r="D25" s="123" t="s">
        <v>406</v>
      </c>
      <c r="E25" s="73" t="s">
        <v>457</v>
      </c>
      <c r="F25" s="26"/>
      <c r="G25" s="53"/>
      <c r="H25" s="108" t="s">
        <v>113</v>
      </c>
      <c r="I25" s="4" t="s">
        <v>34</v>
      </c>
      <c r="J25" s="158" t="s">
        <v>35</v>
      </c>
      <c r="K25" s="56">
        <v>2</v>
      </c>
      <c r="L25" s="4" t="s">
        <v>36</v>
      </c>
      <c r="M25" s="56" t="s">
        <v>52</v>
      </c>
      <c r="N25" s="159" t="s">
        <v>42</v>
      </c>
      <c r="O25" s="19" t="s">
        <v>39</v>
      </c>
      <c r="P25" s="79" t="s">
        <v>63</v>
      </c>
      <c r="Q25" s="28"/>
      <c r="R25" s="56" t="str">
        <f t="shared" si="0"/>
        <v>PER-E-2-U3-TSP-001-00-VHHR</v>
      </c>
      <c r="S25" s="111" t="s">
        <v>456</v>
      </c>
      <c r="T25" s="111" t="s">
        <v>456</v>
      </c>
      <c r="U25" s="111"/>
      <c r="V25" s="160"/>
      <c r="W25" s="111" t="s">
        <v>750</v>
      </c>
      <c r="X25" s="161"/>
      <c r="Y25" s="162"/>
      <c r="Z25" s="163"/>
      <c r="AA25" s="164"/>
      <c r="AB25" s="164"/>
      <c r="AC25" s="165"/>
      <c r="AD25" s="166"/>
      <c r="AE25" s="167"/>
      <c r="AF25" s="165"/>
      <c r="AG25" s="168"/>
      <c r="AH25" s="169"/>
      <c r="AI25" s="169"/>
      <c r="AJ25" s="169"/>
      <c r="AK25" s="199"/>
      <c r="AL25" s="169"/>
    </row>
    <row r="26" spans="1:38" s="139" customFormat="1" ht="24.75" customHeight="1" x14ac:dyDescent="0.2">
      <c r="A26" s="108" t="s">
        <v>255</v>
      </c>
      <c r="B26" s="108" t="s">
        <v>258</v>
      </c>
      <c r="C26" s="108" t="s">
        <v>405</v>
      </c>
      <c r="D26" s="123" t="s">
        <v>406</v>
      </c>
      <c r="E26" s="73" t="s">
        <v>400</v>
      </c>
      <c r="F26" s="26"/>
      <c r="G26" s="53"/>
      <c r="H26" s="108" t="s">
        <v>113</v>
      </c>
      <c r="I26" s="4" t="s">
        <v>34</v>
      </c>
      <c r="J26" s="158" t="s">
        <v>35</v>
      </c>
      <c r="K26" s="56">
        <v>8</v>
      </c>
      <c r="L26" s="4" t="s">
        <v>36</v>
      </c>
      <c r="M26" s="56" t="s">
        <v>52</v>
      </c>
      <c r="N26" s="159" t="s">
        <v>42</v>
      </c>
      <c r="O26" s="19" t="s">
        <v>39</v>
      </c>
      <c r="P26" s="79" t="s">
        <v>63</v>
      </c>
      <c r="Q26" s="28"/>
      <c r="R26" s="56" t="str">
        <f t="shared" si="0"/>
        <v>PER-E-8-U3-TSP-001-00-VHHR</v>
      </c>
      <c r="S26" s="111" t="s">
        <v>399</v>
      </c>
      <c r="T26" s="111" t="s">
        <v>399</v>
      </c>
      <c r="U26" s="111"/>
      <c r="V26" s="160"/>
      <c r="W26" s="111" t="s">
        <v>750</v>
      </c>
      <c r="X26" s="161"/>
      <c r="Y26" s="162"/>
      <c r="Z26" s="163"/>
      <c r="AA26" s="164"/>
      <c r="AB26" s="164"/>
      <c r="AC26" s="165"/>
      <c r="AD26" s="166"/>
      <c r="AE26" s="167"/>
      <c r="AF26" s="165"/>
      <c r="AG26" s="168"/>
      <c r="AH26" s="169"/>
      <c r="AI26" s="169"/>
      <c r="AJ26" s="169"/>
      <c r="AK26" s="199"/>
      <c r="AL26" s="169"/>
    </row>
    <row r="29" spans="1:38" x14ac:dyDescent="0.25">
      <c r="D29" s="140"/>
      <c r="E29" s="109" t="s">
        <v>420</v>
      </c>
    </row>
    <row r="30" spans="1:38" x14ac:dyDescent="0.25">
      <c r="D30" s="141"/>
      <c r="E30" s="109" t="s">
        <v>458</v>
      </c>
    </row>
    <row r="31" spans="1:38" x14ac:dyDescent="0.25">
      <c r="D31" s="142" t="s">
        <v>800</v>
      </c>
      <c r="E31" s="109" t="s">
        <v>421</v>
      </c>
      <c r="U31" t="s">
        <v>805</v>
      </c>
    </row>
    <row r="32" spans="1:38" x14ac:dyDescent="0.25">
      <c r="D32" s="143" t="s">
        <v>800</v>
      </c>
      <c r="E32" s="109" t="s">
        <v>454</v>
      </c>
      <c r="U32" t="s">
        <v>809</v>
      </c>
    </row>
    <row r="33" spans="4:21" x14ac:dyDescent="0.25">
      <c r="D33" s="206"/>
      <c r="E33" s="109" t="s">
        <v>459</v>
      </c>
    </row>
    <row r="34" spans="4:21" x14ac:dyDescent="0.25">
      <c r="D34" s="204"/>
      <c r="E34" s="109" t="s">
        <v>455</v>
      </c>
    </row>
    <row r="37" spans="4:21" x14ac:dyDescent="0.25">
      <c r="D37" t="s">
        <v>800</v>
      </c>
      <c r="U37" t="s">
        <v>806</v>
      </c>
    </row>
    <row r="38" spans="4:21" x14ac:dyDescent="0.25">
      <c r="D38" t="s">
        <v>800</v>
      </c>
      <c r="U38" t="s">
        <v>807</v>
      </c>
    </row>
    <row r="39" spans="4:21" x14ac:dyDescent="0.25">
      <c r="D39" t="s">
        <v>800</v>
      </c>
      <c r="U39" t="s">
        <v>808</v>
      </c>
    </row>
  </sheetData>
  <protectedRanges>
    <protectedRange sqref="S26" name="Range2_2_2"/>
  </protectedRanges>
  <autoFilter ref="A3:A26" xr:uid="{3ADE1A5F-F452-4D16-BE9C-9BE9C5CD28FF}"/>
  <conditionalFormatting sqref="A1:D2">
    <cfRule type="duplicateValues" dxfId="104" priority="3446"/>
    <cfRule type="duplicateValues" dxfId="103" priority="3447"/>
  </conditionalFormatting>
  <conditionalFormatting sqref="A3:D3">
    <cfRule type="duplicateValues" dxfId="102" priority="3450"/>
    <cfRule type="duplicateValues" dxfId="101" priority="3451"/>
  </conditionalFormatting>
  <conditionalFormatting sqref="E1:E3">
    <cfRule type="duplicateValues" dxfId="100" priority="3511"/>
    <cfRule type="duplicateValues" dxfId="99" priority="3512"/>
  </conditionalFormatting>
  <conditionalFormatting sqref="E4:E26">
    <cfRule type="duplicateValues" dxfId="98" priority="7"/>
    <cfRule type="duplicateValues" dxfId="97" priority="8"/>
  </conditionalFormatting>
  <conditionalFormatting sqref="E29:E31 E34">
    <cfRule type="duplicateValues" dxfId="96" priority="1"/>
    <cfRule type="duplicateValues" dxfId="95" priority="2"/>
  </conditionalFormatting>
  <conditionalFormatting sqref="E32:E33">
    <cfRule type="duplicateValues" dxfId="94" priority="3"/>
    <cfRule type="duplicateValues" dxfId="93" priority="4"/>
  </conditionalFormatting>
  <conditionalFormatting sqref="F1:F3 F5:F26">
    <cfRule type="duplicateValues" dxfId="92" priority="3513"/>
  </conditionalFormatting>
  <conditionalFormatting sqref="F4">
    <cfRule type="duplicateValues" dxfId="91" priority="11"/>
  </conditionalFormatting>
  <conditionalFormatting sqref="G1:G2 G5:G26">
    <cfRule type="duplicateValues" dxfId="90" priority="3515"/>
  </conditionalFormatting>
  <conditionalFormatting sqref="G3">
    <cfRule type="duplicateValues" dxfId="89" priority="23"/>
    <cfRule type="duplicateValues" dxfId="88" priority="24"/>
  </conditionalFormatting>
  <conditionalFormatting sqref="G4">
    <cfRule type="duplicateValues" dxfId="87" priority="12"/>
  </conditionalFormatting>
  <conditionalFormatting sqref="R4:R26">
    <cfRule type="duplicateValues" dxfId="86" priority="5"/>
    <cfRule type="duplicateValues" dxfId="85" priority="6"/>
  </conditionalFormatting>
  <conditionalFormatting sqref="R1:S2 R3">
    <cfRule type="duplicateValues" dxfId="84" priority="3517"/>
    <cfRule type="duplicateValues" dxfId="83" priority="3518"/>
  </conditionalFormatting>
  <dataValidations disablePrompts="1" count="2">
    <dataValidation type="list" allowBlank="1" showInputMessage="1" showErrorMessage="1" sqref="I1:I26" xr:uid="{84E6A16B-E79F-45AD-B65E-689915D28C34}">
      <formula1>"PER"</formula1>
    </dataValidation>
    <dataValidation type="list" allowBlank="1" showInputMessage="1" showErrorMessage="1" sqref="K1:K3" xr:uid="{DCCFA8FE-7D6D-47E7-9117-49DE04F90E03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F6BA-5618-49CB-93B7-BAA7573B3087}">
  <sheetPr>
    <tabColor theme="0"/>
    <pageSetUpPr fitToPage="1"/>
  </sheetPr>
  <dimension ref="A1:AL39"/>
  <sheetViews>
    <sheetView tabSelected="1" topLeftCell="D1" zoomScale="70" zoomScaleNormal="70" workbookViewId="0">
      <pane ySplit="3" topLeftCell="A4" activePane="bottomLeft" state="frozen"/>
      <selection activeCell="U35" sqref="U35"/>
      <selection pane="bottomLeft" activeCell="U35" sqref="U35"/>
    </sheetView>
  </sheetViews>
  <sheetFormatPr defaultColWidth="9.42578125" defaultRowHeight="24.75" customHeight="1" x14ac:dyDescent="0.2"/>
  <cols>
    <col min="1" max="4" width="9.42578125" style="36"/>
    <col min="5" max="5" width="26.42578125" style="37" customWidth="1"/>
    <col min="6" max="6" width="14.42578125" style="11" hidden="1" customWidth="1"/>
    <col min="7" max="7" width="10.42578125" style="38" hidden="1" customWidth="1"/>
    <col min="8" max="8" width="10.5703125" style="39" hidden="1" customWidth="1"/>
    <col min="9" max="9" width="9" style="76" hidden="1" customWidth="1"/>
    <col min="10" max="10" width="11.5703125" style="36" hidden="1" customWidth="1"/>
    <col min="11" max="11" width="11.5703125" style="75" hidden="1" customWidth="1"/>
    <col min="12" max="12" width="12.42578125" style="76" hidden="1" customWidth="1"/>
    <col min="13" max="13" width="11.5703125" style="40" hidden="1" customWidth="1"/>
    <col min="14" max="14" width="11.42578125" style="36" hidden="1" customWidth="1"/>
    <col min="15" max="15" width="11.5703125" style="30" hidden="1" customWidth="1"/>
    <col min="16" max="16" width="22.42578125" style="30" hidden="1" customWidth="1"/>
    <col min="17" max="17" width="34.5703125" style="36" customWidth="1"/>
    <col min="18" max="18" width="13.42578125" style="39" customWidth="1"/>
    <col min="19" max="19" width="63.140625" style="39" bestFit="1" customWidth="1"/>
    <col min="20" max="20" width="55.85546875" style="62" bestFit="1" customWidth="1"/>
    <col min="21" max="21" width="76.5703125" style="62" customWidth="1"/>
    <col min="22" max="22" width="13" style="41" customWidth="1"/>
    <col min="23" max="23" width="185" style="68" bestFit="1" customWidth="1"/>
    <col min="24" max="24" width="13.42578125" style="67" customWidth="1"/>
    <col min="25" max="25" width="14.42578125" style="42" customWidth="1"/>
    <col min="26" max="26" width="10.42578125" style="43" customWidth="1"/>
    <col min="27" max="27" width="13.5703125" style="44" customWidth="1"/>
    <col min="28" max="28" width="45.42578125" style="44" customWidth="1"/>
    <col min="29" max="29" width="18.5703125" style="45" customWidth="1"/>
    <col min="30" max="30" width="14.42578125" style="46" customWidth="1"/>
    <col min="31" max="31" width="10.42578125" style="47" customWidth="1"/>
    <col min="32" max="32" width="13.5703125" style="48" customWidth="1"/>
    <col min="33" max="33" width="45.42578125" style="49" customWidth="1"/>
    <col min="34" max="34" width="19.5703125" style="50" customWidth="1"/>
    <col min="35" max="35" width="14.42578125" style="51" customWidth="1"/>
    <col min="36" max="36" width="10.42578125" style="51" customWidth="1"/>
    <col min="37" max="37" width="13.5703125" style="51" customWidth="1"/>
    <col min="38" max="38" width="45.42578125" style="52" customWidth="1"/>
    <col min="39" max="16384" width="9.42578125" style="36"/>
  </cols>
  <sheetData>
    <row r="1" spans="1:38" s="65" customFormat="1" ht="24.6" customHeight="1" thickBot="1" x14ac:dyDescent="0.25">
      <c r="A1" s="112"/>
      <c r="B1" s="112"/>
      <c r="C1" s="112"/>
      <c r="D1" s="112"/>
      <c r="E1" s="99"/>
      <c r="F1" s="11"/>
      <c r="G1" s="100"/>
      <c r="H1" s="101"/>
      <c r="I1" s="101"/>
      <c r="J1" s="102"/>
      <c r="K1" s="102"/>
      <c r="L1" s="101"/>
      <c r="M1" s="103"/>
      <c r="N1" s="102"/>
      <c r="O1" s="30"/>
      <c r="P1" s="30"/>
      <c r="Q1" s="102"/>
      <c r="R1" s="101"/>
      <c r="S1" s="101"/>
      <c r="T1" s="104"/>
      <c r="U1" s="104"/>
      <c r="V1" s="105"/>
      <c r="W1" s="106"/>
      <c r="X1" s="84"/>
      <c r="Y1" s="85"/>
      <c r="Z1" s="86"/>
      <c r="AA1" s="87"/>
      <c r="AB1" s="87"/>
      <c r="AC1" s="97"/>
      <c r="AD1" s="89"/>
      <c r="AE1" s="90"/>
      <c r="AF1" s="91"/>
      <c r="AG1" s="92"/>
      <c r="AH1" s="98"/>
      <c r="AI1" s="93"/>
      <c r="AJ1" s="93"/>
      <c r="AK1" s="93"/>
      <c r="AL1" s="94"/>
    </row>
    <row r="2" spans="1:38" s="139" customFormat="1" ht="28.35" customHeight="1" thickBot="1" x14ac:dyDescent="0.25">
      <c r="A2" s="113"/>
      <c r="B2" s="113"/>
      <c r="C2" s="113"/>
      <c r="D2" s="113"/>
      <c r="E2" s="63" t="s">
        <v>115</v>
      </c>
      <c r="F2" s="13"/>
      <c r="G2" s="2"/>
      <c r="H2" s="2"/>
      <c r="I2" s="126"/>
      <c r="J2" s="2"/>
      <c r="K2" s="126"/>
      <c r="L2" s="126"/>
      <c r="M2" s="2"/>
      <c r="N2" s="2"/>
      <c r="O2" s="2"/>
      <c r="P2" s="2"/>
      <c r="Q2" s="2"/>
      <c r="R2" s="2"/>
      <c r="S2" s="2"/>
      <c r="T2" s="61"/>
      <c r="U2" s="61"/>
      <c r="V2" s="31"/>
      <c r="W2" s="208"/>
      <c r="X2" s="66" t="s">
        <v>5</v>
      </c>
      <c r="Y2" s="32"/>
      <c r="Z2" s="23" t="s">
        <v>6</v>
      </c>
      <c r="AA2" s="9"/>
      <c r="AB2" s="9"/>
      <c r="AC2" s="10" t="s">
        <v>5</v>
      </c>
      <c r="AD2" s="33"/>
      <c r="AE2" s="25" t="s">
        <v>6</v>
      </c>
      <c r="AF2" s="24"/>
      <c r="AG2" s="8"/>
      <c r="AH2" s="6" t="s">
        <v>5</v>
      </c>
      <c r="AI2" s="6"/>
      <c r="AJ2" s="7" t="s">
        <v>6</v>
      </c>
      <c r="AK2" s="7"/>
      <c r="AL2" s="18"/>
    </row>
    <row r="3" spans="1:38" s="64" customFormat="1" ht="56.1" customHeight="1" x14ac:dyDescent="0.25">
      <c r="A3" s="145" t="s">
        <v>7</v>
      </c>
      <c r="B3" s="145" t="s">
        <v>8</v>
      </c>
      <c r="C3" s="145" t="s">
        <v>9</v>
      </c>
      <c r="D3" s="145" t="s">
        <v>10</v>
      </c>
      <c r="E3" s="145" t="s">
        <v>11</v>
      </c>
      <c r="F3" s="211" t="s">
        <v>13</v>
      </c>
      <c r="G3" s="60" t="s">
        <v>43</v>
      </c>
      <c r="H3" s="60" t="s">
        <v>15</v>
      </c>
      <c r="I3" s="60" t="s">
        <v>16</v>
      </c>
      <c r="J3" s="60" t="s">
        <v>17</v>
      </c>
      <c r="K3" s="60" t="s">
        <v>18</v>
      </c>
      <c r="L3" s="60" t="s">
        <v>19</v>
      </c>
      <c r="M3" s="146" t="s">
        <v>20</v>
      </c>
      <c r="N3" s="60" t="s">
        <v>21</v>
      </c>
      <c r="O3" s="147" t="s">
        <v>22</v>
      </c>
      <c r="P3" s="147" t="s">
        <v>23</v>
      </c>
      <c r="Q3" s="60" t="s">
        <v>24</v>
      </c>
      <c r="R3" s="60" t="s">
        <v>25</v>
      </c>
      <c r="S3" s="60" t="s">
        <v>466</v>
      </c>
      <c r="T3" s="60" t="s">
        <v>26</v>
      </c>
      <c r="U3" s="60" t="s">
        <v>799</v>
      </c>
      <c r="V3" s="148" t="s">
        <v>27</v>
      </c>
      <c r="W3" s="149" t="s">
        <v>28</v>
      </c>
      <c r="X3" s="150" t="s">
        <v>29</v>
      </c>
      <c r="Y3" s="151" t="s">
        <v>30</v>
      </c>
      <c r="Z3" s="212" t="s">
        <v>31</v>
      </c>
      <c r="AA3" s="213" t="s">
        <v>30</v>
      </c>
      <c r="AB3" s="213" t="s">
        <v>32</v>
      </c>
      <c r="AC3" s="152" t="s">
        <v>29</v>
      </c>
      <c r="AD3" s="153" t="s">
        <v>30</v>
      </c>
      <c r="AE3" s="154" t="s">
        <v>31</v>
      </c>
      <c r="AF3" s="155" t="s">
        <v>30</v>
      </c>
      <c r="AG3" s="214" t="s">
        <v>32</v>
      </c>
      <c r="AH3" s="156" t="s">
        <v>29</v>
      </c>
      <c r="AI3" s="157" t="s">
        <v>30</v>
      </c>
      <c r="AJ3" s="215" t="s">
        <v>31</v>
      </c>
      <c r="AK3" s="215" t="s">
        <v>30</v>
      </c>
      <c r="AL3" s="216" t="s">
        <v>32</v>
      </c>
    </row>
    <row r="4" spans="1:38" s="170" customFormat="1" ht="24.75" customHeight="1" x14ac:dyDescent="0.2">
      <c r="A4" s="108" t="s">
        <v>255</v>
      </c>
      <c r="B4" s="108" t="s">
        <v>258</v>
      </c>
      <c r="C4" s="108" t="s">
        <v>411</v>
      </c>
      <c r="D4" s="123" t="s">
        <v>452</v>
      </c>
      <c r="E4" s="55" t="s">
        <v>460</v>
      </c>
      <c r="F4" s="53"/>
      <c r="G4" s="115" t="s">
        <v>113</v>
      </c>
      <c r="H4" s="4" t="s">
        <v>34</v>
      </c>
      <c r="I4" s="4" t="s">
        <v>35</v>
      </c>
      <c r="J4" s="4">
        <v>2</v>
      </c>
      <c r="K4" s="4" t="s">
        <v>116</v>
      </c>
      <c r="L4" s="4" t="s">
        <v>62</v>
      </c>
      <c r="M4" s="116" t="s">
        <v>42</v>
      </c>
      <c r="N4" s="17" t="s">
        <v>39</v>
      </c>
      <c r="O4" s="22" t="s">
        <v>63</v>
      </c>
      <c r="P4" s="28"/>
      <c r="Q4" s="56" t="str">
        <f t="shared" ref="Q4:Q26" si="0">CONCATENATE(,H4,"-",I4,"-",J4,"-",K4,"-",L4,"-",M4,"-",N4,"-",O4)</f>
        <v>PER-E-2-U4-FLD-001-00-VHHR</v>
      </c>
      <c r="R4" s="209"/>
      <c r="S4" s="111" t="s">
        <v>473</v>
      </c>
      <c r="T4" s="111" t="s">
        <v>64</v>
      </c>
      <c r="U4" s="111"/>
      <c r="V4" s="160"/>
      <c r="W4" s="111" t="s">
        <v>750</v>
      </c>
      <c r="X4" s="161"/>
      <c r="Y4" s="162"/>
      <c r="Z4" s="163"/>
      <c r="AA4" s="164"/>
      <c r="AB4" s="164"/>
      <c r="AC4" s="165"/>
      <c r="AD4" s="166"/>
      <c r="AE4" s="167"/>
      <c r="AF4" s="165"/>
      <c r="AG4" s="168"/>
      <c r="AH4" s="169"/>
      <c r="AI4" s="169"/>
      <c r="AJ4" s="169"/>
      <c r="AK4" s="169"/>
      <c r="AL4" s="169"/>
    </row>
    <row r="5" spans="1:38" s="170" customFormat="1" ht="24.75" customHeight="1" x14ac:dyDescent="0.2">
      <c r="A5" s="108" t="s">
        <v>255</v>
      </c>
      <c r="B5" s="108" t="s">
        <v>258</v>
      </c>
      <c r="C5" s="108" t="s">
        <v>411</v>
      </c>
      <c r="D5" s="123" t="s">
        <v>800</v>
      </c>
      <c r="E5" s="55" t="s">
        <v>117</v>
      </c>
      <c r="F5" s="53"/>
      <c r="G5" s="115" t="s">
        <v>113</v>
      </c>
      <c r="H5" s="4" t="s">
        <v>34</v>
      </c>
      <c r="I5" s="4" t="s">
        <v>35</v>
      </c>
      <c r="J5" s="4">
        <v>2</v>
      </c>
      <c r="K5" s="4" t="s">
        <v>116</v>
      </c>
      <c r="L5" s="4" t="s">
        <v>50</v>
      </c>
      <c r="M5" s="116" t="s">
        <v>42</v>
      </c>
      <c r="N5" s="17" t="s">
        <v>39</v>
      </c>
      <c r="O5" s="22" t="s">
        <v>63</v>
      </c>
      <c r="P5" s="28"/>
      <c r="Q5" s="56" t="str">
        <f t="shared" si="0"/>
        <v>PER-E-2-U4-SCH-001-00-VHHR</v>
      </c>
      <c r="R5" s="209"/>
      <c r="S5" s="111" t="s">
        <v>474</v>
      </c>
      <c r="T5" s="111" t="s">
        <v>66</v>
      </c>
      <c r="U5" s="111" t="s">
        <v>801</v>
      </c>
      <c r="V5" s="160"/>
      <c r="W5" s="111" t="s">
        <v>750</v>
      </c>
      <c r="X5" s="161"/>
      <c r="Y5" s="162"/>
      <c r="Z5" s="163"/>
      <c r="AA5" s="164"/>
      <c r="AB5" s="164"/>
      <c r="AC5" s="165"/>
      <c r="AD5" s="166"/>
      <c r="AE5" s="167"/>
      <c r="AF5" s="165"/>
      <c r="AG5" s="168"/>
      <c r="AH5" s="169"/>
      <c r="AI5" s="169"/>
      <c r="AJ5" s="169"/>
      <c r="AK5" s="169"/>
      <c r="AL5" s="169"/>
    </row>
    <row r="6" spans="1:38" s="170" customFormat="1" ht="24.75" customHeight="1" x14ac:dyDescent="0.2">
      <c r="A6" s="108" t="s">
        <v>255</v>
      </c>
      <c r="B6" s="108" t="s">
        <v>258</v>
      </c>
      <c r="C6" s="108" t="s">
        <v>412</v>
      </c>
      <c r="D6" s="123" t="s">
        <v>407</v>
      </c>
      <c r="E6" s="54" t="s">
        <v>118</v>
      </c>
      <c r="F6" s="53"/>
      <c r="G6" s="115" t="s">
        <v>113</v>
      </c>
      <c r="H6" s="4" t="s">
        <v>34</v>
      </c>
      <c r="I6" s="4" t="s">
        <v>35</v>
      </c>
      <c r="J6" s="4">
        <v>2</v>
      </c>
      <c r="K6" s="4" t="s">
        <v>116</v>
      </c>
      <c r="L6" s="4" t="s">
        <v>68</v>
      </c>
      <c r="M6" s="116" t="s">
        <v>42</v>
      </c>
      <c r="N6" s="17" t="s">
        <v>39</v>
      </c>
      <c r="O6" s="22" t="s">
        <v>63</v>
      </c>
      <c r="P6" s="28"/>
      <c r="Q6" s="56" t="str">
        <f t="shared" si="0"/>
        <v>PER-E-2-U4-ASB-001-00-VHHR</v>
      </c>
      <c r="R6" s="209"/>
      <c r="S6" s="144" t="s">
        <v>475</v>
      </c>
      <c r="T6" s="144" t="s">
        <v>69</v>
      </c>
      <c r="U6" s="144"/>
      <c r="V6" s="160"/>
      <c r="W6" s="111" t="s">
        <v>751</v>
      </c>
      <c r="X6" s="161"/>
      <c r="Y6" s="162"/>
      <c r="Z6" s="163"/>
      <c r="AA6" s="164"/>
      <c r="AB6" s="164"/>
      <c r="AC6" s="165"/>
      <c r="AD6" s="166"/>
      <c r="AE6" s="167"/>
      <c r="AF6" s="165"/>
      <c r="AG6" s="168"/>
      <c r="AH6" s="169"/>
      <c r="AI6" s="169"/>
      <c r="AJ6" s="169"/>
      <c r="AK6" s="169"/>
      <c r="AL6" s="169"/>
    </row>
    <row r="7" spans="1:38" s="170" customFormat="1" ht="24.75" customHeight="1" x14ac:dyDescent="0.2">
      <c r="A7" s="108" t="s">
        <v>255</v>
      </c>
      <c r="B7" s="108" t="s">
        <v>258</v>
      </c>
      <c r="C7" s="108" t="s">
        <v>412</v>
      </c>
      <c r="D7" s="123"/>
      <c r="E7" s="54" t="s">
        <v>119</v>
      </c>
      <c r="F7" s="53"/>
      <c r="G7" s="115" t="s">
        <v>113</v>
      </c>
      <c r="H7" s="4" t="s">
        <v>34</v>
      </c>
      <c r="I7" s="4" t="s">
        <v>35</v>
      </c>
      <c r="J7" s="4">
        <v>2</v>
      </c>
      <c r="K7" s="4" t="s">
        <v>116</v>
      </c>
      <c r="L7" s="4" t="s">
        <v>71</v>
      </c>
      <c r="M7" s="116" t="s">
        <v>42</v>
      </c>
      <c r="N7" s="17" t="s">
        <v>39</v>
      </c>
      <c r="O7" s="22" t="s">
        <v>63</v>
      </c>
      <c r="P7" s="28"/>
      <c r="Q7" s="56" t="str">
        <f t="shared" si="0"/>
        <v>PER-E-2-U4-LST-001-00-VHHR</v>
      </c>
      <c r="R7" s="209"/>
      <c r="S7" s="111" t="s">
        <v>476</v>
      </c>
      <c r="T7" s="111" t="s">
        <v>72</v>
      </c>
      <c r="U7" s="111"/>
      <c r="V7" s="160"/>
      <c r="W7" s="111" t="s">
        <v>753</v>
      </c>
      <c r="X7" s="161"/>
      <c r="Y7" s="162"/>
      <c r="Z7" s="163"/>
      <c r="AA7" s="164"/>
      <c r="AB7" s="164"/>
      <c r="AC7" s="165"/>
      <c r="AD7" s="166"/>
      <c r="AE7" s="167"/>
      <c r="AF7" s="165"/>
      <c r="AG7" s="168"/>
      <c r="AH7" s="169"/>
      <c r="AI7" s="169"/>
      <c r="AJ7" s="169"/>
      <c r="AK7" s="169"/>
      <c r="AL7" s="169"/>
    </row>
    <row r="8" spans="1:38" s="170" customFormat="1" ht="24.75" customHeight="1" x14ac:dyDescent="0.2">
      <c r="A8" s="108" t="s">
        <v>255</v>
      </c>
      <c r="B8" s="108" t="s">
        <v>258</v>
      </c>
      <c r="C8" s="108" t="s">
        <v>412</v>
      </c>
      <c r="D8" s="123" t="s">
        <v>407</v>
      </c>
      <c r="E8" s="54" t="s">
        <v>120</v>
      </c>
      <c r="F8" s="53"/>
      <c r="G8" s="115" t="s">
        <v>113</v>
      </c>
      <c r="H8" s="4" t="s">
        <v>34</v>
      </c>
      <c r="I8" s="4" t="s">
        <v>35</v>
      </c>
      <c r="J8" s="4">
        <v>2</v>
      </c>
      <c r="K8" s="4" t="s">
        <v>116</v>
      </c>
      <c r="L8" s="4" t="s">
        <v>50</v>
      </c>
      <c r="M8" s="116" t="s">
        <v>38</v>
      </c>
      <c r="N8" s="17" t="s">
        <v>39</v>
      </c>
      <c r="O8" s="22" t="s">
        <v>63</v>
      </c>
      <c r="P8" s="28"/>
      <c r="Q8" s="56" t="str">
        <f t="shared" si="0"/>
        <v>PER-E-2-U4-SCH-002-00-VHHR</v>
      </c>
      <c r="R8" s="209"/>
      <c r="S8" s="144" t="s">
        <v>477</v>
      </c>
      <c r="T8" s="144" t="s">
        <v>74</v>
      </c>
      <c r="U8" s="144"/>
      <c r="V8" s="160"/>
      <c r="W8" s="111" t="s">
        <v>754</v>
      </c>
      <c r="X8" s="161"/>
      <c r="Y8" s="162"/>
      <c r="Z8" s="163"/>
      <c r="AA8" s="164"/>
      <c r="AB8" s="164"/>
      <c r="AC8" s="165"/>
      <c r="AD8" s="166"/>
      <c r="AE8" s="167"/>
      <c r="AF8" s="165"/>
      <c r="AG8" s="168"/>
      <c r="AH8" s="169"/>
      <c r="AI8" s="169"/>
      <c r="AJ8" s="169"/>
      <c r="AK8" s="169"/>
      <c r="AL8" s="169"/>
    </row>
    <row r="9" spans="1:38" s="170" customFormat="1" ht="24.75" customHeight="1" x14ac:dyDescent="0.2">
      <c r="A9" s="108" t="s">
        <v>255</v>
      </c>
      <c r="B9" s="108" t="s">
        <v>258</v>
      </c>
      <c r="C9" s="108" t="s">
        <v>412</v>
      </c>
      <c r="D9" s="123" t="s">
        <v>407</v>
      </c>
      <c r="E9" s="54" t="s">
        <v>121</v>
      </c>
      <c r="F9" s="53"/>
      <c r="G9" s="115" t="s">
        <v>113</v>
      </c>
      <c r="H9" s="4" t="s">
        <v>34</v>
      </c>
      <c r="I9" s="4" t="s">
        <v>35</v>
      </c>
      <c r="J9" s="4">
        <v>2</v>
      </c>
      <c r="K9" s="4" t="s">
        <v>116</v>
      </c>
      <c r="L9" s="4" t="s">
        <v>76</v>
      </c>
      <c r="M9" s="116" t="s">
        <v>42</v>
      </c>
      <c r="N9" s="17" t="s">
        <v>39</v>
      </c>
      <c r="O9" s="22" t="s">
        <v>63</v>
      </c>
      <c r="P9" s="28"/>
      <c r="Q9" s="56" t="str">
        <f t="shared" si="0"/>
        <v>PER-E-2-U4-ROU-001-00-VHHR</v>
      </c>
      <c r="R9" s="209"/>
      <c r="S9" s="171" t="s">
        <v>478</v>
      </c>
      <c r="T9" s="171" t="s">
        <v>77</v>
      </c>
      <c r="U9" s="171"/>
      <c r="V9" s="160"/>
      <c r="W9" s="111" t="s">
        <v>753</v>
      </c>
      <c r="X9" s="161"/>
      <c r="Y9" s="162"/>
      <c r="Z9" s="163"/>
      <c r="AA9" s="164"/>
      <c r="AB9" s="164"/>
      <c r="AC9" s="165"/>
      <c r="AD9" s="166"/>
      <c r="AE9" s="167"/>
      <c r="AF9" s="165"/>
      <c r="AG9" s="168"/>
      <c r="AH9" s="169"/>
      <c r="AI9" s="169"/>
      <c r="AJ9" s="169"/>
      <c r="AK9" s="169"/>
      <c r="AL9" s="169"/>
    </row>
    <row r="10" spans="1:38" s="170" customFormat="1" ht="24.75" customHeight="1" x14ac:dyDescent="0.2">
      <c r="A10" s="108" t="s">
        <v>256</v>
      </c>
      <c r="B10" s="108" t="s">
        <v>256</v>
      </c>
      <c r="C10" s="108" t="s">
        <v>413</v>
      </c>
      <c r="D10" s="207" t="s">
        <v>408</v>
      </c>
      <c r="E10" s="54" t="s">
        <v>122</v>
      </c>
      <c r="F10" s="53"/>
      <c r="G10" s="115" t="s">
        <v>113</v>
      </c>
      <c r="H10" s="4" t="s">
        <v>34</v>
      </c>
      <c r="I10" s="4" t="s">
        <v>35</v>
      </c>
      <c r="J10" s="4">
        <v>2</v>
      </c>
      <c r="K10" s="4" t="s">
        <v>116</v>
      </c>
      <c r="L10" s="4" t="s">
        <v>79</v>
      </c>
      <c r="M10" s="116" t="s">
        <v>42</v>
      </c>
      <c r="N10" s="17" t="s">
        <v>39</v>
      </c>
      <c r="O10" s="22" t="s">
        <v>63</v>
      </c>
      <c r="P10" s="28"/>
      <c r="Q10" s="56" t="str">
        <f t="shared" si="0"/>
        <v>PER-E-2-U4-FAT-001-00-VHHR</v>
      </c>
      <c r="R10" s="209"/>
      <c r="S10" s="111" t="s">
        <v>788</v>
      </c>
      <c r="T10" s="111" t="s">
        <v>80</v>
      </c>
      <c r="U10" s="111"/>
      <c r="V10" s="160"/>
      <c r="W10" s="111" t="s">
        <v>764</v>
      </c>
      <c r="X10" s="161"/>
      <c r="Y10" s="162"/>
      <c r="Z10" s="163"/>
      <c r="AA10" s="164"/>
      <c r="AB10" s="164"/>
      <c r="AC10" s="165"/>
      <c r="AD10" s="166"/>
      <c r="AE10" s="167"/>
      <c r="AF10" s="165"/>
      <c r="AG10" s="168"/>
      <c r="AH10" s="169"/>
      <c r="AI10" s="169"/>
      <c r="AJ10" s="169"/>
      <c r="AK10" s="169"/>
      <c r="AL10" s="169"/>
    </row>
    <row r="11" spans="1:38" s="170" customFormat="1" ht="24.75" customHeight="1" x14ac:dyDescent="0.2">
      <c r="A11" s="108" t="s">
        <v>256</v>
      </c>
      <c r="B11" s="108" t="s">
        <v>256</v>
      </c>
      <c r="C11" s="108" t="s">
        <v>413</v>
      </c>
      <c r="D11" s="207" t="s">
        <v>408</v>
      </c>
      <c r="E11" s="54" t="s">
        <v>123</v>
      </c>
      <c r="F11" s="53"/>
      <c r="G11" s="115" t="s">
        <v>113</v>
      </c>
      <c r="H11" s="4" t="s">
        <v>34</v>
      </c>
      <c r="I11" s="4" t="s">
        <v>35</v>
      </c>
      <c r="J11" s="4">
        <v>2</v>
      </c>
      <c r="K11" s="4" t="s">
        <v>116</v>
      </c>
      <c r="L11" s="4" t="s">
        <v>82</v>
      </c>
      <c r="M11" s="116" t="s">
        <v>42</v>
      </c>
      <c r="N11" s="17" t="s">
        <v>39</v>
      </c>
      <c r="O11" s="22" t="s">
        <v>63</v>
      </c>
      <c r="P11" s="28"/>
      <c r="Q11" s="56" t="str">
        <f t="shared" si="0"/>
        <v>PER-E-2-U4-CMM-001-00-VHHR</v>
      </c>
      <c r="R11" s="209"/>
      <c r="S11" s="111" t="s">
        <v>789</v>
      </c>
      <c r="T11" s="111" t="s">
        <v>83</v>
      </c>
      <c r="U11" s="111"/>
      <c r="V11" s="160"/>
      <c r="W11" s="111" t="s">
        <v>764</v>
      </c>
      <c r="X11" s="161"/>
      <c r="Y11" s="162"/>
      <c r="Z11" s="163"/>
      <c r="AA11" s="164"/>
      <c r="AB11" s="164"/>
      <c r="AC11" s="165"/>
      <c r="AD11" s="166"/>
      <c r="AE11" s="167"/>
      <c r="AF11" s="165"/>
      <c r="AG11" s="168"/>
      <c r="AH11" s="169"/>
      <c r="AI11" s="169"/>
      <c r="AJ11" s="169"/>
      <c r="AK11" s="169"/>
      <c r="AL11" s="169"/>
    </row>
    <row r="12" spans="1:38" s="170" customFormat="1" ht="24.75" customHeight="1" x14ac:dyDescent="0.2">
      <c r="A12" s="108" t="s">
        <v>258</v>
      </c>
      <c r="B12" s="108" t="s">
        <v>256</v>
      </c>
      <c r="C12" s="108" t="s">
        <v>413</v>
      </c>
      <c r="D12" s="205" t="s">
        <v>408</v>
      </c>
      <c r="E12" s="55" t="s">
        <v>124</v>
      </c>
      <c r="F12" s="53"/>
      <c r="G12" s="115" t="s">
        <v>113</v>
      </c>
      <c r="H12" s="4" t="s">
        <v>34</v>
      </c>
      <c r="I12" s="4" t="s">
        <v>35</v>
      </c>
      <c r="J12" s="4">
        <v>2</v>
      </c>
      <c r="K12" s="4" t="s">
        <v>116</v>
      </c>
      <c r="L12" s="4" t="s">
        <v>85</v>
      </c>
      <c r="M12" s="116" t="s">
        <v>38</v>
      </c>
      <c r="N12" s="17" t="s">
        <v>39</v>
      </c>
      <c r="O12" s="22" t="s">
        <v>63</v>
      </c>
      <c r="P12" s="28"/>
      <c r="Q12" s="56" t="str">
        <f t="shared" si="0"/>
        <v>PER-E-2-U4-MAN-002-00-VHHR</v>
      </c>
      <c r="R12" s="209"/>
      <c r="S12" s="111"/>
      <c r="T12" s="111" t="s">
        <v>86</v>
      </c>
      <c r="U12" s="111"/>
      <c r="V12" s="160"/>
      <c r="W12" s="203" t="s">
        <v>780</v>
      </c>
      <c r="X12" s="161"/>
      <c r="Y12" s="162"/>
      <c r="Z12" s="163"/>
      <c r="AA12" s="164"/>
      <c r="AB12" s="164"/>
      <c r="AC12" s="165"/>
      <c r="AD12" s="166"/>
      <c r="AE12" s="167"/>
      <c r="AF12" s="165"/>
      <c r="AG12" s="168"/>
      <c r="AH12" s="169"/>
      <c r="AI12" s="169"/>
      <c r="AJ12" s="169"/>
      <c r="AK12" s="169"/>
      <c r="AL12" s="169"/>
    </row>
    <row r="13" spans="1:38" s="170" customFormat="1" ht="24.75" customHeight="1" x14ac:dyDescent="0.2">
      <c r="A13" s="108" t="s">
        <v>258</v>
      </c>
      <c r="B13" s="108" t="s">
        <v>256</v>
      </c>
      <c r="C13" s="108" t="s">
        <v>413</v>
      </c>
      <c r="D13" s="205"/>
      <c r="E13" s="54" t="s">
        <v>125</v>
      </c>
      <c r="F13" s="53"/>
      <c r="G13" s="115" t="s">
        <v>113</v>
      </c>
      <c r="H13" s="4" t="s">
        <v>34</v>
      </c>
      <c r="I13" s="4" t="s">
        <v>35</v>
      </c>
      <c r="J13" s="4">
        <v>2</v>
      </c>
      <c r="K13" s="4" t="s">
        <v>116</v>
      </c>
      <c r="L13" s="4" t="s">
        <v>85</v>
      </c>
      <c r="M13" s="116" t="s">
        <v>42</v>
      </c>
      <c r="N13" s="17" t="s">
        <v>39</v>
      </c>
      <c r="O13" s="22" t="s">
        <v>63</v>
      </c>
      <c r="P13" s="28"/>
      <c r="Q13" s="56" t="str">
        <f t="shared" si="0"/>
        <v>PER-E-2-U4-MAN-001-00-VHHR</v>
      </c>
      <c r="R13" s="209"/>
      <c r="S13" s="111"/>
      <c r="T13" s="111" t="s">
        <v>88</v>
      </c>
      <c r="U13" s="111"/>
      <c r="V13" s="160"/>
      <c r="W13" s="203" t="s">
        <v>780</v>
      </c>
      <c r="X13" s="161" t="s">
        <v>802</v>
      </c>
      <c r="Y13" s="162"/>
      <c r="Z13" s="163"/>
      <c r="AA13" s="164"/>
      <c r="AB13" s="164"/>
      <c r="AC13" s="165"/>
      <c r="AD13" s="166"/>
      <c r="AE13" s="167"/>
      <c r="AF13" s="165"/>
      <c r="AG13" s="168"/>
      <c r="AH13" s="169"/>
      <c r="AI13" s="169"/>
      <c r="AJ13" s="169"/>
      <c r="AK13" s="169"/>
      <c r="AL13" s="169"/>
    </row>
    <row r="14" spans="1:38" s="170" customFormat="1" ht="24.75" customHeight="1" x14ac:dyDescent="0.2">
      <c r="A14" s="108" t="s">
        <v>255</v>
      </c>
      <c r="B14" s="108" t="s">
        <v>258</v>
      </c>
      <c r="C14" s="108" t="s">
        <v>411</v>
      </c>
      <c r="D14" s="205"/>
      <c r="E14" s="54" t="s">
        <v>126</v>
      </c>
      <c r="F14" s="53"/>
      <c r="G14" s="115" t="s">
        <v>113</v>
      </c>
      <c r="H14" s="217" t="s">
        <v>34</v>
      </c>
      <c r="I14" s="217" t="s">
        <v>35</v>
      </c>
      <c r="J14" s="4">
        <v>2</v>
      </c>
      <c r="K14" s="4" t="s">
        <v>116</v>
      </c>
      <c r="L14" s="4" t="s">
        <v>47</v>
      </c>
      <c r="M14" s="159" t="s">
        <v>91</v>
      </c>
      <c r="N14" s="17" t="s">
        <v>39</v>
      </c>
      <c r="O14" s="74" t="s">
        <v>63</v>
      </c>
      <c r="P14" s="28"/>
      <c r="Q14" s="56" t="str">
        <f t="shared" si="0"/>
        <v>PER-E-2-U4-SOF-100-00-VHHR</v>
      </c>
      <c r="R14" s="209"/>
      <c r="S14" s="111" t="s">
        <v>786</v>
      </c>
      <c r="T14" s="111" t="s">
        <v>92</v>
      </c>
      <c r="U14" s="111"/>
      <c r="V14" s="160"/>
      <c r="W14" s="111" t="s">
        <v>757</v>
      </c>
      <c r="X14" s="161" t="s">
        <v>802</v>
      </c>
      <c r="Y14" s="162"/>
      <c r="Z14" s="163"/>
      <c r="AA14" s="164"/>
      <c r="AB14" s="164"/>
      <c r="AC14" s="165"/>
      <c r="AD14" s="166"/>
      <c r="AE14" s="167"/>
      <c r="AF14" s="165"/>
      <c r="AG14" s="168"/>
      <c r="AH14" s="169"/>
      <c r="AI14" s="169"/>
      <c r="AJ14" s="169"/>
      <c r="AK14" s="169"/>
      <c r="AL14" s="169"/>
    </row>
    <row r="15" spans="1:38" s="170" customFormat="1" ht="24.75" customHeight="1" x14ac:dyDescent="0.2">
      <c r="A15" s="108" t="s">
        <v>255</v>
      </c>
      <c r="B15" s="108" t="s">
        <v>258</v>
      </c>
      <c r="C15" s="108" t="s">
        <v>411</v>
      </c>
      <c r="D15" s="205" t="s">
        <v>800</v>
      </c>
      <c r="E15" s="54" t="s">
        <v>127</v>
      </c>
      <c r="F15" s="53"/>
      <c r="G15" s="115" t="s">
        <v>113</v>
      </c>
      <c r="H15" s="217" t="s">
        <v>34</v>
      </c>
      <c r="I15" s="217" t="s">
        <v>35</v>
      </c>
      <c r="J15" s="4">
        <v>2</v>
      </c>
      <c r="K15" s="4" t="s">
        <v>116</v>
      </c>
      <c r="L15" s="4" t="s">
        <v>47</v>
      </c>
      <c r="M15" s="159" t="s">
        <v>51</v>
      </c>
      <c r="N15" s="17" t="s">
        <v>39</v>
      </c>
      <c r="O15" s="74" t="s">
        <v>63</v>
      </c>
      <c r="P15" s="28"/>
      <c r="Q15" s="56" t="str">
        <f t="shared" si="0"/>
        <v>PER-E-2-U4-SOF-101-00-VHHR</v>
      </c>
      <c r="R15" s="209"/>
      <c r="S15" s="111" t="s">
        <v>479</v>
      </c>
      <c r="T15" s="111" t="s">
        <v>94</v>
      </c>
      <c r="U15" s="111" t="s">
        <v>803</v>
      </c>
      <c r="V15" s="160"/>
      <c r="W15" s="203" t="s">
        <v>464</v>
      </c>
      <c r="X15" s="161"/>
      <c r="Y15" s="162"/>
      <c r="Z15" s="163"/>
      <c r="AA15" s="164"/>
      <c r="AB15" s="164"/>
      <c r="AC15" s="165"/>
      <c r="AD15" s="166"/>
      <c r="AE15" s="167"/>
      <c r="AF15" s="165"/>
      <c r="AG15" s="168"/>
      <c r="AH15" s="169"/>
      <c r="AI15" s="169"/>
      <c r="AJ15" s="169"/>
      <c r="AK15" s="169"/>
      <c r="AL15" s="169"/>
    </row>
    <row r="16" spans="1:38" s="170" customFormat="1" ht="24.75" customHeight="1" x14ac:dyDescent="0.2">
      <c r="A16" s="108" t="s">
        <v>255</v>
      </c>
      <c r="B16" s="108" t="s">
        <v>258</v>
      </c>
      <c r="C16" s="108" t="s">
        <v>414</v>
      </c>
      <c r="D16" s="205" t="s">
        <v>800</v>
      </c>
      <c r="E16" s="119" t="s">
        <v>128</v>
      </c>
      <c r="F16" s="53"/>
      <c r="G16" s="115" t="s">
        <v>113</v>
      </c>
      <c r="H16" s="217" t="s">
        <v>34</v>
      </c>
      <c r="I16" s="108" t="s">
        <v>35</v>
      </c>
      <c r="J16" s="4">
        <v>8</v>
      </c>
      <c r="K16" s="4" t="s">
        <v>116</v>
      </c>
      <c r="L16" s="108" t="s">
        <v>50</v>
      </c>
      <c r="M16" s="159" t="s">
        <v>42</v>
      </c>
      <c r="N16" s="19" t="s">
        <v>39</v>
      </c>
      <c r="O16" s="79" t="s">
        <v>63</v>
      </c>
      <c r="P16" s="28"/>
      <c r="Q16" s="56" t="str">
        <f t="shared" si="0"/>
        <v>PER-E-8-U4-SCH-001-00-VHHR</v>
      </c>
      <c r="R16" s="209"/>
      <c r="S16" s="111" t="s">
        <v>484</v>
      </c>
      <c r="T16" s="110" t="s">
        <v>96</v>
      </c>
      <c r="U16" s="110" t="s">
        <v>804</v>
      </c>
      <c r="V16" s="160"/>
      <c r="W16" s="111" t="s">
        <v>754</v>
      </c>
      <c r="X16" s="161"/>
      <c r="Y16" s="162"/>
      <c r="Z16" s="163"/>
      <c r="AA16" s="164"/>
      <c r="AB16" s="164"/>
      <c r="AC16" s="165"/>
      <c r="AD16" s="166"/>
      <c r="AE16" s="167"/>
      <c r="AF16" s="165"/>
      <c r="AG16" s="168"/>
      <c r="AH16" s="169"/>
      <c r="AI16" s="169"/>
      <c r="AJ16" s="169"/>
      <c r="AK16" s="169"/>
      <c r="AL16" s="169"/>
    </row>
    <row r="17" spans="1:38" s="170" customFormat="1" ht="24.75" customHeight="1" x14ac:dyDescent="0.2">
      <c r="A17" s="108" t="s">
        <v>255</v>
      </c>
      <c r="B17" s="108" t="s">
        <v>258</v>
      </c>
      <c r="C17" s="108" t="s">
        <v>414</v>
      </c>
      <c r="D17" s="123" t="s">
        <v>407</v>
      </c>
      <c r="E17" s="54" t="s">
        <v>129</v>
      </c>
      <c r="F17" s="53"/>
      <c r="G17" s="115" t="s">
        <v>113</v>
      </c>
      <c r="H17" s="4" t="s">
        <v>34</v>
      </c>
      <c r="I17" s="4" t="s">
        <v>35</v>
      </c>
      <c r="J17" s="4">
        <v>8</v>
      </c>
      <c r="K17" s="4" t="s">
        <v>116</v>
      </c>
      <c r="L17" s="4" t="s">
        <v>68</v>
      </c>
      <c r="M17" s="116" t="s">
        <v>42</v>
      </c>
      <c r="N17" s="17" t="s">
        <v>39</v>
      </c>
      <c r="O17" s="22" t="s">
        <v>63</v>
      </c>
      <c r="P17" s="28"/>
      <c r="Q17" s="56" t="str">
        <f t="shared" si="0"/>
        <v>PER-E-8-U4-ASB-001-00-VHHR</v>
      </c>
      <c r="R17" s="209"/>
      <c r="S17" s="111" t="s">
        <v>485</v>
      </c>
      <c r="T17" s="210" t="s">
        <v>69</v>
      </c>
      <c r="U17" s="210"/>
      <c r="V17" s="160"/>
      <c r="W17" s="111" t="s">
        <v>751</v>
      </c>
      <c r="X17" s="161"/>
      <c r="Y17" s="162"/>
      <c r="Z17" s="163"/>
      <c r="AA17" s="164"/>
      <c r="AB17" s="164"/>
      <c r="AC17" s="165"/>
      <c r="AD17" s="166"/>
      <c r="AE17" s="167"/>
      <c r="AF17" s="165"/>
      <c r="AG17" s="168"/>
      <c r="AH17" s="169"/>
      <c r="AI17" s="169"/>
      <c r="AJ17" s="169"/>
      <c r="AK17" s="169"/>
      <c r="AL17" s="169"/>
    </row>
    <row r="18" spans="1:38" s="170" customFormat="1" ht="24.75" customHeight="1" x14ac:dyDescent="0.2">
      <c r="A18" s="108" t="s">
        <v>255</v>
      </c>
      <c r="B18" s="108" t="s">
        <v>258</v>
      </c>
      <c r="C18" s="108" t="s">
        <v>414</v>
      </c>
      <c r="D18" s="123" t="s">
        <v>407</v>
      </c>
      <c r="E18" s="54" t="s">
        <v>130</v>
      </c>
      <c r="F18" s="53"/>
      <c r="G18" s="115" t="s">
        <v>113</v>
      </c>
      <c r="H18" s="4" t="s">
        <v>34</v>
      </c>
      <c r="I18" s="4" t="s">
        <v>35</v>
      </c>
      <c r="J18" s="4">
        <v>8</v>
      </c>
      <c r="K18" s="4" t="s">
        <v>116</v>
      </c>
      <c r="L18" s="4" t="s">
        <v>71</v>
      </c>
      <c r="M18" s="116" t="s">
        <v>42</v>
      </c>
      <c r="N18" s="17" t="s">
        <v>39</v>
      </c>
      <c r="O18" s="22" t="s">
        <v>63</v>
      </c>
      <c r="P18" s="28"/>
      <c r="Q18" s="56" t="str">
        <f t="shared" si="0"/>
        <v>PER-E-8-U4-LST-001-00-VHHR</v>
      </c>
      <c r="R18" s="209"/>
      <c r="S18" s="111" t="s">
        <v>486</v>
      </c>
      <c r="T18" s="210" t="s">
        <v>99</v>
      </c>
      <c r="U18" s="210"/>
      <c r="V18" s="160"/>
      <c r="W18" s="111" t="s">
        <v>753</v>
      </c>
      <c r="X18" s="161"/>
      <c r="Y18" s="162"/>
      <c r="Z18" s="163"/>
      <c r="AA18" s="164"/>
      <c r="AB18" s="164"/>
      <c r="AC18" s="165"/>
      <c r="AD18" s="166"/>
      <c r="AE18" s="167"/>
      <c r="AF18" s="165"/>
      <c r="AG18" s="168"/>
      <c r="AH18" s="169"/>
      <c r="AI18" s="169"/>
      <c r="AJ18" s="169"/>
      <c r="AK18" s="169"/>
      <c r="AL18" s="169"/>
    </row>
    <row r="19" spans="1:38" s="170" customFormat="1" ht="24.75" customHeight="1" x14ac:dyDescent="0.2">
      <c r="A19" s="108" t="s">
        <v>255</v>
      </c>
      <c r="B19" s="108" t="s">
        <v>258</v>
      </c>
      <c r="C19" s="108" t="s">
        <v>414</v>
      </c>
      <c r="D19" s="123" t="s">
        <v>407</v>
      </c>
      <c r="E19" s="54" t="s">
        <v>131</v>
      </c>
      <c r="F19" s="53"/>
      <c r="G19" s="115" t="s">
        <v>113</v>
      </c>
      <c r="H19" s="4" t="s">
        <v>34</v>
      </c>
      <c r="I19" s="4" t="s">
        <v>35</v>
      </c>
      <c r="J19" s="4">
        <v>8</v>
      </c>
      <c r="K19" s="4" t="s">
        <v>116</v>
      </c>
      <c r="L19" s="4" t="s">
        <v>76</v>
      </c>
      <c r="M19" s="116" t="s">
        <v>42</v>
      </c>
      <c r="N19" s="17" t="s">
        <v>39</v>
      </c>
      <c r="O19" s="22" t="s">
        <v>63</v>
      </c>
      <c r="P19" s="28"/>
      <c r="Q19" s="56" t="str">
        <f t="shared" si="0"/>
        <v>PER-E-8-U4-ROU-001-00-VHHR</v>
      </c>
      <c r="R19" s="209"/>
      <c r="S19" s="111" t="s">
        <v>600</v>
      </c>
      <c r="T19" s="110" t="s">
        <v>77</v>
      </c>
      <c r="U19" s="110"/>
      <c r="V19" s="160"/>
      <c r="W19" s="111" t="s">
        <v>753</v>
      </c>
      <c r="X19" s="161"/>
      <c r="Y19" s="162"/>
      <c r="Z19" s="163"/>
      <c r="AA19" s="164"/>
      <c r="AB19" s="164"/>
      <c r="AC19" s="165"/>
      <c r="AD19" s="166"/>
      <c r="AE19" s="167"/>
      <c r="AF19" s="165"/>
      <c r="AG19" s="168"/>
      <c r="AH19" s="169"/>
      <c r="AI19" s="169"/>
      <c r="AJ19" s="169"/>
      <c r="AK19" s="169"/>
      <c r="AL19" s="169"/>
    </row>
    <row r="20" spans="1:38" s="170" customFormat="1" ht="24.75" customHeight="1" x14ac:dyDescent="0.2">
      <c r="A20" s="108" t="s">
        <v>256</v>
      </c>
      <c r="B20" s="108" t="s">
        <v>256</v>
      </c>
      <c r="C20" s="108" t="s">
        <v>415</v>
      </c>
      <c r="D20" s="207" t="s">
        <v>408</v>
      </c>
      <c r="E20" s="54" t="s">
        <v>132</v>
      </c>
      <c r="F20" s="53"/>
      <c r="G20" s="115" t="s">
        <v>113</v>
      </c>
      <c r="H20" s="4" t="s">
        <v>34</v>
      </c>
      <c r="I20" s="4" t="s">
        <v>35</v>
      </c>
      <c r="J20" s="4">
        <v>8</v>
      </c>
      <c r="K20" s="4" t="s">
        <v>116</v>
      </c>
      <c r="L20" s="4" t="s">
        <v>79</v>
      </c>
      <c r="M20" s="116" t="s">
        <v>42</v>
      </c>
      <c r="N20" s="17" t="s">
        <v>111</v>
      </c>
      <c r="O20" s="22" t="s">
        <v>63</v>
      </c>
      <c r="P20" s="28"/>
      <c r="Q20" s="56" t="str">
        <f t="shared" si="0"/>
        <v>PER-E-8-U4-FAT-001-01-VHHR</v>
      </c>
      <c r="R20" s="209"/>
      <c r="S20" s="111" t="s">
        <v>791</v>
      </c>
      <c r="T20" s="210" t="s">
        <v>102</v>
      </c>
      <c r="U20" s="210"/>
      <c r="V20" s="160"/>
      <c r="W20" s="111" t="s">
        <v>764</v>
      </c>
      <c r="X20" s="161"/>
      <c r="Y20" s="162"/>
      <c r="Z20" s="163"/>
      <c r="AA20" s="164"/>
      <c r="AB20" s="164"/>
      <c r="AC20" s="165"/>
      <c r="AD20" s="166"/>
      <c r="AE20" s="167"/>
      <c r="AF20" s="165"/>
      <c r="AG20" s="168"/>
      <c r="AH20" s="169"/>
      <c r="AI20" s="169"/>
      <c r="AJ20" s="169"/>
      <c r="AK20" s="169"/>
      <c r="AL20" s="169"/>
    </row>
    <row r="21" spans="1:38" s="170" customFormat="1" ht="24.75" customHeight="1" x14ac:dyDescent="0.2">
      <c r="A21" s="108" t="s">
        <v>255</v>
      </c>
      <c r="B21" s="108" t="s">
        <v>258</v>
      </c>
      <c r="C21" s="108" t="s">
        <v>416</v>
      </c>
      <c r="D21" s="123" t="s">
        <v>407</v>
      </c>
      <c r="E21" s="54" t="s">
        <v>133</v>
      </c>
      <c r="F21" s="53"/>
      <c r="G21" s="115" t="s">
        <v>113</v>
      </c>
      <c r="H21" s="217" t="s">
        <v>34</v>
      </c>
      <c r="I21" s="217" t="s">
        <v>35</v>
      </c>
      <c r="J21" s="4">
        <v>8</v>
      </c>
      <c r="K21" s="4" t="s">
        <v>116</v>
      </c>
      <c r="L21" s="4" t="s">
        <v>47</v>
      </c>
      <c r="M21" s="159" t="s">
        <v>91</v>
      </c>
      <c r="N21" s="17" t="s">
        <v>39</v>
      </c>
      <c r="O21" s="74" t="s">
        <v>63</v>
      </c>
      <c r="P21" s="28"/>
      <c r="Q21" s="56" t="str">
        <f t="shared" si="0"/>
        <v>PER-E-8-U4-SOF-100-00-VHHR</v>
      </c>
      <c r="R21" s="209"/>
      <c r="S21" s="111" t="s">
        <v>787</v>
      </c>
      <c r="T21" s="111" t="s">
        <v>104</v>
      </c>
      <c r="U21" s="111"/>
      <c r="V21" s="160"/>
      <c r="W21" s="111" t="s">
        <v>757</v>
      </c>
      <c r="X21" s="161"/>
      <c r="Y21" s="162"/>
      <c r="Z21" s="163"/>
      <c r="AA21" s="164"/>
      <c r="AB21" s="164"/>
      <c r="AC21" s="165"/>
      <c r="AD21" s="166"/>
      <c r="AE21" s="167"/>
      <c r="AF21" s="165"/>
      <c r="AG21" s="168"/>
      <c r="AH21" s="169"/>
      <c r="AI21" s="169"/>
      <c r="AJ21" s="169"/>
      <c r="AK21" s="169"/>
      <c r="AL21" s="169"/>
    </row>
    <row r="22" spans="1:38" s="170" customFormat="1" ht="24.75" customHeight="1" x14ac:dyDescent="0.2">
      <c r="A22" s="108" t="s">
        <v>255</v>
      </c>
      <c r="B22" s="108" t="s">
        <v>258</v>
      </c>
      <c r="C22" s="108" t="s">
        <v>416</v>
      </c>
      <c r="D22" s="123" t="s">
        <v>407</v>
      </c>
      <c r="E22" s="54" t="s">
        <v>134</v>
      </c>
      <c r="F22" s="53"/>
      <c r="G22" s="115" t="s">
        <v>113</v>
      </c>
      <c r="H22" s="217" t="s">
        <v>34</v>
      </c>
      <c r="I22" s="217" t="s">
        <v>35</v>
      </c>
      <c r="J22" s="4">
        <v>8</v>
      </c>
      <c r="K22" s="4" t="s">
        <v>116</v>
      </c>
      <c r="L22" s="108" t="s">
        <v>50</v>
      </c>
      <c r="M22" s="159" t="s">
        <v>38</v>
      </c>
      <c r="N22" s="17" t="s">
        <v>39</v>
      </c>
      <c r="O22" s="74" t="s">
        <v>63</v>
      </c>
      <c r="P22" s="28"/>
      <c r="Q22" s="56" t="str">
        <f t="shared" si="0"/>
        <v>PER-E-8-U4-SCH-002-00-VHHR</v>
      </c>
      <c r="R22" s="209"/>
      <c r="S22" s="111" t="s">
        <v>487</v>
      </c>
      <c r="T22" s="111" t="s">
        <v>106</v>
      </c>
      <c r="U22" s="111"/>
      <c r="V22" s="160"/>
      <c r="W22" s="111" t="s">
        <v>750</v>
      </c>
      <c r="X22" s="161"/>
      <c r="Y22" s="162"/>
      <c r="Z22" s="163"/>
      <c r="AA22" s="164"/>
      <c r="AB22" s="164"/>
      <c r="AC22" s="165"/>
      <c r="AD22" s="166"/>
      <c r="AE22" s="167"/>
      <c r="AF22" s="165"/>
      <c r="AG22" s="168"/>
      <c r="AH22" s="169"/>
      <c r="AI22" s="169"/>
      <c r="AJ22" s="169"/>
      <c r="AK22" s="169"/>
      <c r="AL22" s="169"/>
    </row>
    <row r="23" spans="1:38" s="170" customFormat="1" ht="24.75" customHeight="1" x14ac:dyDescent="0.2">
      <c r="A23" s="108" t="s">
        <v>256</v>
      </c>
      <c r="B23" s="108" t="s">
        <v>256</v>
      </c>
      <c r="C23" s="108" t="s">
        <v>415</v>
      </c>
      <c r="D23" s="207" t="s">
        <v>408</v>
      </c>
      <c r="E23" s="54" t="s">
        <v>135</v>
      </c>
      <c r="F23" s="53"/>
      <c r="G23" s="115" t="s">
        <v>113</v>
      </c>
      <c r="H23" s="108" t="s">
        <v>34</v>
      </c>
      <c r="I23" s="108" t="s">
        <v>35</v>
      </c>
      <c r="J23" s="4">
        <v>8</v>
      </c>
      <c r="K23" s="4" t="s">
        <v>116</v>
      </c>
      <c r="L23" s="4" t="s">
        <v>82</v>
      </c>
      <c r="M23" s="116" t="s">
        <v>42</v>
      </c>
      <c r="N23" s="17" t="s">
        <v>111</v>
      </c>
      <c r="O23" s="22" t="s">
        <v>63</v>
      </c>
      <c r="P23" s="28"/>
      <c r="Q23" s="56" t="str">
        <f t="shared" si="0"/>
        <v>PER-E-8-U4-CMM-001-01-VHHR</v>
      </c>
      <c r="R23" s="209"/>
      <c r="S23" s="111" t="s">
        <v>790</v>
      </c>
      <c r="T23" s="111" t="s">
        <v>83</v>
      </c>
      <c r="U23" s="111"/>
      <c r="V23" s="160"/>
      <c r="W23" s="111" t="s">
        <v>764</v>
      </c>
      <c r="X23" s="161"/>
      <c r="Y23" s="162"/>
      <c r="Z23" s="163"/>
      <c r="AA23" s="164"/>
      <c r="AB23" s="164"/>
      <c r="AC23" s="165"/>
      <c r="AD23" s="166"/>
      <c r="AE23" s="167"/>
      <c r="AF23" s="165"/>
      <c r="AG23" s="168"/>
      <c r="AH23" s="169"/>
      <c r="AI23" s="169"/>
      <c r="AJ23" s="169"/>
      <c r="AK23" s="169"/>
      <c r="AL23" s="169"/>
    </row>
    <row r="24" spans="1:38" s="170" customFormat="1" ht="24.75" customHeight="1" x14ac:dyDescent="0.2">
      <c r="A24" s="108" t="s">
        <v>258</v>
      </c>
      <c r="B24" s="108" t="s">
        <v>256</v>
      </c>
      <c r="C24" s="108" t="s">
        <v>417</v>
      </c>
      <c r="D24" s="205" t="s">
        <v>407</v>
      </c>
      <c r="E24" s="54" t="s">
        <v>136</v>
      </c>
      <c r="F24" s="53"/>
      <c r="G24" s="115" t="s">
        <v>113</v>
      </c>
      <c r="H24" s="108" t="s">
        <v>34</v>
      </c>
      <c r="I24" s="108" t="s">
        <v>35</v>
      </c>
      <c r="J24" s="4">
        <v>8</v>
      </c>
      <c r="K24" s="4" t="s">
        <v>116</v>
      </c>
      <c r="L24" s="4" t="s">
        <v>85</v>
      </c>
      <c r="M24" s="116" t="s">
        <v>42</v>
      </c>
      <c r="N24" s="17" t="s">
        <v>111</v>
      </c>
      <c r="O24" s="22" t="s">
        <v>63</v>
      </c>
      <c r="P24" s="28"/>
      <c r="Q24" s="56" t="str">
        <f t="shared" si="0"/>
        <v>PER-E-8-U4-MAN-001-01-VHHR</v>
      </c>
      <c r="R24" s="209"/>
      <c r="S24" s="111"/>
      <c r="T24" s="111" t="s">
        <v>109</v>
      </c>
      <c r="U24" s="111"/>
      <c r="V24" s="160"/>
      <c r="W24" s="203" t="s">
        <v>780</v>
      </c>
      <c r="X24" s="161"/>
      <c r="Y24" s="162"/>
      <c r="Z24" s="163"/>
      <c r="AA24" s="164"/>
      <c r="AB24" s="164"/>
      <c r="AC24" s="165"/>
      <c r="AD24" s="166"/>
      <c r="AE24" s="167"/>
      <c r="AF24" s="165"/>
      <c r="AG24" s="168"/>
      <c r="AH24" s="169"/>
      <c r="AI24" s="169"/>
      <c r="AJ24" s="169"/>
      <c r="AK24" s="169"/>
      <c r="AL24" s="169"/>
    </row>
    <row r="25" spans="1:38" s="170" customFormat="1" ht="24.75" customHeight="1" x14ac:dyDescent="0.2">
      <c r="A25" s="108" t="s">
        <v>255</v>
      </c>
      <c r="B25" s="108" t="s">
        <v>258</v>
      </c>
      <c r="C25" s="108" t="s">
        <v>418</v>
      </c>
      <c r="D25" s="123" t="s">
        <v>406</v>
      </c>
      <c r="E25" s="54" t="s">
        <v>461</v>
      </c>
      <c r="F25" s="53"/>
      <c r="G25" s="115" t="s">
        <v>113</v>
      </c>
      <c r="H25" s="108" t="s">
        <v>34</v>
      </c>
      <c r="I25" s="108" t="s">
        <v>35</v>
      </c>
      <c r="J25" s="4">
        <v>2</v>
      </c>
      <c r="K25" s="4" t="s">
        <v>116</v>
      </c>
      <c r="L25" s="4" t="s">
        <v>52</v>
      </c>
      <c r="M25" s="116" t="s">
        <v>42</v>
      </c>
      <c r="N25" s="17" t="s">
        <v>39</v>
      </c>
      <c r="O25" s="22" t="s">
        <v>63</v>
      </c>
      <c r="P25" s="28"/>
      <c r="Q25" s="56" t="str">
        <f t="shared" si="0"/>
        <v>PER-E-2-U4-TSP-001-00-VHHR</v>
      </c>
      <c r="R25" s="209"/>
      <c r="S25" s="111" t="s">
        <v>462</v>
      </c>
      <c r="T25" s="111" t="s">
        <v>462</v>
      </c>
      <c r="U25" s="111"/>
      <c r="V25" s="160"/>
      <c r="W25" s="111" t="s">
        <v>750</v>
      </c>
      <c r="X25" s="161"/>
      <c r="Y25" s="162"/>
      <c r="Z25" s="163"/>
      <c r="AA25" s="164"/>
      <c r="AB25" s="164"/>
      <c r="AC25" s="165"/>
      <c r="AD25" s="166"/>
      <c r="AE25" s="167"/>
      <c r="AF25" s="165"/>
      <c r="AG25" s="168"/>
      <c r="AH25" s="169"/>
      <c r="AI25" s="169"/>
      <c r="AJ25" s="169"/>
      <c r="AK25" s="169"/>
      <c r="AL25" s="169"/>
    </row>
    <row r="26" spans="1:38" s="170" customFormat="1" ht="24.75" customHeight="1" x14ac:dyDescent="0.2">
      <c r="A26" s="108" t="s">
        <v>255</v>
      </c>
      <c r="B26" s="108" t="s">
        <v>258</v>
      </c>
      <c r="C26" s="108" t="s">
        <v>419</v>
      </c>
      <c r="D26" s="123" t="s">
        <v>406</v>
      </c>
      <c r="E26" s="54" t="s">
        <v>410</v>
      </c>
      <c r="F26" s="53"/>
      <c r="G26" s="115" t="s">
        <v>113</v>
      </c>
      <c r="H26" s="108" t="s">
        <v>34</v>
      </c>
      <c r="I26" s="108" t="s">
        <v>35</v>
      </c>
      <c r="J26" s="4">
        <v>8</v>
      </c>
      <c r="K26" s="4" t="s">
        <v>116</v>
      </c>
      <c r="L26" s="4" t="s">
        <v>52</v>
      </c>
      <c r="M26" s="116" t="s">
        <v>42</v>
      </c>
      <c r="N26" s="17" t="s">
        <v>39</v>
      </c>
      <c r="O26" s="22" t="s">
        <v>63</v>
      </c>
      <c r="P26" s="28"/>
      <c r="Q26" s="56" t="str">
        <f t="shared" si="0"/>
        <v>PER-E-8-U4-TSP-001-00-VHHR</v>
      </c>
      <c r="R26" s="209"/>
      <c r="S26" s="111" t="s">
        <v>409</v>
      </c>
      <c r="T26" s="111" t="s">
        <v>409</v>
      </c>
      <c r="U26" s="111"/>
      <c r="V26" s="160"/>
      <c r="W26" s="111" t="s">
        <v>750</v>
      </c>
      <c r="X26" s="161"/>
      <c r="Y26" s="162"/>
      <c r="Z26" s="163"/>
      <c r="AA26" s="164"/>
      <c r="AB26" s="164"/>
      <c r="AC26" s="165"/>
      <c r="AD26" s="166"/>
      <c r="AE26" s="167"/>
      <c r="AF26" s="165"/>
      <c r="AG26" s="168"/>
      <c r="AH26" s="169"/>
      <c r="AI26" s="169"/>
      <c r="AJ26" s="169"/>
      <c r="AK26" s="169"/>
      <c r="AL26" s="169"/>
    </row>
    <row r="29" spans="1:38" ht="24.75" customHeight="1" x14ac:dyDescent="0.2">
      <c r="D29" s="140"/>
      <c r="E29" s="109" t="s">
        <v>420</v>
      </c>
    </row>
    <row r="30" spans="1:38" ht="24.75" customHeight="1" x14ac:dyDescent="0.2">
      <c r="D30" s="141"/>
      <c r="E30" s="109" t="s">
        <v>458</v>
      </c>
    </row>
    <row r="31" spans="1:38" ht="24.75" customHeight="1" x14ac:dyDescent="0.2">
      <c r="D31" s="142" t="s">
        <v>800</v>
      </c>
      <c r="E31" s="109" t="s">
        <v>421</v>
      </c>
      <c r="U31" s="62" t="s">
        <v>805</v>
      </c>
    </row>
    <row r="32" spans="1:38" ht="24.75" customHeight="1" x14ac:dyDescent="0.2">
      <c r="D32" s="143" t="s">
        <v>800</v>
      </c>
      <c r="E32" s="109" t="s">
        <v>454</v>
      </c>
      <c r="U32" s="62" t="s">
        <v>809</v>
      </c>
    </row>
    <row r="33" spans="4:21" ht="24.75" customHeight="1" x14ac:dyDescent="0.2">
      <c r="D33" s="206"/>
      <c r="E33" s="109" t="s">
        <v>459</v>
      </c>
    </row>
    <row r="34" spans="4:21" ht="24.75" customHeight="1" x14ac:dyDescent="0.25">
      <c r="D34" s="204"/>
      <c r="E34" s="109" t="s">
        <v>455</v>
      </c>
    </row>
    <row r="37" spans="4:21" ht="24.75" customHeight="1" x14ac:dyDescent="0.2">
      <c r="D37" s="36" t="s">
        <v>800</v>
      </c>
      <c r="U37" s="62" t="s">
        <v>806</v>
      </c>
    </row>
    <row r="38" spans="4:21" ht="24.75" customHeight="1" x14ac:dyDescent="0.2">
      <c r="D38" s="36" t="s">
        <v>800</v>
      </c>
      <c r="U38" s="62" t="s">
        <v>807</v>
      </c>
    </row>
    <row r="39" spans="4:21" ht="24.75" customHeight="1" x14ac:dyDescent="0.2">
      <c r="D39" s="36" t="s">
        <v>800</v>
      </c>
      <c r="U39" s="62" t="s">
        <v>808</v>
      </c>
    </row>
  </sheetData>
  <protectedRanges>
    <protectedRange algorithmName="SHA-512" hashValue="DT+g7BNaXiSQyqgnZOKwRrBRMsFzaneKlmj6xf4OtwBIPVKsUvuyVpVK0rC0SpdkhPNlHz8+At1JiF6RyrKsQg==" saltValue="msPR9IRc+iGbx3A9mg/o4w==" spinCount="100000" sqref="Q2:Q3" name="Range1_1"/>
    <protectedRange algorithmName="SHA-512" hashValue="DT+g7BNaXiSQyqgnZOKwRrBRMsFzaneKlmj6xf4OtwBIPVKsUvuyVpVK0rC0SpdkhPNlHz8+At1JiF6RyrKsQg==" saltValue="msPR9IRc+iGbx3A9mg/o4w==" spinCount="100000" sqref="Q4:Q26" name="Range1_11_2"/>
    <protectedRange sqref="S26" name="Range2_2_2_1"/>
  </protectedRanges>
  <autoFilter ref="A3:AL26" xr:uid="{6F0EF6BA-5618-49CB-93B7-BAA7573B3087}"/>
  <phoneticPr fontId="16" type="noConversion"/>
  <conditionalFormatting sqref="A2:D2">
    <cfRule type="duplicateValues" dxfId="82" priority="22"/>
    <cfRule type="duplicateValues" dxfId="81" priority="23"/>
  </conditionalFormatting>
  <conditionalFormatting sqref="A3:D3">
    <cfRule type="duplicateValues" dxfId="80" priority="20"/>
    <cfRule type="duplicateValues" dxfId="79" priority="21"/>
  </conditionalFormatting>
  <conditionalFormatting sqref="E1 E27:E28 E35:E1048576">
    <cfRule type="duplicateValues" dxfId="78" priority="3519"/>
    <cfRule type="duplicateValues" dxfId="77" priority="3520"/>
  </conditionalFormatting>
  <conditionalFormatting sqref="E2:E3">
    <cfRule type="duplicateValues" dxfId="76" priority="26"/>
    <cfRule type="duplicateValues" dxfId="75" priority="27"/>
  </conditionalFormatting>
  <conditionalFormatting sqref="E4:E15">
    <cfRule type="duplicateValues" dxfId="74" priority="11"/>
    <cfRule type="duplicateValues" dxfId="73" priority="12"/>
  </conditionalFormatting>
  <conditionalFormatting sqref="E16">
    <cfRule type="duplicateValues" dxfId="72" priority="9"/>
    <cfRule type="duplicateValues" dxfId="71" priority="10"/>
  </conditionalFormatting>
  <conditionalFormatting sqref="E29:E31 E34">
    <cfRule type="duplicateValues" dxfId="70" priority="1"/>
    <cfRule type="duplicateValues" dxfId="69" priority="2"/>
  </conditionalFormatting>
  <conditionalFormatting sqref="E32:E33">
    <cfRule type="duplicateValues" dxfId="68" priority="3"/>
    <cfRule type="duplicateValues" dxfId="67" priority="4"/>
  </conditionalFormatting>
  <conditionalFormatting sqref="F1 F27:F1048576">
    <cfRule type="duplicateValues" dxfId="66" priority="3458"/>
  </conditionalFormatting>
  <conditionalFormatting sqref="F2:F3">
    <cfRule type="duplicateValues" dxfId="65" priority="28"/>
  </conditionalFormatting>
  <conditionalFormatting sqref="F4:F26">
    <cfRule type="duplicateValues" dxfId="64" priority="13"/>
  </conditionalFormatting>
  <conditionalFormatting sqref="Q2:Q3">
    <cfRule type="duplicateValues" dxfId="63" priority="24"/>
    <cfRule type="duplicateValues" dxfId="62" priority="25"/>
  </conditionalFormatting>
  <conditionalFormatting sqref="Q4:Q24">
    <cfRule type="duplicateValues" dxfId="61" priority="14"/>
    <cfRule type="duplicateValues" dxfId="60" priority="15"/>
  </conditionalFormatting>
  <conditionalFormatting sqref="Q27:Q1048576 Q1">
    <cfRule type="duplicateValues" dxfId="59" priority="81"/>
    <cfRule type="duplicateValues" dxfId="58" priority="82"/>
  </conditionalFormatting>
  <dataValidations count="2">
    <dataValidation type="list" allowBlank="1" showInputMessage="1" showErrorMessage="1" sqref="J1:J3 J27:J1048576" xr:uid="{541807BD-8C81-4F4B-AA6C-E02FCC7034E3}">
      <formula1>#REF!</formula1>
    </dataValidation>
    <dataValidation type="list" allowBlank="1" showInputMessage="1" showErrorMessage="1" sqref="H1:H1048576" xr:uid="{52DE7CF6-85C7-4CF2-89F6-3594A69136C2}">
      <formula1>"PER"</formula1>
    </dataValidation>
  </dataValidations>
  <pageMargins left="0.7" right="0.7" top="0.75" bottom="0.75" header="0.3" footer="0.3"/>
  <pageSetup paperSize="9" fitToHeight="0" orientation="portrait" horizontalDpi="1200" verticalDpi="1200" r:id="rId1"/>
  <customProperties>
    <customPr name="_pios_id" r:id="rId2"/>
  </customPropertie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46B8966-C8A5-4874-B884-343AC750C78D}">
          <x14:formula1>
            <xm:f>Abbreviations!$R$6:$R$13</xm:f>
          </x14:formula1>
          <xm:sqref>O1:P1 O27:P1048576</xm:sqref>
        </x14:dataValidation>
        <x14:dataValidation type="list" allowBlank="1" showInputMessage="1" showErrorMessage="1" xr:uid="{466F87D7-5DCD-4799-B585-9B2797BAC1E1}">
          <x14:formula1>
            <xm:f>Abbreviations!$E$6:$E$14</xm:f>
          </x14:formula1>
          <xm:sqref>I1 I27:I1048576</xm:sqref>
        </x14:dataValidation>
        <x14:dataValidation type="list" allowBlank="1" showInputMessage="1" showErrorMessage="1" xr:uid="{9888E32B-D511-47D8-B639-615D18887BC5}">
          <x14:formula1>
            <xm:f>Abbreviations!$L$6:$L$43</xm:f>
          </x14:formula1>
          <xm:sqref>L1 L27:L1048576</xm:sqref>
        </x14:dataValidation>
        <x14:dataValidation type="list" allowBlank="1" showInputMessage="1" showErrorMessage="1" xr:uid="{2BAC4F48-BEE0-4B1F-BD02-477C52C782F5}">
          <x14:formula1>
            <xm:f>Abbreviations!$B$6:$B$11</xm:f>
          </x14:formula1>
          <xm:sqref>G1 G27:G1048576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A734-A344-4641-8353-91F4ADB35742}">
  <sheetPr>
    <tabColor theme="0"/>
    <pageSetUpPr fitToPage="1"/>
  </sheetPr>
  <dimension ref="A1:AM57"/>
  <sheetViews>
    <sheetView tabSelected="1" zoomScale="70" zoomScaleNormal="70" workbookViewId="0">
      <pane ySplit="3" topLeftCell="A22" activePane="bottomLeft" state="frozen"/>
      <selection activeCell="U35" sqref="U35"/>
      <selection pane="bottomLeft" activeCell="U35" sqref="U35"/>
    </sheetView>
  </sheetViews>
  <sheetFormatPr defaultColWidth="9.42578125" defaultRowHeight="24.75" customHeight="1" x14ac:dyDescent="0.25"/>
  <cols>
    <col min="1" max="1" width="9.42578125" style="35" customWidth="1"/>
    <col min="2" max="2" width="9.42578125" style="35"/>
    <col min="3" max="3" width="13.28515625" style="253" customWidth="1"/>
    <col min="4" max="4" width="18.42578125" style="35" customWidth="1"/>
    <col min="5" max="5" width="32.7109375" style="254" customWidth="1"/>
    <col min="6" max="6" width="21.140625" style="255" hidden="1" customWidth="1"/>
    <col min="7" max="7" width="16.85546875" style="257" hidden="1" customWidth="1"/>
    <col min="8" max="8" width="10.5703125" style="258" hidden="1" customWidth="1"/>
    <col min="9" max="9" width="10.5703125" style="253" hidden="1" customWidth="1"/>
    <col min="10" max="10" width="13.5703125" style="76" hidden="1" customWidth="1"/>
    <col min="11" max="11" width="13.5703125" style="253" hidden="1" customWidth="1"/>
    <col min="12" max="12" width="13.5703125" style="16" hidden="1" customWidth="1"/>
    <col min="13" max="13" width="13.5703125" style="76" hidden="1" customWidth="1"/>
    <col min="14" max="14" width="13.5703125" style="259" hidden="1" customWidth="1"/>
    <col min="15" max="15" width="9.5703125" style="35" hidden="1" customWidth="1"/>
    <col min="16" max="16" width="10" style="260" hidden="1" customWidth="1"/>
    <col min="17" max="17" width="26" style="260" hidden="1" customWidth="1"/>
    <col min="18" max="18" width="33" style="253" customWidth="1"/>
    <col min="19" max="19" width="25.42578125" style="253" customWidth="1"/>
    <col min="20" max="20" width="67.85546875" style="253" bestFit="1" customWidth="1"/>
    <col min="21" max="21" width="67.28515625" style="253" customWidth="1"/>
    <col min="22" max="22" width="68.28515625" style="256" customWidth="1"/>
    <col min="23" max="23" width="16.5703125" style="243" customWidth="1"/>
    <col min="24" max="24" width="143.7109375" style="244" bestFit="1" customWidth="1"/>
    <col min="25" max="25" width="13.42578125" style="245" customWidth="1"/>
    <col min="26" max="26" width="14.42578125" style="242" customWidth="1"/>
    <col min="27" max="27" width="10.42578125" style="246" customWidth="1"/>
    <col min="28" max="28" width="13.5703125" style="247" customWidth="1"/>
    <col min="29" max="29" width="45.42578125" style="247" customWidth="1"/>
    <col min="30" max="30" width="18.5703125" style="248" customWidth="1"/>
    <col min="31" max="31" width="14.42578125" style="249" customWidth="1"/>
    <col min="32" max="32" width="10.42578125" style="250" customWidth="1"/>
    <col min="33" max="33" width="13.5703125" style="248" customWidth="1"/>
    <col min="34" max="34" width="45.42578125" style="251" customWidth="1"/>
    <col min="35" max="35" width="19.5703125" style="252" customWidth="1"/>
    <col min="36" max="36" width="14.42578125" style="252" customWidth="1"/>
    <col min="37" max="37" width="10.42578125" style="252" customWidth="1"/>
    <col min="38" max="38" width="13.5703125" style="252" customWidth="1"/>
    <col min="39" max="39" width="45.42578125" style="252" customWidth="1"/>
    <col min="40" max="16384" width="9.42578125" style="35"/>
  </cols>
  <sheetData>
    <row r="1" spans="1:39" ht="29.25" thickBot="1" x14ac:dyDescent="0.25">
      <c r="A1" s="15"/>
      <c r="B1" s="15"/>
      <c r="C1" s="15"/>
      <c r="D1" s="15"/>
      <c r="E1" s="34"/>
      <c r="F1" s="21" t="s">
        <v>0</v>
      </c>
      <c r="G1" s="12"/>
      <c r="H1" s="15"/>
      <c r="I1" s="15"/>
      <c r="J1" s="82"/>
      <c r="K1" s="15"/>
      <c r="L1" s="15"/>
      <c r="M1" s="82"/>
      <c r="N1" s="15"/>
      <c r="O1" s="5"/>
      <c r="P1" s="15"/>
      <c r="Q1" s="15"/>
      <c r="R1" s="15"/>
      <c r="S1" s="15"/>
      <c r="T1" s="15"/>
      <c r="U1" s="15"/>
      <c r="V1" s="34"/>
      <c r="W1" s="29"/>
      <c r="X1" s="83"/>
      <c r="Y1" s="84" t="s">
        <v>1</v>
      </c>
      <c r="Z1" s="70"/>
      <c r="AA1" s="86"/>
      <c r="AB1" s="87"/>
      <c r="AC1" s="87"/>
      <c r="AD1" s="88" t="s">
        <v>2</v>
      </c>
      <c r="AE1" s="89"/>
      <c r="AF1" s="90"/>
      <c r="AG1" s="91"/>
      <c r="AH1" s="92"/>
      <c r="AI1" s="93" t="s">
        <v>3</v>
      </c>
      <c r="AJ1" s="93"/>
      <c r="AK1" s="93"/>
      <c r="AL1" s="93"/>
      <c r="AM1" s="94"/>
    </row>
    <row r="2" spans="1:39" ht="28.35" customHeight="1" thickBot="1" x14ac:dyDescent="0.25">
      <c r="A2" s="63"/>
      <c r="B2" s="63"/>
      <c r="C2" s="63"/>
      <c r="D2" s="63"/>
      <c r="E2" s="78" t="s">
        <v>138</v>
      </c>
      <c r="F2" s="14"/>
      <c r="G2" s="13"/>
      <c r="H2" s="2"/>
      <c r="I2" s="2"/>
      <c r="J2" s="95"/>
      <c r="K2" s="2"/>
      <c r="L2" s="2"/>
      <c r="M2" s="95"/>
      <c r="N2" s="2"/>
      <c r="O2" s="2"/>
      <c r="P2" s="2"/>
      <c r="Q2" s="2"/>
      <c r="R2" s="2"/>
      <c r="S2" s="2"/>
      <c r="T2" s="2"/>
      <c r="U2" s="2"/>
      <c r="V2" s="61"/>
      <c r="W2" s="31"/>
      <c r="X2" s="96"/>
      <c r="Y2" s="66" t="s">
        <v>5</v>
      </c>
      <c r="Z2" s="72"/>
      <c r="AA2" s="23" t="s">
        <v>6</v>
      </c>
      <c r="AB2" s="9"/>
      <c r="AC2" s="9"/>
      <c r="AD2" s="10" t="s">
        <v>5</v>
      </c>
      <c r="AE2" s="33"/>
      <c r="AF2" s="25" t="s">
        <v>6</v>
      </c>
      <c r="AG2" s="24"/>
      <c r="AH2" s="8"/>
      <c r="AI2" s="6" t="s">
        <v>5</v>
      </c>
      <c r="AJ2" s="6"/>
      <c r="AK2" s="7" t="s">
        <v>6</v>
      </c>
      <c r="AL2" s="7"/>
      <c r="AM2" s="18"/>
    </row>
    <row r="3" spans="1:39" s="64" customFormat="1" ht="45" x14ac:dyDescent="0.25">
      <c r="A3" s="145" t="s">
        <v>7</v>
      </c>
      <c r="B3" s="145" t="s">
        <v>8</v>
      </c>
      <c r="C3" s="145" t="s">
        <v>9</v>
      </c>
      <c r="D3" s="145" t="s">
        <v>10</v>
      </c>
      <c r="E3" s="236" t="s">
        <v>11</v>
      </c>
      <c r="F3" s="237" t="s">
        <v>12</v>
      </c>
      <c r="G3" s="211" t="s">
        <v>13</v>
      </c>
      <c r="H3" s="60" t="s">
        <v>43</v>
      </c>
      <c r="I3" s="60" t="s">
        <v>15</v>
      </c>
      <c r="J3" s="60" t="s">
        <v>16</v>
      </c>
      <c r="K3" s="60" t="s">
        <v>17</v>
      </c>
      <c r="L3" s="60" t="s">
        <v>18</v>
      </c>
      <c r="M3" s="60" t="s">
        <v>19</v>
      </c>
      <c r="N3" s="146" t="s">
        <v>20</v>
      </c>
      <c r="O3" s="60" t="s">
        <v>21</v>
      </c>
      <c r="P3" s="147" t="s">
        <v>22</v>
      </c>
      <c r="Q3" s="147" t="s">
        <v>23</v>
      </c>
      <c r="R3" s="60" t="s">
        <v>24</v>
      </c>
      <c r="S3" s="60" t="s">
        <v>25</v>
      </c>
      <c r="T3" s="60" t="s">
        <v>488</v>
      </c>
      <c r="U3" s="60" t="s">
        <v>799</v>
      </c>
      <c r="V3" s="60" t="s">
        <v>26</v>
      </c>
      <c r="W3" s="148" t="s">
        <v>27</v>
      </c>
      <c r="X3" s="149" t="s">
        <v>28</v>
      </c>
      <c r="Y3" s="150" t="s">
        <v>29</v>
      </c>
      <c r="Z3" s="238" t="s">
        <v>30</v>
      </c>
      <c r="AA3" s="212" t="s">
        <v>31</v>
      </c>
      <c r="AB3" s="213" t="s">
        <v>30</v>
      </c>
      <c r="AC3" s="213" t="s">
        <v>32</v>
      </c>
      <c r="AD3" s="152" t="s">
        <v>29</v>
      </c>
      <c r="AE3" s="153" t="s">
        <v>30</v>
      </c>
      <c r="AF3" s="154" t="s">
        <v>31</v>
      </c>
      <c r="AG3" s="155" t="s">
        <v>30</v>
      </c>
      <c r="AH3" s="214" t="s">
        <v>32</v>
      </c>
      <c r="AI3" s="156" t="s">
        <v>29</v>
      </c>
      <c r="AJ3" s="157" t="s">
        <v>30</v>
      </c>
      <c r="AK3" s="215" t="s">
        <v>31</v>
      </c>
      <c r="AL3" s="215" t="s">
        <v>30</v>
      </c>
      <c r="AM3" s="216" t="s">
        <v>32</v>
      </c>
    </row>
    <row r="4" spans="1:39" s="170" customFormat="1" ht="24.75" customHeight="1" x14ac:dyDescent="0.2">
      <c r="A4" s="108" t="s">
        <v>255</v>
      </c>
      <c r="B4" s="108" t="s">
        <v>258</v>
      </c>
      <c r="C4" s="108" t="s">
        <v>633</v>
      </c>
      <c r="D4" s="123"/>
      <c r="E4" s="118" t="s">
        <v>636</v>
      </c>
      <c r="F4" s="26"/>
      <c r="G4" s="239" t="str">
        <f t="shared" ref="G4:G49" si="0">E4&amp;" - "&amp;H4</f>
        <v>PERU-01-16-111-14-003 - A</v>
      </c>
      <c r="H4" s="117" t="s">
        <v>113</v>
      </c>
      <c r="I4" s="117" t="s">
        <v>34</v>
      </c>
      <c r="J4" s="117" t="s">
        <v>35</v>
      </c>
      <c r="K4" s="233">
        <v>2</v>
      </c>
      <c r="L4" s="117" t="s">
        <v>143</v>
      </c>
      <c r="M4" s="117" t="s">
        <v>68</v>
      </c>
      <c r="N4" s="117" t="s">
        <v>42</v>
      </c>
      <c r="O4" s="116" t="s">
        <v>39</v>
      </c>
      <c r="P4" s="117" t="s">
        <v>63</v>
      </c>
      <c r="Q4" s="27" t="s">
        <v>149</v>
      </c>
      <c r="R4" s="69" t="str">
        <f t="shared" ref="R4:R50" si="1">CONCATENATE(,I4,"-",J4,"-",K4,"-",L4,"-",M4,"-",N4,"-",O4,"-",P4)</f>
        <v>PER-E-2-U6-ASB-001-00-VHHR</v>
      </c>
      <c r="S4" s="27" t="s">
        <v>659</v>
      </c>
      <c r="T4" s="119" t="s">
        <v>702</v>
      </c>
      <c r="U4" s="119"/>
      <c r="V4" s="57" t="s">
        <v>69</v>
      </c>
      <c r="W4" s="160"/>
      <c r="X4" s="111" t="s">
        <v>751</v>
      </c>
      <c r="Y4" s="161"/>
      <c r="Z4" s="71"/>
      <c r="AA4" s="163"/>
      <c r="AB4" s="164"/>
      <c r="AC4" s="164"/>
      <c r="AD4" s="165"/>
      <c r="AE4" s="166"/>
      <c r="AF4" s="167"/>
      <c r="AG4" s="165"/>
      <c r="AH4" s="168"/>
      <c r="AI4" s="169"/>
      <c r="AJ4" s="169"/>
      <c r="AK4" s="169"/>
      <c r="AL4" s="169"/>
      <c r="AM4" s="169"/>
    </row>
    <row r="5" spans="1:39" s="170" customFormat="1" ht="24.75" customHeight="1" x14ac:dyDescent="0.2">
      <c r="A5" s="108" t="s">
        <v>255</v>
      </c>
      <c r="B5" s="108" t="s">
        <v>258</v>
      </c>
      <c r="C5" s="108" t="s">
        <v>633</v>
      </c>
      <c r="D5" s="123" t="s">
        <v>800</v>
      </c>
      <c r="E5" s="118" t="s">
        <v>637</v>
      </c>
      <c r="F5" s="26"/>
      <c r="G5" s="239" t="str">
        <f t="shared" si="0"/>
        <v>PERU-01-16-111-31-001 - A</v>
      </c>
      <c r="H5" s="117" t="s">
        <v>113</v>
      </c>
      <c r="I5" s="117" t="s">
        <v>34</v>
      </c>
      <c r="J5" s="117" t="s">
        <v>35</v>
      </c>
      <c r="K5" s="233">
        <v>2</v>
      </c>
      <c r="L5" s="117" t="s">
        <v>143</v>
      </c>
      <c r="M5" s="117" t="s">
        <v>50</v>
      </c>
      <c r="N5" s="117" t="s">
        <v>38</v>
      </c>
      <c r="O5" s="116" t="s">
        <v>39</v>
      </c>
      <c r="P5" s="117" t="s">
        <v>63</v>
      </c>
      <c r="Q5" s="27" t="s">
        <v>149</v>
      </c>
      <c r="R5" s="69" t="str">
        <f t="shared" si="1"/>
        <v>PER-E-2-U6-SCH-002-00-VHHR</v>
      </c>
      <c r="S5" s="117" t="s">
        <v>660</v>
      </c>
      <c r="T5" s="119" t="s">
        <v>703</v>
      </c>
      <c r="U5" s="119" t="s">
        <v>801</v>
      </c>
      <c r="V5" s="119" t="s">
        <v>96</v>
      </c>
      <c r="W5" s="160"/>
      <c r="X5" s="111" t="s">
        <v>754</v>
      </c>
      <c r="Y5" s="161"/>
      <c r="Z5" s="71"/>
      <c r="AA5" s="163"/>
      <c r="AB5" s="164"/>
      <c r="AC5" s="164"/>
      <c r="AD5" s="165"/>
      <c r="AE5" s="166"/>
      <c r="AF5" s="167"/>
      <c r="AG5" s="165"/>
      <c r="AH5" s="168"/>
      <c r="AI5" s="169"/>
      <c r="AJ5" s="169"/>
      <c r="AK5" s="169"/>
      <c r="AL5" s="169"/>
      <c r="AM5" s="169"/>
    </row>
    <row r="6" spans="1:39" s="170" customFormat="1" ht="24.75" customHeight="1" x14ac:dyDescent="0.2">
      <c r="A6" s="108" t="s">
        <v>258</v>
      </c>
      <c r="B6" s="108" t="s">
        <v>256</v>
      </c>
      <c r="C6" s="108" t="s">
        <v>634</v>
      </c>
      <c r="D6" s="205"/>
      <c r="E6" s="118" t="s">
        <v>638</v>
      </c>
      <c r="F6" s="26"/>
      <c r="G6" s="239" t="str">
        <f t="shared" si="0"/>
        <v>PERU-01-16-111-70-003 - A</v>
      </c>
      <c r="H6" s="117" t="s">
        <v>113</v>
      </c>
      <c r="I6" s="117" t="s">
        <v>34</v>
      </c>
      <c r="J6" s="117" t="s">
        <v>35</v>
      </c>
      <c r="K6" s="233">
        <v>2</v>
      </c>
      <c r="L6" s="117" t="s">
        <v>143</v>
      </c>
      <c r="M6" s="117" t="s">
        <v>85</v>
      </c>
      <c r="N6" s="117" t="s">
        <v>42</v>
      </c>
      <c r="O6" s="116" t="s">
        <v>39</v>
      </c>
      <c r="P6" s="117" t="s">
        <v>63</v>
      </c>
      <c r="Q6" s="27" t="s">
        <v>149</v>
      </c>
      <c r="R6" s="69" t="str">
        <f t="shared" si="1"/>
        <v>PER-E-2-U6-MAN-001-00-VHHR</v>
      </c>
      <c r="S6" s="117" t="s">
        <v>661</v>
      </c>
      <c r="T6" s="119"/>
      <c r="U6" s="119"/>
      <c r="V6" s="119" t="s">
        <v>88</v>
      </c>
      <c r="W6" s="160"/>
      <c r="X6" s="203" t="s">
        <v>771</v>
      </c>
      <c r="Y6" s="161"/>
      <c r="Z6" s="71"/>
      <c r="AA6" s="163"/>
      <c r="AB6" s="164"/>
      <c r="AC6" s="164"/>
      <c r="AD6" s="165"/>
      <c r="AE6" s="166"/>
      <c r="AF6" s="167"/>
      <c r="AG6" s="165"/>
      <c r="AH6" s="168"/>
      <c r="AI6" s="169"/>
      <c r="AJ6" s="169"/>
      <c r="AK6" s="169"/>
      <c r="AL6" s="169"/>
      <c r="AM6" s="169"/>
    </row>
    <row r="7" spans="1:39" s="170" customFormat="1" ht="24.75" customHeight="1" x14ac:dyDescent="0.2">
      <c r="A7" s="108" t="s">
        <v>255</v>
      </c>
      <c r="B7" s="108" t="s">
        <v>258</v>
      </c>
      <c r="C7" s="108" t="s">
        <v>604</v>
      </c>
      <c r="D7" s="263"/>
      <c r="E7" s="118" t="s">
        <v>639</v>
      </c>
      <c r="F7" s="26"/>
      <c r="G7" s="239" t="str">
        <f t="shared" si="0"/>
        <v>PERU-01-16-111-34-003 - A</v>
      </c>
      <c r="H7" s="117" t="s">
        <v>113</v>
      </c>
      <c r="I7" s="117" t="s">
        <v>34</v>
      </c>
      <c r="J7" s="117" t="s">
        <v>35</v>
      </c>
      <c r="K7" s="233">
        <v>2</v>
      </c>
      <c r="L7" s="117" t="s">
        <v>143</v>
      </c>
      <c r="M7" s="117" t="s">
        <v>47</v>
      </c>
      <c r="N7" s="117" t="s">
        <v>51</v>
      </c>
      <c r="O7" s="116" t="s">
        <v>39</v>
      </c>
      <c r="P7" s="117" t="s">
        <v>63</v>
      </c>
      <c r="Q7" s="27" t="s">
        <v>149</v>
      </c>
      <c r="R7" s="69" t="str">
        <f t="shared" si="1"/>
        <v>PER-E-2-U6-SOF-101-00-VHHR</v>
      </c>
      <c r="S7" s="117" t="s">
        <v>662</v>
      </c>
      <c r="T7" s="119" t="s">
        <v>704</v>
      </c>
      <c r="U7" s="119"/>
      <c r="V7" s="119" t="s">
        <v>94</v>
      </c>
      <c r="W7" s="160"/>
      <c r="X7" s="111" t="s">
        <v>759</v>
      </c>
      <c r="Y7" s="161"/>
      <c r="Z7" s="71"/>
      <c r="AA7" s="163"/>
      <c r="AB7" s="164"/>
      <c r="AC7" s="164"/>
      <c r="AD7" s="165"/>
      <c r="AE7" s="166"/>
      <c r="AF7" s="167"/>
      <c r="AG7" s="165"/>
      <c r="AH7" s="168"/>
      <c r="AI7" s="169"/>
      <c r="AJ7" s="169"/>
      <c r="AK7" s="169"/>
      <c r="AL7" s="169"/>
      <c r="AM7" s="169"/>
    </row>
    <row r="8" spans="1:39" s="170" customFormat="1" ht="24.75" customHeight="1" x14ac:dyDescent="0.2">
      <c r="A8" s="108" t="s">
        <v>255</v>
      </c>
      <c r="B8" s="108" t="s">
        <v>258</v>
      </c>
      <c r="C8" s="108" t="s">
        <v>633</v>
      </c>
      <c r="D8" s="123"/>
      <c r="E8" s="118" t="s">
        <v>640</v>
      </c>
      <c r="F8" s="26"/>
      <c r="G8" s="239" t="str">
        <f t="shared" si="0"/>
        <v>PERU-01-16-111-23-002 - A</v>
      </c>
      <c r="H8" s="117" t="s">
        <v>113</v>
      </c>
      <c r="I8" s="117" t="s">
        <v>34</v>
      </c>
      <c r="J8" s="117" t="s">
        <v>35</v>
      </c>
      <c r="K8" s="233">
        <v>2</v>
      </c>
      <c r="L8" s="117" t="s">
        <v>143</v>
      </c>
      <c r="M8" s="117" t="s">
        <v>71</v>
      </c>
      <c r="N8" s="117" t="s">
        <v>42</v>
      </c>
      <c r="O8" s="116" t="s">
        <v>39</v>
      </c>
      <c r="P8" s="117" t="s">
        <v>63</v>
      </c>
      <c r="Q8" s="27" t="s">
        <v>149</v>
      </c>
      <c r="R8" s="69" t="str">
        <f t="shared" si="1"/>
        <v>PER-E-2-U6-LST-001-00-VHHR</v>
      </c>
      <c r="S8" s="240" t="s">
        <v>663</v>
      </c>
      <c r="T8" s="119" t="s">
        <v>705</v>
      </c>
      <c r="U8" s="119"/>
      <c r="V8" s="119" t="s">
        <v>72</v>
      </c>
      <c r="W8" s="160"/>
      <c r="X8" s="111" t="s">
        <v>753</v>
      </c>
      <c r="Y8" s="161"/>
      <c r="Z8" s="71"/>
      <c r="AA8" s="163"/>
      <c r="AB8" s="164"/>
      <c r="AC8" s="164"/>
      <c r="AD8" s="165"/>
      <c r="AE8" s="166"/>
      <c r="AF8" s="167"/>
      <c r="AG8" s="165"/>
      <c r="AH8" s="168"/>
      <c r="AI8" s="169"/>
      <c r="AJ8" s="169"/>
      <c r="AK8" s="169"/>
      <c r="AL8" s="169"/>
      <c r="AM8" s="169"/>
    </row>
    <row r="9" spans="1:39" s="170" customFormat="1" ht="24.75" customHeight="1" x14ac:dyDescent="0.2">
      <c r="A9" s="108" t="s">
        <v>255</v>
      </c>
      <c r="B9" s="108" t="s">
        <v>258</v>
      </c>
      <c r="C9" s="108" t="s">
        <v>633</v>
      </c>
      <c r="D9" s="123"/>
      <c r="E9" s="118" t="s">
        <v>641</v>
      </c>
      <c r="F9" s="26"/>
      <c r="G9" s="239" t="str">
        <f t="shared" si="0"/>
        <v>PERU-01-16-111-33-001 - A</v>
      </c>
      <c r="H9" s="117" t="s">
        <v>113</v>
      </c>
      <c r="I9" s="117" t="s">
        <v>34</v>
      </c>
      <c r="J9" s="117" t="s">
        <v>35</v>
      </c>
      <c r="K9" s="233">
        <v>2</v>
      </c>
      <c r="L9" s="117" t="s">
        <v>143</v>
      </c>
      <c r="M9" s="117" t="s">
        <v>76</v>
      </c>
      <c r="N9" s="117" t="s">
        <v>42</v>
      </c>
      <c r="O9" s="116" t="s">
        <v>39</v>
      </c>
      <c r="P9" s="117" t="s">
        <v>63</v>
      </c>
      <c r="Q9" s="27" t="s">
        <v>149</v>
      </c>
      <c r="R9" s="69" t="str">
        <f t="shared" si="1"/>
        <v>PER-E-2-U6-ROU-001-00-VHHR</v>
      </c>
      <c r="S9" s="117" t="s">
        <v>664</v>
      </c>
      <c r="T9" s="119" t="s">
        <v>706</v>
      </c>
      <c r="U9" s="119"/>
      <c r="V9" s="119" t="s">
        <v>77</v>
      </c>
      <c r="W9" s="160"/>
      <c r="X9" s="111" t="s">
        <v>753</v>
      </c>
      <c r="Y9" s="161"/>
      <c r="Z9" s="71"/>
      <c r="AA9" s="163"/>
      <c r="AB9" s="164"/>
      <c r="AC9" s="164"/>
      <c r="AD9" s="165"/>
      <c r="AE9" s="166"/>
      <c r="AF9" s="167"/>
      <c r="AG9" s="165"/>
      <c r="AH9" s="168"/>
      <c r="AI9" s="169"/>
      <c r="AJ9" s="169"/>
      <c r="AK9" s="169"/>
      <c r="AL9" s="169"/>
      <c r="AM9" s="169"/>
    </row>
    <row r="10" spans="1:39" s="170" customFormat="1" ht="24.75" customHeight="1" x14ac:dyDescent="0.2">
      <c r="A10" s="108" t="s">
        <v>256</v>
      </c>
      <c r="B10" s="108" t="s">
        <v>256</v>
      </c>
      <c r="C10" s="108" t="s">
        <v>634</v>
      </c>
      <c r="D10" s="207"/>
      <c r="E10" s="118" t="s">
        <v>642</v>
      </c>
      <c r="F10" s="26"/>
      <c r="G10" s="239" t="str">
        <f t="shared" si="0"/>
        <v>PERU-01-16-111-61-002 - A</v>
      </c>
      <c r="H10" s="117" t="s">
        <v>113</v>
      </c>
      <c r="I10" s="117" t="s">
        <v>34</v>
      </c>
      <c r="J10" s="117" t="s">
        <v>35</v>
      </c>
      <c r="K10" s="233">
        <v>2</v>
      </c>
      <c r="L10" s="117" t="s">
        <v>143</v>
      </c>
      <c r="M10" s="117" t="s">
        <v>79</v>
      </c>
      <c r="N10" s="117" t="s">
        <v>42</v>
      </c>
      <c r="O10" s="116" t="s">
        <v>111</v>
      </c>
      <c r="P10" s="117" t="s">
        <v>63</v>
      </c>
      <c r="Q10" s="27" t="s">
        <v>149</v>
      </c>
      <c r="R10" s="69" t="str">
        <f t="shared" si="1"/>
        <v>PER-E-2-U6-FAT-001-01-VHHR</v>
      </c>
      <c r="S10" s="117" t="s">
        <v>665</v>
      </c>
      <c r="T10" s="119" t="s">
        <v>775</v>
      </c>
      <c r="U10" s="119"/>
      <c r="V10" s="119" t="s">
        <v>80</v>
      </c>
      <c r="W10" s="160"/>
      <c r="X10" s="111" t="s">
        <v>764</v>
      </c>
      <c r="Y10" s="161"/>
      <c r="Z10" s="71"/>
      <c r="AA10" s="163"/>
      <c r="AB10" s="164"/>
      <c r="AC10" s="164"/>
      <c r="AD10" s="165"/>
      <c r="AE10" s="166"/>
      <c r="AF10" s="167"/>
      <c r="AG10" s="165"/>
      <c r="AH10" s="168"/>
      <c r="AI10" s="169"/>
      <c r="AJ10" s="169"/>
      <c r="AK10" s="169"/>
      <c r="AL10" s="169"/>
      <c r="AM10" s="169"/>
    </row>
    <row r="11" spans="1:39" s="170" customFormat="1" ht="24.75" customHeight="1" x14ac:dyDescent="0.2">
      <c r="A11" s="108" t="s">
        <v>256</v>
      </c>
      <c r="B11" s="108" t="s">
        <v>256</v>
      </c>
      <c r="C11" s="108" t="s">
        <v>634</v>
      </c>
      <c r="D11" s="207"/>
      <c r="E11" s="118" t="s">
        <v>643</v>
      </c>
      <c r="F11" s="26"/>
      <c r="G11" s="239" t="str">
        <f t="shared" si="0"/>
        <v>PERU-01-16-111-52-001 - A</v>
      </c>
      <c r="H11" s="117" t="s">
        <v>113</v>
      </c>
      <c r="I11" s="117" t="s">
        <v>34</v>
      </c>
      <c r="J11" s="117" t="s">
        <v>35</v>
      </c>
      <c r="K11" s="233">
        <v>2</v>
      </c>
      <c r="L11" s="117" t="s">
        <v>143</v>
      </c>
      <c r="M11" s="117" t="s">
        <v>82</v>
      </c>
      <c r="N11" s="117" t="s">
        <v>42</v>
      </c>
      <c r="O11" s="116" t="s">
        <v>39</v>
      </c>
      <c r="P11" s="117" t="s">
        <v>63</v>
      </c>
      <c r="Q11" s="27" t="s">
        <v>149</v>
      </c>
      <c r="R11" s="69" t="str">
        <f t="shared" si="1"/>
        <v>PER-E-2-U6-CMM-001-00-VHHR</v>
      </c>
      <c r="S11" s="117" t="s">
        <v>666</v>
      </c>
      <c r="T11" s="119" t="s">
        <v>776</v>
      </c>
      <c r="U11" s="119"/>
      <c r="V11" s="119" t="s">
        <v>707</v>
      </c>
      <c r="W11" s="160"/>
      <c r="X11" s="111" t="s">
        <v>764</v>
      </c>
      <c r="Y11" s="161"/>
      <c r="Z11" s="71"/>
      <c r="AA11" s="163"/>
      <c r="AB11" s="164"/>
      <c r="AC11" s="164"/>
      <c r="AD11" s="165"/>
      <c r="AE11" s="166"/>
      <c r="AF11" s="167"/>
      <c r="AG11" s="165"/>
      <c r="AH11" s="168"/>
      <c r="AI11" s="169"/>
      <c r="AJ11" s="169"/>
      <c r="AK11" s="169"/>
      <c r="AL11" s="169"/>
      <c r="AM11" s="169"/>
    </row>
    <row r="12" spans="1:39" s="170" customFormat="1" ht="24.75" customHeight="1" x14ac:dyDescent="0.2">
      <c r="A12" s="108" t="s">
        <v>258</v>
      </c>
      <c r="B12" s="108" t="s">
        <v>256</v>
      </c>
      <c r="C12" s="108" t="s">
        <v>634</v>
      </c>
      <c r="D12" s="205"/>
      <c r="E12" s="118" t="s">
        <v>644</v>
      </c>
      <c r="F12" s="26"/>
      <c r="G12" s="239" t="str">
        <f t="shared" si="0"/>
        <v>PERU-01-16-111-70-002 - A</v>
      </c>
      <c r="H12" s="117" t="s">
        <v>113</v>
      </c>
      <c r="I12" s="117" t="s">
        <v>34</v>
      </c>
      <c r="J12" s="117" t="s">
        <v>35</v>
      </c>
      <c r="K12" s="233">
        <v>2</v>
      </c>
      <c r="L12" s="117" t="s">
        <v>143</v>
      </c>
      <c r="M12" s="117" t="s">
        <v>85</v>
      </c>
      <c r="N12" s="117" t="s">
        <v>38</v>
      </c>
      <c r="O12" s="116" t="s">
        <v>39</v>
      </c>
      <c r="P12" s="117" t="s">
        <v>63</v>
      </c>
      <c r="Q12" s="27" t="s">
        <v>149</v>
      </c>
      <c r="R12" s="69" t="str">
        <f t="shared" si="1"/>
        <v>PER-E-2-U6-MAN-002-00-VHHR</v>
      </c>
      <c r="S12" s="117" t="s">
        <v>667</v>
      </c>
      <c r="T12" s="119"/>
      <c r="U12" s="119"/>
      <c r="V12" s="119" t="s">
        <v>86</v>
      </c>
      <c r="W12" s="160"/>
      <c r="X12" s="203" t="s">
        <v>772</v>
      </c>
      <c r="Y12" s="161"/>
      <c r="Z12" s="71"/>
      <c r="AA12" s="163"/>
      <c r="AB12" s="164"/>
      <c r="AC12" s="164"/>
      <c r="AD12" s="165"/>
      <c r="AE12" s="166"/>
      <c r="AF12" s="167"/>
      <c r="AG12" s="165"/>
      <c r="AH12" s="168"/>
      <c r="AI12" s="169"/>
      <c r="AJ12" s="169"/>
      <c r="AK12" s="169"/>
      <c r="AL12" s="169"/>
      <c r="AM12" s="169"/>
    </row>
    <row r="13" spans="1:39" s="170" customFormat="1" ht="24.75" customHeight="1" x14ac:dyDescent="0.2">
      <c r="A13" s="108" t="s">
        <v>255</v>
      </c>
      <c r="B13" s="108" t="s">
        <v>258</v>
      </c>
      <c r="C13" s="108" t="s">
        <v>633</v>
      </c>
      <c r="D13" s="123"/>
      <c r="E13" s="118" t="s">
        <v>645</v>
      </c>
      <c r="F13" s="26"/>
      <c r="G13" s="239" t="str">
        <f t="shared" si="0"/>
        <v>PERU-01-16-111-31-002 - A</v>
      </c>
      <c r="H13" s="117" t="s">
        <v>113</v>
      </c>
      <c r="I13" s="117" t="s">
        <v>34</v>
      </c>
      <c r="J13" s="117" t="s">
        <v>35</v>
      </c>
      <c r="K13" s="233">
        <v>2</v>
      </c>
      <c r="L13" s="117" t="s">
        <v>143</v>
      </c>
      <c r="M13" s="117" t="s">
        <v>50</v>
      </c>
      <c r="N13" s="117" t="s">
        <v>58</v>
      </c>
      <c r="O13" s="116" t="s">
        <v>39</v>
      </c>
      <c r="P13" s="117" t="s">
        <v>63</v>
      </c>
      <c r="Q13" s="27" t="s">
        <v>149</v>
      </c>
      <c r="R13" s="69" t="str">
        <f t="shared" si="1"/>
        <v>PER-E-2-U6-SCH-003-00-VHHR</v>
      </c>
      <c r="S13" s="240" t="s">
        <v>668</v>
      </c>
      <c r="T13" s="118" t="s">
        <v>708</v>
      </c>
      <c r="U13" s="118"/>
      <c r="V13" s="118" t="s">
        <v>708</v>
      </c>
      <c r="W13" s="160"/>
      <c r="X13" s="111" t="s">
        <v>802</v>
      </c>
      <c r="Y13" s="161"/>
      <c r="Z13" s="71"/>
      <c r="AA13" s="163"/>
      <c r="AB13" s="164"/>
      <c r="AC13" s="164"/>
      <c r="AD13" s="165"/>
      <c r="AE13" s="166"/>
      <c r="AF13" s="167"/>
      <c r="AG13" s="165"/>
      <c r="AH13" s="168"/>
      <c r="AI13" s="169"/>
      <c r="AJ13" s="169"/>
      <c r="AK13" s="169"/>
      <c r="AL13" s="169"/>
      <c r="AM13" s="169"/>
    </row>
    <row r="14" spans="1:39" s="170" customFormat="1" ht="24.75" customHeight="1" x14ac:dyDescent="0.2">
      <c r="A14" s="108" t="s">
        <v>255</v>
      </c>
      <c r="B14" s="108" t="s">
        <v>258</v>
      </c>
      <c r="C14" s="108" t="s">
        <v>633</v>
      </c>
      <c r="D14" s="123"/>
      <c r="E14" s="118" t="s">
        <v>646</v>
      </c>
      <c r="F14" s="26"/>
      <c r="G14" s="239" t="str">
        <f t="shared" si="0"/>
        <v>PERU-01-16-111-31-003 - A</v>
      </c>
      <c r="H14" s="117" t="s">
        <v>113</v>
      </c>
      <c r="I14" s="117" t="s">
        <v>34</v>
      </c>
      <c r="J14" s="117" t="s">
        <v>35</v>
      </c>
      <c r="K14" s="233">
        <v>2</v>
      </c>
      <c r="L14" s="117" t="s">
        <v>143</v>
      </c>
      <c r="M14" s="117" t="s">
        <v>50</v>
      </c>
      <c r="N14" s="117" t="s">
        <v>59</v>
      </c>
      <c r="O14" s="116" t="s">
        <v>39</v>
      </c>
      <c r="P14" s="117" t="s">
        <v>63</v>
      </c>
      <c r="Q14" s="27" t="s">
        <v>149</v>
      </c>
      <c r="R14" s="69" t="str">
        <f t="shared" si="1"/>
        <v>PER-E-2-U6-SCH-004-00-VHHR</v>
      </c>
      <c r="S14" s="240" t="s">
        <v>669</v>
      </c>
      <c r="T14" s="118" t="s">
        <v>709</v>
      </c>
      <c r="U14" s="118"/>
      <c r="V14" s="118" t="s">
        <v>709</v>
      </c>
      <c r="W14" s="160"/>
      <c r="X14" s="111" t="s">
        <v>802</v>
      </c>
      <c r="Y14" s="161"/>
      <c r="Z14" s="71"/>
      <c r="AA14" s="163"/>
      <c r="AB14" s="164"/>
      <c r="AC14" s="164"/>
      <c r="AD14" s="165"/>
      <c r="AE14" s="166"/>
      <c r="AF14" s="167"/>
      <c r="AG14" s="165"/>
      <c r="AH14" s="168"/>
      <c r="AI14" s="169"/>
      <c r="AJ14" s="169"/>
      <c r="AK14" s="169"/>
      <c r="AL14" s="169"/>
      <c r="AM14" s="169"/>
    </row>
    <row r="15" spans="1:39" s="170" customFormat="1" ht="24.75" customHeight="1" x14ac:dyDescent="0.2">
      <c r="A15" s="108" t="s">
        <v>255</v>
      </c>
      <c r="B15" s="108" t="s">
        <v>258</v>
      </c>
      <c r="C15" s="108" t="s">
        <v>633</v>
      </c>
      <c r="D15" s="123" t="s">
        <v>800</v>
      </c>
      <c r="E15" s="118" t="s">
        <v>647</v>
      </c>
      <c r="F15" s="26"/>
      <c r="G15" s="239" t="str">
        <f t="shared" si="0"/>
        <v>PERU-01-16-111-31-004 - A</v>
      </c>
      <c r="H15" s="117" t="s">
        <v>113</v>
      </c>
      <c r="I15" s="117" t="s">
        <v>34</v>
      </c>
      <c r="J15" s="117" t="s">
        <v>35</v>
      </c>
      <c r="K15" s="233">
        <v>2</v>
      </c>
      <c r="L15" s="117" t="s">
        <v>143</v>
      </c>
      <c r="M15" s="117" t="s">
        <v>50</v>
      </c>
      <c r="N15" s="117" t="s">
        <v>60</v>
      </c>
      <c r="O15" s="116" t="s">
        <v>39</v>
      </c>
      <c r="P15" s="117" t="s">
        <v>63</v>
      </c>
      <c r="Q15" s="27" t="s">
        <v>149</v>
      </c>
      <c r="R15" s="69" t="str">
        <f t="shared" si="1"/>
        <v>PER-E-2-U6-SCH-005-00-VHHR</v>
      </c>
      <c r="S15" s="240" t="s">
        <v>670</v>
      </c>
      <c r="T15" s="118" t="s">
        <v>710</v>
      </c>
      <c r="U15" s="118" t="s">
        <v>803</v>
      </c>
      <c r="V15" s="118" t="s">
        <v>710</v>
      </c>
      <c r="W15" s="160"/>
      <c r="X15" s="111" t="s">
        <v>754</v>
      </c>
      <c r="Y15" s="161"/>
      <c r="Z15" s="71"/>
      <c r="AA15" s="163"/>
      <c r="AB15" s="164"/>
      <c r="AC15" s="164"/>
      <c r="AD15" s="165"/>
      <c r="AE15" s="166"/>
      <c r="AF15" s="167"/>
      <c r="AG15" s="165"/>
      <c r="AH15" s="168"/>
      <c r="AI15" s="169"/>
      <c r="AJ15" s="169"/>
      <c r="AK15" s="169"/>
      <c r="AL15" s="169"/>
      <c r="AM15" s="169"/>
    </row>
    <row r="16" spans="1:39" s="170" customFormat="1" ht="24.75" customHeight="1" x14ac:dyDescent="0.2">
      <c r="A16" s="108" t="s">
        <v>255</v>
      </c>
      <c r="B16" s="108" t="s">
        <v>258</v>
      </c>
      <c r="C16" s="108" t="s">
        <v>633</v>
      </c>
      <c r="D16" s="123" t="s">
        <v>800</v>
      </c>
      <c r="E16" s="118" t="s">
        <v>648</v>
      </c>
      <c r="F16" s="26"/>
      <c r="G16" s="239" t="str">
        <f t="shared" si="0"/>
        <v>PERU-01-16-111-31-005 - A</v>
      </c>
      <c r="H16" s="117" t="s">
        <v>113</v>
      </c>
      <c r="I16" s="117" t="s">
        <v>34</v>
      </c>
      <c r="J16" s="117" t="s">
        <v>35</v>
      </c>
      <c r="K16" s="233">
        <v>2</v>
      </c>
      <c r="L16" s="117" t="s">
        <v>143</v>
      </c>
      <c r="M16" s="117" t="s">
        <v>50</v>
      </c>
      <c r="N16" s="117" t="s">
        <v>61</v>
      </c>
      <c r="O16" s="116" t="s">
        <v>39</v>
      </c>
      <c r="P16" s="117" t="s">
        <v>63</v>
      </c>
      <c r="Q16" s="27" t="s">
        <v>149</v>
      </c>
      <c r="R16" s="69" t="str">
        <f t="shared" si="1"/>
        <v>PER-E-2-U6-SCH-006-00-VHHR</v>
      </c>
      <c r="S16" s="240" t="s">
        <v>671</v>
      </c>
      <c r="T16" s="118" t="s">
        <v>711</v>
      </c>
      <c r="U16" s="118" t="s">
        <v>804</v>
      </c>
      <c r="V16" s="118" t="s">
        <v>711</v>
      </c>
      <c r="W16" s="160"/>
      <c r="X16" s="111" t="s">
        <v>754</v>
      </c>
      <c r="Y16" s="161"/>
      <c r="Z16" s="71"/>
      <c r="AA16" s="163"/>
      <c r="AB16" s="164"/>
      <c r="AC16" s="164"/>
      <c r="AD16" s="165"/>
      <c r="AE16" s="166"/>
      <c r="AF16" s="167"/>
      <c r="AG16" s="165"/>
      <c r="AH16" s="168"/>
      <c r="AI16" s="169"/>
      <c r="AJ16" s="169"/>
      <c r="AK16" s="169"/>
      <c r="AL16" s="169"/>
      <c r="AM16" s="169"/>
    </row>
    <row r="17" spans="1:39" s="170" customFormat="1" ht="24.75" customHeight="1" x14ac:dyDescent="0.2">
      <c r="A17" s="108" t="s">
        <v>255</v>
      </c>
      <c r="B17" s="108" t="s">
        <v>258</v>
      </c>
      <c r="C17" s="108" t="s">
        <v>633</v>
      </c>
      <c r="D17" s="123"/>
      <c r="E17" s="118" t="s">
        <v>649</v>
      </c>
      <c r="F17" s="26"/>
      <c r="G17" s="239" t="str">
        <f t="shared" si="0"/>
        <v>PERU-01-16-111-14-005 - A</v>
      </c>
      <c r="H17" s="117" t="s">
        <v>113</v>
      </c>
      <c r="I17" s="117" t="s">
        <v>34</v>
      </c>
      <c r="J17" s="117" t="s">
        <v>35</v>
      </c>
      <c r="K17" s="233">
        <v>2</v>
      </c>
      <c r="L17" s="117" t="s">
        <v>143</v>
      </c>
      <c r="M17" s="117" t="s">
        <v>68</v>
      </c>
      <c r="N17" s="117" t="s">
        <v>58</v>
      </c>
      <c r="O17" s="116" t="s">
        <v>39</v>
      </c>
      <c r="P17" s="117" t="s">
        <v>63</v>
      </c>
      <c r="Q17" s="27" t="s">
        <v>149</v>
      </c>
      <c r="R17" s="69" t="str">
        <f t="shared" si="1"/>
        <v>PER-E-2-U6-ASB-003-00-VHHR</v>
      </c>
      <c r="S17" s="240" t="s">
        <v>672</v>
      </c>
      <c r="T17" s="118" t="s">
        <v>712</v>
      </c>
      <c r="U17" s="118"/>
      <c r="V17" s="118" t="s">
        <v>712</v>
      </c>
      <c r="W17" s="160"/>
      <c r="X17" s="111" t="s">
        <v>751</v>
      </c>
      <c r="Y17" s="161"/>
      <c r="Z17" s="71"/>
      <c r="AA17" s="163"/>
      <c r="AB17" s="164"/>
      <c r="AC17" s="164"/>
      <c r="AD17" s="165"/>
      <c r="AE17" s="166"/>
      <c r="AF17" s="167"/>
      <c r="AG17" s="165"/>
      <c r="AH17" s="168"/>
      <c r="AI17" s="169"/>
      <c r="AJ17" s="169"/>
      <c r="AK17" s="169"/>
      <c r="AL17" s="169"/>
      <c r="AM17" s="169"/>
    </row>
    <row r="18" spans="1:39" s="170" customFormat="1" ht="24.75" customHeight="1" x14ac:dyDescent="0.2">
      <c r="A18" s="108" t="s">
        <v>255</v>
      </c>
      <c r="B18" s="108" t="s">
        <v>258</v>
      </c>
      <c r="C18" s="108" t="s">
        <v>633</v>
      </c>
      <c r="D18" s="123"/>
      <c r="E18" s="118" t="s">
        <v>650</v>
      </c>
      <c r="F18" s="26"/>
      <c r="G18" s="239" t="str">
        <f t="shared" si="0"/>
        <v>PERU-01-16-111-14-006 - A</v>
      </c>
      <c r="H18" s="117" t="s">
        <v>113</v>
      </c>
      <c r="I18" s="117" t="s">
        <v>34</v>
      </c>
      <c r="J18" s="117" t="s">
        <v>35</v>
      </c>
      <c r="K18" s="233">
        <v>2</v>
      </c>
      <c r="L18" s="117" t="s">
        <v>143</v>
      </c>
      <c r="M18" s="117" t="s">
        <v>68</v>
      </c>
      <c r="N18" s="117" t="s">
        <v>59</v>
      </c>
      <c r="O18" s="116" t="s">
        <v>39</v>
      </c>
      <c r="P18" s="117" t="s">
        <v>63</v>
      </c>
      <c r="Q18" s="27" t="s">
        <v>149</v>
      </c>
      <c r="R18" s="69" t="str">
        <f t="shared" si="1"/>
        <v>PER-E-2-U6-ASB-004-00-VHHR</v>
      </c>
      <c r="S18" s="240" t="s">
        <v>673</v>
      </c>
      <c r="T18" s="118" t="s">
        <v>713</v>
      </c>
      <c r="U18" s="118"/>
      <c r="V18" s="118" t="s">
        <v>713</v>
      </c>
      <c r="W18" s="160"/>
      <c r="X18" s="111" t="s">
        <v>751</v>
      </c>
      <c r="Y18" s="161"/>
      <c r="Z18" s="71"/>
      <c r="AA18" s="163"/>
      <c r="AB18" s="164"/>
      <c r="AC18" s="164"/>
      <c r="AD18" s="165"/>
      <c r="AE18" s="166"/>
      <c r="AF18" s="167"/>
      <c r="AG18" s="165"/>
      <c r="AH18" s="168"/>
      <c r="AI18" s="169"/>
      <c r="AJ18" s="169"/>
      <c r="AK18" s="169"/>
      <c r="AL18" s="169"/>
      <c r="AM18" s="169"/>
    </row>
    <row r="19" spans="1:39" s="170" customFormat="1" ht="24.75" customHeight="1" x14ac:dyDescent="0.2">
      <c r="A19" s="108" t="s">
        <v>255</v>
      </c>
      <c r="B19" s="108" t="s">
        <v>258</v>
      </c>
      <c r="C19" s="108" t="s">
        <v>633</v>
      </c>
      <c r="D19" s="123"/>
      <c r="E19" s="118" t="s">
        <v>651</v>
      </c>
      <c r="F19" s="26"/>
      <c r="G19" s="239" t="str">
        <f t="shared" si="0"/>
        <v>PERU-01-16-111-14-007 - A</v>
      </c>
      <c r="H19" s="117" t="s">
        <v>113</v>
      </c>
      <c r="I19" s="117" t="s">
        <v>34</v>
      </c>
      <c r="J19" s="117" t="s">
        <v>35</v>
      </c>
      <c r="K19" s="233">
        <v>2</v>
      </c>
      <c r="L19" s="117" t="s">
        <v>143</v>
      </c>
      <c r="M19" s="117" t="s">
        <v>68</v>
      </c>
      <c r="N19" s="117" t="s">
        <v>60</v>
      </c>
      <c r="O19" s="116" t="s">
        <v>39</v>
      </c>
      <c r="P19" s="117" t="s">
        <v>63</v>
      </c>
      <c r="Q19" s="27" t="s">
        <v>149</v>
      </c>
      <c r="R19" s="69" t="str">
        <f t="shared" si="1"/>
        <v>PER-E-2-U6-ASB-005-00-VHHR</v>
      </c>
      <c r="S19" s="240" t="s">
        <v>600</v>
      </c>
      <c r="T19" s="118" t="s">
        <v>714</v>
      </c>
      <c r="U19" s="118"/>
      <c r="V19" s="118" t="s">
        <v>714</v>
      </c>
      <c r="W19" s="160"/>
      <c r="X19" s="111" t="s">
        <v>751</v>
      </c>
      <c r="Y19" s="161"/>
      <c r="Z19" s="71"/>
      <c r="AA19" s="163"/>
      <c r="AB19" s="164"/>
      <c r="AC19" s="164"/>
      <c r="AD19" s="165"/>
      <c r="AE19" s="166"/>
      <c r="AF19" s="167"/>
      <c r="AG19" s="165"/>
      <c r="AH19" s="168"/>
      <c r="AI19" s="169"/>
      <c r="AJ19" s="169"/>
      <c r="AK19" s="169"/>
      <c r="AL19" s="169"/>
      <c r="AM19" s="169"/>
    </row>
    <row r="20" spans="1:39" s="170" customFormat="1" ht="24.75" customHeight="1" x14ac:dyDescent="0.2">
      <c r="A20" s="108" t="s">
        <v>255</v>
      </c>
      <c r="B20" s="108" t="s">
        <v>258</v>
      </c>
      <c r="C20" s="108" t="s">
        <v>633</v>
      </c>
      <c r="D20" s="123"/>
      <c r="E20" s="118" t="s">
        <v>652</v>
      </c>
      <c r="F20" s="26"/>
      <c r="G20" s="239" t="str">
        <f t="shared" si="0"/>
        <v>PERU-01-16-111-14-008 - A</v>
      </c>
      <c r="H20" s="117" t="s">
        <v>113</v>
      </c>
      <c r="I20" s="117" t="s">
        <v>34</v>
      </c>
      <c r="J20" s="117" t="s">
        <v>35</v>
      </c>
      <c r="K20" s="233">
        <v>2</v>
      </c>
      <c r="L20" s="117" t="s">
        <v>143</v>
      </c>
      <c r="M20" s="117" t="s">
        <v>68</v>
      </c>
      <c r="N20" s="117" t="s">
        <v>61</v>
      </c>
      <c r="O20" s="116" t="s">
        <v>39</v>
      </c>
      <c r="P20" s="117" t="s">
        <v>63</v>
      </c>
      <c r="Q20" s="27" t="s">
        <v>149</v>
      </c>
      <c r="R20" s="69" t="str">
        <f t="shared" si="1"/>
        <v>PER-E-2-U6-ASB-006-00-VHHR</v>
      </c>
      <c r="S20" s="240" t="s">
        <v>674</v>
      </c>
      <c r="T20" s="118" t="s">
        <v>715</v>
      </c>
      <c r="U20" s="118"/>
      <c r="V20" s="118" t="s">
        <v>715</v>
      </c>
      <c r="W20" s="160"/>
      <c r="X20" s="111" t="s">
        <v>751</v>
      </c>
      <c r="Y20" s="161"/>
      <c r="Z20" s="71"/>
      <c r="AA20" s="163"/>
      <c r="AB20" s="164"/>
      <c r="AC20" s="164"/>
      <c r="AD20" s="165"/>
      <c r="AE20" s="166"/>
      <c r="AF20" s="167"/>
      <c r="AG20" s="165"/>
      <c r="AH20" s="168"/>
      <c r="AI20" s="169"/>
      <c r="AJ20" s="169"/>
      <c r="AK20" s="169"/>
      <c r="AL20" s="169"/>
      <c r="AM20" s="169"/>
    </row>
    <row r="21" spans="1:39" s="170" customFormat="1" ht="24.75" customHeight="1" x14ac:dyDescent="0.2">
      <c r="A21" s="108" t="s">
        <v>255</v>
      </c>
      <c r="B21" s="108" t="s">
        <v>258</v>
      </c>
      <c r="C21" s="108" t="s">
        <v>633</v>
      </c>
      <c r="D21" s="123"/>
      <c r="E21" s="118" t="s">
        <v>653</v>
      </c>
      <c r="F21" s="26"/>
      <c r="G21" s="239" t="str">
        <f t="shared" si="0"/>
        <v>PERU-01-16-111-33-002 - A</v>
      </c>
      <c r="H21" s="117" t="s">
        <v>113</v>
      </c>
      <c r="I21" s="117" t="s">
        <v>34</v>
      </c>
      <c r="J21" s="117" t="s">
        <v>35</v>
      </c>
      <c r="K21" s="233">
        <v>2</v>
      </c>
      <c r="L21" s="117" t="s">
        <v>143</v>
      </c>
      <c r="M21" s="117" t="s">
        <v>76</v>
      </c>
      <c r="N21" s="117" t="s">
        <v>58</v>
      </c>
      <c r="O21" s="116" t="s">
        <v>39</v>
      </c>
      <c r="P21" s="117" t="s">
        <v>63</v>
      </c>
      <c r="Q21" s="27" t="s">
        <v>149</v>
      </c>
      <c r="R21" s="69" t="str">
        <f t="shared" si="1"/>
        <v>PER-E-2-U6-ROU-003-00-VHHR</v>
      </c>
      <c r="S21" s="240" t="s">
        <v>675</v>
      </c>
      <c r="T21" s="118" t="s">
        <v>716</v>
      </c>
      <c r="U21" s="118"/>
      <c r="V21" s="118" t="s">
        <v>716</v>
      </c>
      <c r="W21" s="160"/>
      <c r="X21" s="111" t="s">
        <v>753</v>
      </c>
      <c r="Y21" s="161"/>
      <c r="Z21" s="71"/>
      <c r="AA21" s="163"/>
      <c r="AB21" s="164"/>
      <c r="AC21" s="164"/>
      <c r="AD21" s="165"/>
      <c r="AE21" s="166"/>
      <c r="AF21" s="167"/>
      <c r="AG21" s="165"/>
      <c r="AH21" s="168"/>
      <c r="AI21" s="169"/>
      <c r="AJ21" s="169"/>
      <c r="AK21" s="169"/>
      <c r="AL21" s="169"/>
      <c r="AM21" s="169"/>
    </row>
    <row r="22" spans="1:39" s="170" customFormat="1" ht="24.75" customHeight="1" x14ac:dyDescent="0.2">
      <c r="A22" s="108" t="s">
        <v>255</v>
      </c>
      <c r="B22" s="108" t="s">
        <v>258</v>
      </c>
      <c r="C22" s="108" t="s">
        <v>633</v>
      </c>
      <c r="D22" s="123"/>
      <c r="E22" s="118" t="s">
        <v>654</v>
      </c>
      <c r="F22" s="26"/>
      <c r="G22" s="239" t="str">
        <f t="shared" si="0"/>
        <v>PERU-01-16-111-33-003 - A</v>
      </c>
      <c r="H22" s="117" t="s">
        <v>113</v>
      </c>
      <c r="I22" s="117" t="s">
        <v>34</v>
      </c>
      <c r="J22" s="117" t="s">
        <v>35</v>
      </c>
      <c r="K22" s="233">
        <v>2</v>
      </c>
      <c r="L22" s="117" t="s">
        <v>143</v>
      </c>
      <c r="M22" s="117" t="s">
        <v>76</v>
      </c>
      <c r="N22" s="117" t="s">
        <v>59</v>
      </c>
      <c r="O22" s="116" t="s">
        <v>39</v>
      </c>
      <c r="P22" s="117" t="s">
        <v>63</v>
      </c>
      <c r="Q22" s="27" t="s">
        <v>149</v>
      </c>
      <c r="R22" s="69" t="str">
        <f t="shared" si="1"/>
        <v>PER-E-2-U6-ROU-004-00-VHHR</v>
      </c>
      <c r="S22" s="240" t="s">
        <v>676</v>
      </c>
      <c r="T22" s="118" t="s">
        <v>717</v>
      </c>
      <c r="U22" s="118"/>
      <c r="V22" s="118" t="s">
        <v>717</v>
      </c>
      <c r="W22" s="160"/>
      <c r="X22" s="111" t="s">
        <v>753</v>
      </c>
      <c r="Y22" s="161"/>
      <c r="Z22" s="71"/>
      <c r="AA22" s="163"/>
      <c r="AB22" s="164"/>
      <c r="AC22" s="164"/>
      <c r="AD22" s="165"/>
      <c r="AE22" s="166"/>
      <c r="AF22" s="167"/>
      <c r="AG22" s="165"/>
      <c r="AH22" s="168"/>
      <c r="AI22" s="169"/>
      <c r="AJ22" s="169"/>
      <c r="AK22" s="169"/>
      <c r="AL22" s="169"/>
      <c r="AM22" s="169"/>
    </row>
    <row r="23" spans="1:39" s="170" customFormat="1" ht="24.75" customHeight="1" x14ac:dyDescent="0.2">
      <c r="A23" s="108" t="s">
        <v>255</v>
      </c>
      <c r="B23" s="108" t="s">
        <v>258</v>
      </c>
      <c r="C23" s="108" t="s">
        <v>633</v>
      </c>
      <c r="D23" s="123"/>
      <c r="E23" s="118" t="s">
        <v>655</v>
      </c>
      <c r="F23" s="26"/>
      <c r="G23" s="239" t="str">
        <f t="shared" si="0"/>
        <v>PERU-01-16-111-33-004 - A</v>
      </c>
      <c r="H23" s="117" t="s">
        <v>113</v>
      </c>
      <c r="I23" s="117" t="s">
        <v>34</v>
      </c>
      <c r="J23" s="117" t="s">
        <v>35</v>
      </c>
      <c r="K23" s="233">
        <v>2</v>
      </c>
      <c r="L23" s="117" t="s">
        <v>143</v>
      </c>
      <c r="M23" s="117" t="s">
        <v>76</v>
      </c>
      <c r="N23" s="117" t="s">
        <v>60</v>
      </c>
      <c r="O23" s="116" t="s">
        <v>39</v>
      </c>
      <c r="P23" s="117" t="s">
        <v>63</v>
      </c>
      <c r="Q23" s="27" t="s">
        <v>149</v>
      </c>
      <c r="R23" s="69" t="str">
        <f t="shared" si="1"/>
        <v>PER-E-2-U6-ROU-005-00-VHHR</v>
      </c>
      <c r="S23" s="240" t="s">
        <v>677</v>
      </c>
      <c r="T23" s="118" t="s">
        <v>718</v>
      </c>
      <c r="U23" s="118"/>
      <c r="V23" s="118" t="s">
        <v>718</v>
      </c>
      <c r="W23" s="160"/>
      <c r="X23" s="111" t="s">
        <v>753</v>
      </c>
      <c r="Y23" s="161"/>
      <c r="Z23" s="71"/>
      <c r="AA23" s="163"/>
      <c r="AB23" s="164"/>
      <c r="AC23" s="164"/>
      <c r="AD23" s="165"/>
      <c r="AE23" s="166"/>
      <c r="AF23" s="167"/>
      <c r="AG23" s="165"/>
      <c r="AH23" s="168"/>
      <c r="AI23" s="169"/>
      <c r="AJ23" s="169"/>
      <c r="AK23" s="169"/>
      <c r="AL23" s="169"/>
      <c r="AM23" s="169"/>
    </row>
    <row r="24" spans="1:39" s="170" customFormat="1" ht="24.75" customHeight="1" x14ac:dyDescent="0.2">
      <c r="A24" s="108" t="s">
        <v>255</v>
      </c>
      <c r="B24" s="108" t="s">
        <v>258</v>
      </c>
      <c r="C24" s="108" t="s">
        <v>633</v>
      </c>
      <c r="D24" s="123"/>
      <c r="E24" s="118" t="s">
        <v>656</v>
      </c>
      <c r="F24" s="26"/>
      <c r="G24" s="239" t="str">
        <f t="shared" si="0"/>
        <v>PERU-01-16-111-33-005 - A</v>
      </c>
      <c r="H24" s="117" t="s">
        <v>113</v>
      </c>
      <c r="I24" s="117" t="s">
        <v>34</v>
      </c>
      <c r="J24" s="117" t="s">
        <v>35</v>
      </c>
      <c r="K24" s="233">
        <v>2</v>
      </c>
      <c r="L24" s="117" t="s">
        <v>143</v>
      </c>
      <c r="M24" s="117" t="s">
        <v>76</v>
      </c>
      <c r="N24" s="117" t="s">
        <v>61</v>
      </c>
      <c r="O24" s="116" t="s">
        <v>39</v>
      </c>
      <c r="P24" s="117" t="s">
        <v>63</v>
      </c>
      <c r="Q24" s="27" t="s">
        <v>149</v>
      </c>
      <c r="R24" s="69" t="str">
        <f t="shared" si="1"/>
        <v>PER-E-2-U6-ROU-006-00-VHHR</v>
      </c>
      <c r="S24" s="240" t="s">
        <v>678</v>
      </c>
      <c r="T24" s="118" t="s">
        <v>719</v>
      </c>
      <c r="U24" s="118"/>
      <c r="V24" s="118" t="s">
        <v>719</v>
      </c>
      <c r="W24" s="160"/>
      <c r="X24" s="111" t="s">
        <v>753</v>
      </c>
      <c r="Y24" s="161"/>
      <c r="Z24" s="71"/>
      <c r="AA24" s="163"/>
      <c r="AB24" s="164"/>
      <c r="AC24" s="164"/>
      <c r="AD24" s="165"/>
      <c r="AE24" s="166"/>
      <c r="AF24" s="167"/>
      <c r="AG24" s="165"/>
      <c r="AH24" s="168"/>
      <c r="AI24" s="169"/>
      <c r="AJ24" s="169"/>
      <c r="AK24" s="169"/>
      <c r="AL24" s="169"/>
      <c r="AM24" s="169"/>
    </row>
    <row r="25" spans="1:39" s="170" customFormat="1" ht="24.75" customHeight="1" x14ac:dyDescent="0.2">
      <c r="A25" s="108" t="s">
        <v>255</v>
      </c>
      <c r="B25" s="108" t="s">
        <v>258</v>
      </c>
      <c r="C25" s="108" t="s">
        <v>635</v>
      </c>
      <c r="D25" s="123"/>
      <c r="E25" s="118" t="s">
        <v>657</v>
      </c>
      <c r="F25" s="114"/>
      <c r="G25" s="239" t="str">
        <f t="shared" si="0"/>
        <v>PERU-01-16-111-07-002 - A</v>
      </c>
      <c r="H25" s="115" t="s">
        <v>113</v>
      </c>
      <c r="I25" s="4" t="s">
        <v>34</v>
      </c>
      <c r="J25" s="20" t="s">
        <v>35</v>
      </c>
      <c r="K25" s="4">
        <v>2</v>
      </c>
      <c r="L25" s="117" t="s">
        <v>143</v>
      </c>
      <c r="M25" s="117" t="s">
        <v>52</v>
      </c>
      <c r="N25" s="116" t="s">
        <v>42</v>
      </c>
      <c r="O25" s="116" t="s">
        <v>39</v>
      </c>
      <c r="P25" s="22" t="s">
        <v>63</v>
      </c>
      <c r="Q25" s="22" t="s">
        <v>149</v>
      </c>
      <c r="R25" s="69" t="str">
        <f t="shared" si="1"/>
        <v>PER-E-2-U6-TSP-001-00-VHHR</v>
      </c>
      <c r="S25" s="117" t="s">
        <v>679</v>
      </c>
      <c r="T25" s="119" t="s">
        <v>720</v>
      </c>
      <c r="U25" s="119"/>
      <c r="V25" s="119" t="s">
        <v>425</v>
      </c>
      <c r="W25" s="160"/>
      <c r="X25" s="111" t="s">
        <v>750</v>
      </c>
      <c r="Y25" s="161"/>
      <c r="Z25" s="71"/>
      <c r="AA25" s="163"/>
      <c r="AB25" s="164"/>
      <c r="AC25" s="164"/>
      <c r="AD25" s="165"/>
      <c r="AE25" s="166"/>
      <c r="AF25" s="167"/>
      <c r="AG25" s="165"/>
      <c r="AH25" s="168"/>
      <c r="AI25" s="169"/>
      <c r="AJ25" s="169"/>
      <c r="AK25" s="169"/>
      <c r="AL25" s="169"/>
      <c r="AM25" s="169"/>
    </row>
    <row r="26" spans="1:39" s="170" customFormat="1" ht="24.75" customHeight="1" x14ac:dyDescent="0.2">
      <c r="A26" s="108" t="s">
        <v>255</v>
      </c>
      <c r="B26" s="108" t="s">
        <v>258</v>
      </c>
      <c r="C26" s="108" t="s">
        <v>604</v>
      </c>
      <c r="D26" s="123"/>
      <c r="E26" s="118" t="s">
        <v>658</v>
      </c>
      <c r="F26" s="114"/>
      <c r="G26" s="239" t="str">
        <f t="shared" si="0"/>
        <v>PERU-01-16-111-11-001 - A</v>
      </c>
      <c r="H26" s="115" t="s">
        <v>113</v>
      </c>
      <c r="I26" s="4" t="s">
        <v>34</v>
      </c>
      <c r="J26" s="20" t="s">
        <v>35</v>
      </c>
      <c r="K26" s="4">
        <v>2</v>
      </c>
      <c r="L26" s="117" t="s">
        <v>143</v>
      </c>
      <c r="M26" s="117" t="s">
        <v>62</v>
      </c>
      <c r="N26" s="116" t="s">
        <v>42</v>
      </c>
      <c r="O26" s="116" t="s">
        <v>39</v>
      </c>
      <c r="P26" s="22" t="s">
        <v>63</v>
      </c>
      <c r="Q26" s="27" t="s">
        <v>149</v>
      </c>
      <c r="R26" s="69" t="str">
        <f t="shared" si="1"/>
        <v>PER-E-2-U6-FLD-001-00-VHHR</v>
      </c>
      <c r="S26" s="117" t="s">
        <v>680</v>
      </c>
      <c r="T26" s="119" t="s">
        <v>721</v>
      </c>
      <c r="U26" s="119"/>
      <c r="V26" s="119" t="s">
        <v>64</v>
      </c>
      <c r="W26" s="160"/>
      <c r="X26" s="111" t="s">
        <v>750</v>
      </c>
      <c r="Y26" s="161"/>
      <c r="Z26" s="71"/>
      <c r="AA26" s="163"/>
      <c r="AB26" s="164"/>
      <c r="AC26" s="164"/>
      <c r="AD26" s="165"/>
      <c r="AE26" s="166"/>
      <c r="AF26" s="167"/>
      <c r="AG26" s="165"/>
      <c r="AH26" s="168"/>
      <c r="AI26" s="169"/>
      <c r="AJ26" s="169"/>
      <c r="AK26" s="169"/>
      <c r="AL26" s="169"/>
      <c r="AM26" s="169"/>
    </row>
    <row r="27" spans="1:39" s="170" customFormat="1" ht="24.75" customHeight="1" x14ac:dyDescent="0.2">
      <c r="A27" s="108" t="s">
        <v>255</v>
      </c>
      <c r="B27" s="108" t="s">
        <v>258</v>
      </c>
      <c r="C27" s="108" t="s">
        <v>604</v>
      </c>
      <c r="D27" s="123"/>
      <c r="E27" s="118" t="s">
        <v>610</v>
      </c>
      <c r="F27" s="114"/>
      <c r="G27" s="239" t="str">
        <f t="shared" si="0"/>
        <v>PERU-01-16-111-12-001 - A</v>
      </c>
      <c r="H27" s="115" t="s">
        <v>113</v>
      </c>
      <c r="I27" s="4" t="s">
        <v>34</v>
      </c>
      <c r="J27" s="20" t="s">
        <v>35</v>
      </c>
      <c r="K27" s="4">
        <v>2</v>
      </c>
      <c r="L27" s="117" t="s">
        <v>143</v>
      </c>
      <c r="M27" s="117" t="s">
        <v>50</v>
      </c>
      <c r="N27" s="116" t="s">
        <v>42</v>
      </c>
      <c r="O27" s="116" t="s">
        <v>39</v>
      </c>
      <c r="P27" s="22" t="s">
        <v>63</v>
      </c>
      <c r="Q27" s="27" t="s">
        <v>149</v>
      </c>
      <c r="R27" s="69" t="str">
        <f t="shared" si="1"/>
        <v>PER-E-2-U6-SCH-001-00-VHHR</v>
      </c>
      <c r="S27" s="117" t="s">
        <v>681</v>
      </c>
      <c r="T27" s="119" t="s">
        <v>722</v>
      </c>
      <c r="U27" s="119"/>
      <c r="V27" s="119" t="s">
        <v>66</v>
      </c>
      <c r="W27" s="160"/>
      <c r="X27" s="111" t="s">
        <v>750</v>
      </c>
      <c r="Y27" s="161"/>
      <c r="Z27" s="71"/>
      <c r="AA27" s="163"/>
      <c r="AB27" s="164"/>
      <c r="AC27" s="164"/>
      <c r="AD27" s="165"/>
      <c r="AE27" s="166"/>
      <c r="AF27" s="167"/>
      <c r="AG27" s="165"/>
      <c r="AH27" s="168"/>
      <c r="AI27" s="169"/>
      <c r="AJ27" s="169"/>
      <c r="AK27" s="169"/>
      <c r="AL27" s="169"/>
      <c r="AM27" s="169"/>
    </row>
    <row r="28" spans="1:39" s="170" customFormat="1" ht="24.75" customHeight="1" x14ac:dyDescent="0.2">
      <c r="A28" s="108" t="s">
        <v>255</v>
      </c>
      <c r="B28" s="108" t="s">
        <v>258</v>
      </c>
      <c r="C28" s="108" t="s">
        <v>604</v>
      </c>
      <c r="D28" s="123"/>
      <c r="E28" s="118" t="s">
        <v>611</v>
      </c>
      <c r="F28" s="114"/>
      <c r="G28" s="239" t="str">
        <f t="shared" si="0"/>
        <v>PERU-01-16-111-41 -001 - A</v>
      </c>
      <c r="H28" s="115" t="s">
        <v>113</v>
      </c>
      <c r="I28" s="4" t="s">
        <v>34</v>
      </c>
      <c r="J28" s="20" t="s">
        <v>35</v>
      </c>
      <c r="K28" s="4">
        <v>2</v>
      </c>
      <c r="L28" s="117" t="s">
        <v>143</v>
      </c>
      <c r="M28" s="117" t="s">
        <v>47</v>
      </c>
      <c r="N28" s="116" t="s">
        <v>91</v>
      </c>
      <c r="O28" s="116" t="s">
        <v>39</v>
      </c>
      <c r="P28" s="22" t="s">
        <v>63</v>
      </c>
      <c r="Q28" s="27" t="s">
        <v>149</v>
      </c>
      <c r="R28" s="69" t="str">
        <f t="shared" si="1"/>
        <v>PER-E-2-U6-SOF-100-00-VHHR</v>
      </c>
      <c r="S28" s="120" t="s">
        <v>682</v>
      </c>
      <c r="T28" s="119" t="s">
        <v>723</v>
      </c>
      <c r="U28" s="119"/>
      <c r="V28" s="119" t="s">
        <v>723</v>
      </c>
      <c r="W28" s="160"/>
      <c r="X28" s="111" t="s">
        <v>757</v>
      </c>
      <c r="Y28" s="161"/>
      <c r="Z28" s="71"/>
      <c r="AA28" s="163"/>
      <c r="AB28" s="164"/>
      <c r="AC28" s="164"/>
      <c r="AD28" s="165"/>
      <c r="AE28" s="166"/>
      <c r="AF28" s="167"/>
      <c r="AG28" s="165"/>
      <c r="AH28" s="168"/>
      <c r="AI28" s="169"/>
      <c r="AJ28" s="169"/>
      <c r="AK28" s="169"/>
      <c r="AL28" s="169"/>
      <c r="AM28" s="169"/>
    </row>
    <row r="29" spans="1:39" s="170" customFormat="1" ht="24.75" customHeight="1" x14ac:dyDescent="0.2">
      <c r="A29" s="108" t="s">
        <v>255</v>
      </c>
      <c r="B29" s="108" t="s">
        <v>258</v>
      </c>
      <c r="C29" s="108" t="s">
        <v>605</v>
      </c>
      <c r="D29" s="123"/>
      <c r="E29" s="73" t="s">
        <v>612</v>
      </c>
      <c r="F29" s="26"/>
      <c r="G29" s="239" t="str">
        <f t="shared" si="0"/>
        <v>PERU-01-16-170-14-002 - A</v>
      </c>
      <c r="H29" s="115" t="s">
        <v>113</v>
      </c>
      <c r="I29" s="4" t="s">
        <v>34</v>
      </c>
      <c r="J29" s="117" t="s">
        <v>35</v>
      </c>
      <c r="K29" s="80">
        <v>8</v>
      </c>
      <c r="L29" s="117" t="s">
        <v>143</v>
      </c>
      <c r="M29" s="117" t="s">
        <v>68</v>
      </c>
      <c r="N29" s="116" t="s">
        <v>42</v>
      </c>
      <c r="O29" s="17" t="s">
        <v>39</v>
      </c>
      <c r="P29" s="22" t="s">
        <v>63</v>
      </c>
      <c r="Q29" s="22" t="s">
        <v>114</v>
      </c>
      <c r="R29" s="69" t="str">
        <f t="shared" si="1"/>
        <v>PER-E-8-U6-ASB-001-00-VHHR</v>
      </c>
      <c r="S29" s="240" t="s">
        <v>683</v>
      </c>
      <c r="T29" s="118" t="s">
        <v>724</v>
      </c>
      <c r="U29" s="118"/>
      <c r="V29" s="118" t="s">
        <v>69</v>
      </c>
      <c r="W29" s="160"/>
      <c r="X29" s="111" t="s">
        <v>751</v>
      </c>
      <c r="Y29" s="161"/>
      <c r="Z29" s="71"/>
      <c r="AA29" s="163"/>
      <c r="AB29" s="164"/>
      <c r="AC29" s="164"/>
      <c r="AD29" s="165"/>
      <c r="AE29" s="166"/>
      <c r="AF29" s="167"/>
      <c r="AG29" s="165"/>
      <c r="AH29" s="168"/>
      <c r="AI29" s="169"/>
      <c r="AJ29" s="169"/>
      <c r="AK29" s="169"/>
      <c r="AL29" s="169"/>
      <c r="AM29" s="169"/>
    </row>
    <row r="30" spans="1:39" s="170" customFormat="1" ht="24.75" customHeight="1" x14ac:dyDescent="0.2">
      <c r="A30" s="108" t="s">
        <v>255</v>
      </c>
      <c r="B30" s="108" t="s">
        <v>258</v>
      </c>
      <c r="C30" s="108" t="s">
        <v>605</v>
      </c>
      <c r="D30" s="123"/>
      <c r="E30" s="73" t="s">
        <v>613</v>
      </c>
      <c r="F30" s="26"/>
      <c r="G30" s="239" t="str">
        <f t="shared" si="0"/>
        <v>PERU-01-16-170-23-001 - A</v>
      </c>
      <c r="H30" s="115" t="s">
        <v>113</v>
      </c>
      <c r="I30" s="4" t="s">
        <v>34</v>
      </c>
      <c r="J30" s="117" t="s">
        <v>35</v>
      </c>
      <c r="K30" s="80">
        <v>8</v>
      </c>
      <c r="L30" s="117" t="s">
        <v>143</v>
      </c>
      <c r="M30" s="117" t="s">
        <v>71</v>
      </c>
      <c r="N30" s="116" t="s">
        <v>42</v>
      </c>
      <c r="O30" s="17" t="s">
        <v>39</v>
      </c>
      <c r="P30" s="22" t="s">
        <v>63</v>
      </c>
      <c r="Q30" s="22" t="s">
        <v>114</v>
      </c>
      <c r="R30" s="69" t="str">
        <f t="shared" si="1"/>
        <v>PER-E-8-U6-LST-001-00-VHHR</v>
      </c>
      <c r="S30" s="240" t="s">
        <v>684</v>
      </c>
      <c r="T30" s="118" t="s">
        <v>725</v>
      </c>
      <c r="U30" s="118"/>
      <c r="V30" s="118" t="s">
        <v>99</v>
      </c>
      <c r="W30" s="160"/>
      <c r="X30" s="111" t="s">
        <v>753</v>
      </c>
      <c r="Y30" s="161"/>
      <c r="Z30" s="71"/>
      <c r="AA30" s="163"/>
      <c r="AB30" s="164"/>
      <c r="AC30" s="164"/>
      <c r="AD30" s="165"/>
      <c r="AE30" s="166"/>
      <c r="AF30" s="167"/>
      <c r="AG30" s="165"/>
      <c r="AH30" s="168"/>
      <c r="AI30" s="169"/>
      <c r="AJ30" s="169"/>
      <c r="AK30" s="169"/>
      <c r="AL30" s="169"/>
      <c r="AM30" s="169"/>
    </row>
    <row r="31" spans="1:39" s="170" customFormat="1" ht="24.75" customHeight="1" x14ac:dyDescent="0.2">
      <c r="A31" s="108" t="s">
        <v>255</v>
      </c>
      <c r="B31" s="108" t="s">
        <v>258</v>
      </c>
      <c r="C31" s="108" t="s">
        <v>605</v>
      </c>
      <c r="D31" s="123" t="s">
        <v>800</v>
      </c>
      <c r="E31" s="73" t="s">
        <v>614</v>
      </c>
      <c r="F31" s="26"/>
      <c r="G31" s="239" t="str">
        <f t="shared" si="0"/>
        <v>PERU-01-16-170-31-001 - A</v>
      </c>
      <c r="H31" s="115" t="s">
        <v>113</v>
      </c>
      <c r="I31" s="4" t="s">
        <v>34</v>
      </c>
      <c r="J31" s="117" t="s">
        <v>35</v>
      </c>
      <c r="K31" s="80">
        <v>8</v>
      </c>
      <c r="L31" s="117" t="s">
        <v>143</v>
      </c>
      <c r="M31" s="117" t="s">
        <v>50</v>
      </c>
      <c r="N31" s="116" t="s">
        <v>58</v>
      </c>
      <c r="O31" s="17" t="s">
        <v>39</v>
      </c>
      <c r="P31" s="22" t="s">
        <v>63</v>
      </c>
      <c r="Q31" s="22" t="s">
        <v>114</v>
      </c>
      <c r="R31" s="69" t="str">
        <f t="shared" si="1"/>
        <v>PER-E-8-U6-SCH-003-00-VHHR</v>
      </c>
      <c r="S31" s="240" t="s">
        <v>685</v>
      </c>
      <c r="T31" s="118" t="s">
        <v>726</v>
      </c>
      <c r="U31" s="118" t="s">
        <v>805</v>
      </c>
      <c r="V31" s="118" t="s">
        <v>74</v>
      </c>
      <c r="W31" s="160"/>
      <c r="X31" s="111" t="s">
        <v>754</v>
      </c>
      <c r="Y31" s="161"/>
      <c r="Z31" s="71"/>
      <c r="AA31" s="163"/>
      <c r="AB31" s="164"/>
      <c r="AC31" s="164"/>
      <c r="AD31" s="165"/>
      <c r="AE31" s="166"/>
      <c r="AF31" s="167"/>
      <c r="AG31" s="165"/>
      <c r="AH31" s="168"/>
      <c r="AI31" s="169"/>
      <c r="AJ31" s="169"/>
      <c r="AK31" s="169"/>
      <c r="AL31" s="169"/>
      <c r="AM31" s="169"/>
    </row>
    <row r="32" spans="1:39" s="170" customFormat="1" ht="24.75" customHeight="1" x14ac:dyDescent="0.2">
      <c r="A32" s="108" t="s">
        <v>255</v>
      </c>
      <c r="B32" s="108" t="s">
        <v>258</v>
      </c>
      <c r="C32" s="108" t="s">
        <v>605</v>
      </c>
      <c r="D32" s="123" t="s">
        <v>800</v>
      </c>
      <c r="E32" s="73" t="s">
        <v>615</v>
      </c>
      <c r="F32" s="26"/>
      <c r="G32" s="239" t="str">
        <f t="shared" si="0"/>
        <v>PERU-01-16-170-33-001 - A</v>
      </c>
      <c r="H32" s="115" t="s">
        <v>113</v>
      </c>
      <c r="I32" s="4" t="s">
        <v>34</v>
      </c>
      <c r="J32" s="117" t="s">
        <v>35</v>
      </c>
      <c r="K32" s="80">
        <v>8</v>
      </c>
      <c r="L32" s="117" t="s">
        <v>143</v>
      </c>
      <c r="M32" s="117" t="s">
        <v>76</v>
      </c>
      <c r="N32" s="116" t="s">
        <v>42</v>
      </c>
      <c r="O32" s="17" t="s">
        <v>39</v>
      </c>
      <c r="P32" s="22" t="s">
        <v>63</v>
      </c>
      <c r="Q32" s="22" t="s">
        <v>114</v>
      </c>
      <c r="R32" s="69" t="str">
        <f t="shared" si="1"/>
        <v>PER-E-8-U6-ROU-001-00-VHHR</v>
      </c>
      <c r="S32" s="240" t="s">
        <v>686</v>
      </c>
      <c r="T32" s="118" t="s">
        <v>727</v>
      </c>
      <c r="U32" s="118" t="s">
        <v>809</v>
      </c>
      <c r="V32" s="118" t="s">
        <v>77</v>
      </c>
      <c r="W32" s="160"/>
      <c r="X32" s="111" t="s">
        <v>753</v>
      </c>
      <c r="Y32" s="161"/>
      <c r="Z32" s="71"/>
      <c r="AA32" s="163"/>
      <c r="AB32" s="164"/>
      <c r="AC32" s="164"/>
      <c r="AD32" s="165"/>
      <c r="AE32" s="166"/>
      <c r="AF32" s="167"/>
      <c r="AG32" s="165"/>
      <c r="AH32" s="168"/>
      <c r="AI32" s="169"/>
      <c r="AJ32" s="169"/>
      <c r="AK32" s="169"/>
      <c r="AL32" s="169"/>
      <c r="AM32" s="169"/>
    </row>
    <row r="33" spans="1:39" s="170" customFormat="1" ht="24.6" customHeight="1" x14ac:dyDescent="0.2">
      <c r="A33" s="108" t="s">
        <v>256</v>
      </c>
      <c r="B33" s="108" t="s">
        <v>256</v>
      </c>
      <c r="C33" s="108" t="s">
        <v>606</v>
      </c>
      <c r="D33" s="207"/>
      <c r="E33" s="73" t="s">
        <v>616</v>
      </c>
      <c r="F33" s="26"/>
      <c r="G33" s="239" t="str">
        <f t="shared" si="0"/>
        <v>PERU-01-16-170-61-001 - A</v>
      </c>
      <c r="H33" s="115" t="s">
        <v>113</v>
      </c>
      <c r="I33" s="4" t="s">
        <v>34</v>
      </c>
      <c r="J33" s="117" t="s">
        <v>35</v>
      </c>
      <c r="K33" s="80">
        <v>8</v>
      </c>
      <c r="L33" s="117" t="s">
        <v>143</v>
      </c>
      <c r="M33" s="117" t="s">
        <v>79</v>
      </c>
      <c r="N33" s="116" t="s">
        <v>42</v>
      </c>
      <c r="O33" s="17" t="s">
        <v>39</v>
      </c>
      <c r="P33" s="22" t="s">
        <v>63</v>
      </c>
      <c r="Q33" s="22" t="s">
        <v>114</v>
      </c>
      <c r="R33" s="69" t="str">
        <f t="shared" si="1"/>
        <v>PER-E-8-U6-FAT-001-00-VHHR</v>
      </c>
      <c r="S33" s="240" t="s">
        <v>687</v>
      </c>
      <c r="T33" s="118" t="s">
        <v>777</v>
      </c>
      <c r="U33" s="118"/>
      <c r="V33" s="118" t="s">
        <v>102</v>
      </c>
      <c r="W33" s="160"/>
      <c r="X33" s="111" t="s">
        <v>764</v>
      </c>
      <c r="Y33" s="161"/>
      <c r="Z33" s="71"/>
      <c r="AA33" s="163"/>
      <c r="AB33" s="164"/>
      <c r="AC33" s="164"/>
      <c r="AD33" s="165"/>
      <c r="AE33" s="166"/>
      <c r="AF33" s="167"/>
      <c r="AG33" s="165"/>
      <c r="AH33" s="168"/>
      <c r="AI33" s="169"/>
      <c r="AJ33" s="169"/>
      <c r="AK33" s="169"/>
      <c r="AL33" s="169"/>
      <c r="AM33" s="169"/>
    </row>
    <row r="34" spans="1:39" s="170" customFormat="1" ht="24.75" customHeight="1" x14ac:dyDescent="0.2">
      <c r="A34" s="108" t="s">
        <v>256</v>
      </c>
      <c r="B34" s="108" t="s">
        <v>256</v>
      </c>
      <c r="C34" s="108" t="s">
        <v>606</v>
      </c>
      <c r="D34" s="207"/>
      <c r="E34" s="73" t="s">
        <v>617</v>
      </c>
      <c r="F34" s="26"/>
      <c r="G34" s="239" t="str">
        <f t="shared" si="0"/>
        <v>PERU-01-16-170-52-001 - A</v>
      </c>
      <c r="H34" s="115" t="s">
        <v>113</v>
      </c>
      <c r="I34" s="4" t="s">
        <v>34</v>
      </c>
      <c r="J34" s="117" t="s">
        <v>35</v>
      </c>
      <c r="K34" s="80">
        <v>8</v>
      </c>
      <c r="L34" s="117" t="s">
        <v>143</v>
      </c>
      <c r="M34" s="117" t="s">
        <v>82</v>
      </c>
      <c r="N34" s="116" t="s">
        <v>42</v>
      </c>
      <c r="O34" s="17" t="s">
        <v>39</v>
      </c>
      <c r="P34" s="22" t="s">
        <v>63</v>
      </c>
      <c r="Q34" s="22" t="s">
        <v>114</v>
      </c>
      <c r="R34" s="69" t="str">
        <f t="shared" si="1"/>
        <v>PER-E-8-U6-CMM-001-00-VHHR</v>
      </c>
      <c r="S34" s="240" t="s">
        <v>688</v>
      </c>
      <c r="T34" s="118" t="s">
        <v>778</v>
      </c>
      <c r="U34" s="118"/>
      <c r="V34" s="118" t="s">
        <v>83</v>
      </c>
      <c r="W34" s="160"/>
      <c r="X34" s="111" t="s">
        <v>764</v>
      </c>
      <c r="Y34" s="161"/>
      <c r="Z34" s="71"/>
      <c r="AA34" s="163"/>
      <c r="AB34" s="164"/>
      <c r="AC34" s="164"/>
      <c r="AD34" s="165"/>
      <c r="AE34" s="166"/>
      <c r="AF34" s="167"/>
      <c r="AG34" s="165"/>
      <c r="AH34" s="168"/>
      <c r="AI34" s="169"/>
      <c r="AJ34" s="169"/>
      <c r="AK34" s="169"/>
      <c r="AL34" s="169"/>
      <c r="AM34" s="169"/>
    </row>
    <row r="35" spans="1:39" s="170" customFormat="1" ht="24.75" customHeight="1" x14ac:dyDescent="0.2">
      <c r="A35" s="108" t="s">
        <v>258</v>
      </c>
      <c r="B35" s="108" t="s">
        <v>256</v>
      </c>
      <c r="C35" s="108" t="s">
        <v>606</v>
      </c>
      <c r="D35" s="205"/>
      <c r="E35" s="73" t="s">
        <v>618</v>
      </c>
      <c r="F35" s="26"/>
      <c r="G35" s="239" t="str">
        <f t="shared" si="0"/>
        <v>PERU-01-16-170-70-001 - A</v>
      </c>
      <c r="H35" s="115" t="s">
        <v>113</v>
      </c>
      <c r="I35" s="4" t="s">
        <v>34</v>
      </c>
      <c r="J35" s="117" t="s">
        <v>35</v>
      </c>
      <c r="K35" s="80">
        <v>8</v>
      </c>
      <c r="L35" s="117" t="s">
        <v>143</v>
      </c>
      <c r="M35" s="117" t="s">
        <v>85</v>
      </c>
      <c r="N35" s="116" t="s">
        <v>42</v>
      </c>
      <c r="O35" s="17" t="s">
        <v>39</v>
      </c>
      <c r="P35" s="22" t="s">
        <v>63</v>
      </c>
      <c r="Q35" s="22" t="s">
        <v>114</v>
      </c>
      <c r="R35" s="69" t="str">
        <f t="shared" si="1"/>
        <v>PER-E-8-U6-MAN-001-00-VHHR</v>
      </c>
      <c r="S35" s="240" t="s">
        <v>689</v>
      </c>
      <c r="T35" s="118" t="s">
        <v>728</v>
      </c>
      <c r="U35" s="118"/>
      <c r="V35" s="118" t="s">
        <v>109</v>
      </c>
      <c r="W35" s="160"/>
      <c r="X35" s="203" t="s">
        <v>771</v>
      </c>
      <c r="Y35" s="161"/>
      <c r="Z35" s="71"/>
      <c r="AA35" s="163"/>
      <c r="AB35" s="164"/>
      <c r="AC35" s="164"/>
      <c r="AD35" s="165"/>
      <c r="AE35" s="166"/>
      <c r="AF35" s="167"/>
      <c r="AG35" s="165"/>
      <c r="AH35" s="168"/>
      <c r="AI35" s="169"/>
      <c r="AJ35" s="169"/>
      <c r="AK35" s="169"/>
      <c r="AL35" s="169"/>
      <c r="AM35" s="169"/>
    </row>
    <row r="36" spans="1:39" s="170" customFormat="1" ht="24.75" customHeight="1" x14ac:dyDescent="0.2">
      <c r="A36" s="108" t="s">
        <v>255</v>
      </c>
      <c r="B36" s="108" t="s">
        <v>258</v>
      </c>
      <c r="C36" s="108" t="s">
        <v>607</v>
      </c>
      <c r="D36" s="123"/>
      <c r="E36" s="119" t="s">
        <v>619</v>
      </c>
      <c r="F36" s="26"/>
      <c r="G36" s="239" t="str">
        <f t="shared" si="0"/>
        <v>PERU-01-16-170-12-002 - A</v>
      </c>
      <c r="H36" s="115" t="s">
        <v>113</v>
      </c>
      <c r="I36" s="4" t="s">
        <v>34</v>
      </c>
      <c r="J36" s="117" t="s">
        <v>35</v>
      </c>
      <c r="K36" s="80">
        <v>8</v>
      </c>
      <c r="L36" s="117" t="s">
        <v>143</v>
      </c>
      <c r="M36" s="117" t="s">
        <v>50</v>
      </c>
      <c r="N36" s="116" t="s">
        <v>38</v>
      </c>
      <c r="O36" s="17" t="s">
        <v>39</v>
      </c>
      <c r="P36" s="22" t="s">
        <v>63</v>
      </c>
      <c r="Q36" s="27" t="s">
        <v>114</v>
      </c>
      <c r="R36" s="69" t="str">
        <f t="shared" si="1"/>
        <v>PER-E-8-U6-SCH-002-00-VHHR</v>
      </c>
      <c r="S36" s="240" t="s">
        <v>690</v>
      </c>
      <c r="T36" s="118" t="s">
        <v>729</v>
      </c>
      <c r="U36" s="118"/>
      <c r="V36" s="118" t="s">
        <v>106</v>
      </c>
      <c r="W36" s="160"/>
      <c r="X36" s="111" t="s">
        <v>750</v>
      </c>
      <c r="Y36" s="161"/>
      <c r="Z36" s="71"/>
      <c r="AA36" s="163"/>
      <c r="AB36" s="164"/>
      <c r="AC36" s="164"/>
      <c r="AD36" s="165"/>
      <c r="AE36" s="166"/>
      <c r="AF36" s="167"/>
      <c r="AG36" s="165"/>
      <c r="AH36" s="168"/>
      <c r="AI36" s="169"/>
      <c r="AJ36" s="169"/>
      <c r="AK36" s="169"/>
      <c r="AL36" s="169"/>
      <c r="AM36" s="169"/>
    </row>
    <row r="37" spans="1:39" s="170" customFormat="1" ht="24.75" customHeight="1" x14ac:dyDescent="0.2">
      <c r="A37" s="108" t="s">
        <v>255</v>
      </c>
      <c r="B37" s="108" t="s">
        <v>258</v>
      </c>
      <c r="C37" s="108" t="s">
        <v>605</v>
      </c>
      <c r="D37" s="123" t="s">
        <v>800</v>
      </c>
      <c r="E37" s="73" t="s">
        <v>620</v>
      </c>
      <c r="F37" s="26"/>
      <c r="G37" s="239" t="str">
        <f t="shared" si="0"/>
        <v>PERU-01-16-153-33-001 - A</v>
      </c>
      <c r="H37" s="115" t="s">
        <v>113</v>
      </c>
      <c r="I37" s="4" t="s">
        <v>34</v>
      </c>
      <c r="J37" s="117" t="s">
        <v>35</v>
      </c>
      <c r="K37" s="80">
        <v>8</v>
      </c>
      <c r="L37" s="117" t="s">
        <v>143</v>
      </c>
      <c r="M37" s="117" t="s">
        <v>50</v>
      </c>
      <c r="N37" s="116" t="s">
        <v>59</v>
      </c>
      <c r="O37" s="17" t="s">
        <v>39</v>
      </c>
      <c r="P37" s="22" t="s">
        <v>63</v>
      </c>
      <c r="Q37" s="22" t="s">
        <v>114</v>
      </c>
      <c r="R37" s="69" t="str">
        <f t="shared" si="1"/>
        <v>PER-E-8-U6-SCH-004-00-VHHR</v>
      </c>
      <c r="S37" s="240" t="s">
        <v>683</v>
      </c>
      <c r="T37" s="118" t="s">
        <v>730</v>
      </c>
      <c r="U37" s="118" t="s">
        <v>806</v>
      </c>
      <c r="V37" s="118" t="s">
        <v>221</v>
      </c>
      <c r="W37" s="160"/>
      <c r="X37" s="111" t="s">
        <v>754</v>
      </c>
      <c r="Y37" s="161"/>
      <c r="Z37" s="71"/>
      <c r="AA37" s="163"/>
      <c r="AB37" s="164"/>
      <c r="AC37" s="164"/>
      <c r="AD37" s="165"/>
      <c r="AE37" s="166"/>
      <c r="AF37" s="167"/>
      <c r="AG37" s="165"/>
      <c r="AH37" s="168"/>
      <c r="AI37" s="169"/>
      <c r="AJ37" s="169"/>
      <c r="AK37" s="169"/>
      <c r="AL37" s="169"/>
      <c r="AM37" s="169"/>
    </row>
    <row r="38" spans="1:39" s="170" customFormat="1" ht="24.75" customHeight="1" x14ac:dyDescent="0.2">
      <c r="A38" s="108" t="s">
        <v>255</v>
      </c>
      <c r="B38" s="108" t="s">
        <v>258</v>
      </c>
      <c r="C38" s="108" t="s">
        <v>605</v>
      </c>
      <c r="D38" s="123" t="s">
        <v>800</v>
      </c>
      <c r="E38" s="73" t="s">
        <v>621</v>
      </c>
      <c r="F38" s="26"/>
      <c r="G38" s="239" t="str">
        <f t="shared" si="0"/>
        <v>PERU-01-16-196-31-001 - A</v>
      </c>
      <c r="H38" s="115" t="s">
        <v>113</v>
      </c>
      <c r="I38" s="4" t="s">
        <v>34</v>
      </c>
      <c r="J38" s="117" t="s">
        <v>35</v>
      </c>
      <c r="K38" s="80">
        <v>8</v>
      </c>
      <c r="L38" s="117" t="s">
        <v>143</v>
      </c>
      <c r="M38" s="117" t="s">
        <v>50</v>
      </c>
      <c r="N38" s="116" t="s">
        <v>60</v>
      </c>
      <c r="O38" s="17" t="s">
        <v>39</v>
      </c>
      <c r="P38" s="22" t="s">
        <v>63</v>
      </c>
      <c r="Q38" s="22" t="s">
        <v>114</v>
      </c>
      <c r="R38" s="69" t="str">
        <f t="shared" si="1"/>
        <v>PER-E-8-U6-SCH-005-00-VHHR</v>
      </c>
      <c r="S38" s="240" t="s">
        <v>691</v>
      </c>
      <c r="T38" s="118" t="s">
        <v>731</v>
      </c>
      <c r="U38" s="118" t="s">
        <v>807</v>
      </c>
      <c r="V38" s="118" t="s">
        <v>224</v>
      </c>
      <c r="W38" s="160"/>
      <c r="X38" s="111" t="s">
        <v>754</v>
      </c>
      <c r="Y38" s="161"/>
      <c r="Z38" s="71"/>
      <c r="AA38" s="163"/>
      <c r="AB38" s="164"/>
      <c r="AC38" s="164"/>
      <c r="AD38" s="165"/>
      <c r="AE38" s="166"/>
      <c r="AF38" s="167"/>
      <c r="AG38" s="165"/>
      <c r="AH38" s="168"/>
      <c r="AI38" s="169"/>
      <c r="AJ38" s="169"/>
      <c r="AK38" s="169"/>
      <c r="AL38" s="169"/>
      <c r="AM38" s="169"/>
    </row>
    <row r="39" spans="1:39" s="170" customFormat="1" ht="24.6" customHeight="1" x14ac:dyDescent="0.2">
      <c r="A39" s="108" t="s">
        <v>255</v>
      </c>
      <c r="B39" s="108" t="s">
        <v>258</v>
      </c>
      <c r="C39" s="108" t="s">
        <v>605</v>
      </c>
      <c r="D39" s="123" t="s">
        <v>800</v>
      </c>
      <c r="E39" s="73" t="s">
        <v>622</v>
      </c>
      <c r="F39" s="26"/>
      <c r="G39" s="239" t="str">
        <f t="shared" si="0"/>
        <v>PERU-01-16-132-31-001 - A</v>
      </c>
      <c r="H39" s="115" t="s">
        <v>113</v>
      </c>
      <c r="I39" s="4" t="s">
        <v>34</v>
      </c>
      <c r="J39" s="117" t="s">
        <v>35</v>
      </c>
      <c r="K39" s="80">
        <v>8</v>
      </c>
      <c r="L39" s="117" t="s">
        <v>143</v>
      </c>
      <c r="M39" s="117" t="s">
        <v>50</v>
      </c>
      <c r="N39" s="116" t="s">
        <v>61</v>
      </c>
      <c r="O39" s="17" t="s">
        <v>39</v>
      </c>
      <c r="P39" s="22" t="s">
        <v>63</v>
      </c>
      <c r="Q39" s="22" t="s">
        <v>114</v>
      </c>
      <c r="R39" s="69" t="str">
        <f t="shared" si="1"/>
        <v>PER-E-8-U6-SCH-006-00-VHHR</v>
      </c>
      <c r="S39" s="240" t="s">
        <v>692</v>
      </c>
      <c r="T39" s="118" t="s">
        <v>732</v>
      </c>
      <c r="U39" s="118" t="s">
        <v>808</v>
      </c>
      <c r="V39" s="118" t="s">
        <v>227</v>
      </c>
      <c r="W39" s="160"/>
      <c r="X39" s="111" t="s">
        <v>754</v>
      </c>
      <c r="Y39" s="161"/>
      <c r="Z39" s="71"/>
      <c r="AA39" s="163"/>
      <c r="AB39" s="164"/>
      <c r="AC39" s="164"/>
      <c r="AD39" s="165"/>
      <c r="AE39" s="166"/>
      <c r="AF39" s="167"/>
      <c r="AG39" s="165"/>
      <c r="AH39" s="168"/>
      <c r="AI39" s="169"/>
      <c r="AJ39" s="169"/>
      <c r="AK39" s="169"/>
      <c r="AL39" s="169"/>
      <c r="AM39" s="169"/>
    </row>
    <row r="40" spans="1:39" s="170" customFormat="1" ht="24.6" customHeight="1" x14ac:dyDescent="0.2">
      <c r="A40" s="108" t="s">
        <v>255</v>
      </c>
      <c r="B40" s="108" t="s">
        <v>258</v>
      </c>
      <c r="C40" s="108" t="s">
        <v>605</v>
      </c>
      <c r="D40" s="123"/>
      <c r="E40" s="73" t="s">
        <v>623</v>
      </c>
      <c r="F40" s="26"/>
      <c r="G40" s="239" t="str">
        <f t="shared" si="0"/>
        <v>PERU-01-16-196-14-001 - A</v>
      </c>
      <c r="H40" s="115" t="s">
        <v>113</v>
      </c>
      <c r="I40" s="4" t="s">
        <v>34</v>
      </c>
      <c r="J40" s="117" t="s">
        <v>35</v>
      </c>
      <c r="K40" s="80">
        <v>8</v>
      </c>
      <c r="L40" s="117" t="s">
        <v>143</v>
      </c>
      <c r="M40" s="117" t="s">
        <v>68</v>
      </c>
      <c r="N40" s="116" t="s">
        <v>38</v>
      </c>
      <c r="O40" s="17" t="s">
        <v>39</v>
      </c>
      <c r="P40" s="22" t="s">
        <v>63</v>
      </c>
      <c r="Q40" s="22" t="s">
        <v>114</v>
      </c>
      <c r="R40" s="69" t="str">
        <f t="shared" si="1"/>
        <v>PER-E-8-U6-ASB-002-00-VHHR</v>
      </c>
      <c r="S40" s="240" t="s">
        <v>693</v>
      </c>
      <c r="T40" s="118" t="s">
        <v>733</v>
      </c>
      <c r="U40" s="118"/>
      <c r="V40" s="118" t="s">
        <v>230</v>
      </c>
      <c r="W40" s="160"/>
      <c r="X40" s="111" t="s">
        <v>751</v>
      </c>
      <c r="Y40" s="161"/>
      <c r="Z40" s="71"/>
      <c r="AA40" s="163"/>
      <c r="AB40" s="164"/>
      <c r="AC40" s="164"/>
      <c r="AD40" s="165"/>
      <c r="AE40" s="166"/>
      <c r="AF40" s="167"/>
      <c r="AG40" s="165"/>
      <c r="AH40" s="168"/>
      <c r="AI40" s="169"/>
      <c r="AJ40" s="169"/>
      <c r="AK40" s="169"/>
      <c r="AL40" s="169"/>
      <c r="AM40" s="169"/>
    </row>
    <row r="41" spans="1:39" s="170" customFormat="1" ht="24.75" customHeight="1" x14ac:dyDescent="0.2">
      <c r="A41" s="108" t="s">
        <v>255</v>
      </c>
      <c r="B41" s="108" t="s">
        <v>258</v>
      </c>
      <c r="C41" s="108" t="s">
        <v>605</v>
      </c>
      <c r="D41" s="123"/>
      <c r="E41" s="73" t="s">
        <v>624</v>
      </c>
      <c r="F41" s="26"/>
      <c r="G41" s="239" t="str">
        <f t="shared" si="0"/>
        <v>PERU-01-16-132-14-001 - A</v>
      </c>
      <c r="H41" s="115" t="s">
        <v>113</v>
      </c>
      <c r="I41" s="4" t="s">
        <v>34</v>
      </c>
      <c r="J41" s="117" t="s">
        <v>35</v>
      </c>
      <c r="K41" s="80">
        <v>8</v>
      </c>
      <c r="L41" s="117" t="s">
        <v>143</v>
      </c>
      <c r="M41" s="117" t="s">
        <v>68</v>
      </c>
      <c r="N41" s="116" t="s">
        <v>58</v>
      </c>
      <c r="O41" s="17" t="s">
        <v>39</v>
      </c>
      <c r="P41" s="22" t="s">
        <v>63</v>
      </c>
      <c r="Q41" s="22" t="s">
        <v>114</v>
      </c>
      <c r="R41" s="69" t="str">
        <f t="shared" si="1"/>
        <v>PER-E-8-U6-ASB-003-00-VHHR</v>
      </c>
      <c r="S41" s="240" t="s">
        <v>694</v>
      </c>
      <c r="T41" s="118" t="s">
        <v>734</v>
      </c>
      <c r="U41" s="118"/>
      <c r="V41" s="118" t="s">
        <v>233</v>
      </c>
      <c r="W41" s="160"/>
      <c r="X41" s="111" t="s">
        <v>751</v>
      </c>
      <c r="Y41" s="161"/>
      <c r="Z41" s="71"/>
      <c r="AA41" s="163"/>
      <c r="AB41" s="164"/>
      <c r="AC41" s="164"/>
      <c r="AD41" s="165"/>
      <c r="AE41" s="166"/>
      <c r="AF41" s="167"/>
      <c r="AG41" s="165"/>
      <c r="AH41" s="168"/>
      <c r="AI41" s="169"/>
      <c r="AJ41" s="169"/>
      <c r="AK41" s="169"/>
      <c r="AL41" s="169"/>
      <c r="AM41" s="169"/>
    </row>
    <row r="42" spans="1:39" s="170" customFormat="1" ht="24.75" customHeight="1" x14ac:dyDescent="0.2">
      <c r="A42" s="108" t="s">
        <v>256</v>
      </c>
      <c r="B42" s="108" t="s">
        <v>256</v>
      </c>
      <c r="C42" s="108" t="s">
        <v>608</v>
      </c>
      <c r="D42" s="207"/>
      <c r="E42" s="118" t="s">
        <v>625</v>
      </c>
      <c r="F42" s="26"/>
      <c r="G42" s="239" t="str">
        <f t="shared" si="0"/>
        <v>PERU-01-16-150-61-001 - A</v>
      </c>
      <c r="H42" s="115" t="s">
        <v>113</v>
      </c>
      <c r="I42" s="4" t="s">
        <v>34</v>
      </c>
      <c r="J42" s="117" t="s">
        <v>35</v>
      </c>
      <c r="K42" s="80">
        <v>8</v>
      </c>
      <c r="L42" s="117" t="s">
        <v>143</v>
      </c>
      <c r="M42" s="117" t="s">
        <v>79</v>
      </c>
      <c r="N42" s="116" t="s">
        <v>38</v>
      </c>
      <c r="O42" s="116" t="s">
        <v>39</v>
      </c>
      <c r="P42" s="22" t="s">
        <v>63</v>
      </c>
      <c r="Q42" s="22" t="s">
        <v>114</v>
      </c>
      <c r="R42" s="69" t="str">
        <f t="shared" si="1"/>
        <v>PER-E-8-U6-FAT-002-00-VHHR</v>
      </c>
      <c r="S42" s="240" t="s">
        <v>695</v>
      </c>
      <c r="T42" s="118" t="s">
        <v>779</v>
      </c>
      <c r="U42" s="118"/>
      <c r="V42" s="118" t="s">
        <v>735</v>
      </c>
      <c r="W42" s="160"/>
      <c r="X42" s="111" t="s">
        <v>764</v>
      </c>
      <c r="Y42" s="161"/>
      <c r="Z42" s="71"/>
      <c r="AA42" s="163"/>
      <c r="AB42" s="164"/>
      <c r="AC42" s="164"/>
      <c r="AD42" s="165"/>
      <c r="AE42" s="166"/>
      <c r="AF42" s="167"/>
      <c r="AG42" s="165"/>
      <c r="AH42" s="168"/>
      <c r="AI42" s="169"/>
      <c r="AJ42" s="169"/>
      <c r="AK42" s="169"/>
      <c r="AL42" s="169"/>
      <c r="AM42" s="169"/>
    </row>
    <row r="43" spans="1:39" s="170" customFormat="1" ht="24.75" customHeight="1" x14ac:dyDescent="0.2">
      <c r="A43" s="108" t="s">
        <v>255</v>
      </c>
      <c r="B43" s="108" t="s">
        <v>258</v>
      </c>
      <c r="C43" s="108" t="s">
        <v>605</v>
      </c>
      <c r="D43" s="123"/>
      <c r="E43" s="118" t="s">
        <v>626</v>
      </c>
      <c r="F43" s="26"/>
      <c r="G43" s="239" t="str">
        <f t="shared" si="0"/>
        <v>PERU-01-16-196-33-001 - A</v>
      </c>
      <c r="H43" s="115" t="s">
        <v>113</v>
      </c>
      <c r="I43" s="4" t="s">
        <v>34</v>
      </c>
      <c r="J43" s="117" t="s">
        <v>35</v>
      </c>
      <c r="K43" s="80">
        <v>8</v>
      </c>
      <c r="L43" s="117" t="s">
        <v>143</v>
      </c>
      <c r="M43" s="117" t="s">
        <v>76</v>
      </c>
      <c r="N43" s="116" t="s">
        <v>58</v>
      </c>
      <c r="O43" s="116" t="s">
        <v>39</v>
      </c>
      <c r="P43" s="22" t="s">
        <v>63</v>
      </c>
      <c r="Q43" s="22" t="s">
        <v>114</v>
      </c>
      <c r="R43" s="69" t="str">
        <f t="shared" si="1"/>
        <v>PER-E-8-U6-ROU-003-00-VHHR</v>
      </c>
      <c r="S43" s="240" t="s">
        <v>696</v>
      </c>
      <c r="T43" s="118" t="s">
        <v>736</v>
      </c>
      <c r="U43" s="118"/>
      <c r="V43" s="118" t="s">
        <v>737</v>
      </c>
      <c r="W43" s="160"/>
      <c r="X43" s="111" t="s">
        <v>753</v>
      </c>
      <c r="Y43" s="161"/>
      <c r="Z43" s="71"/>
      <c r="AA43" s="163"/>
      <c r="AB43" s="164"/>
      <c r="AC43" s="164"/>
      <c r="AD43" s="165"/>
      <c r="AE43" s="166"/>
      <c r="AF43" s="167"/>
      <c r="AG43" s="165"/>
      <c r="AH43" s="168"/>
      <c r="AI43" s="169"/>
      <c r="AJ43" s="169"/>
      <c r="AK43" s="169"/>
      <c r="AL43" s="169"/>
      <c r="AM43" s="169"/>
    </row>
    <row r="44" spans="1:39" s="170" customFormat="1" ht="24.75" customHeight="1" x14ac:dyDescent="0.2">
      <c r="A44" s="108" t="s">
        <v>255</v>
      </c>
      <c r="B44" s="108" t="s">
        <v>258</v>
      </c>
      <c r="C44" s="108" t="s">
        <v>605</v>
      </c>
      <c r="D44" s="123"/>
      <c r="E44" s="118" t="s">
        <v>627</v>
      </c>
      <c r="F44" s="26"/>
      <c r="G44" s="239" t="str">
        <f t="shared" si="0"/>
        <v>PERU-01-16-132-33-001 - A</v>
      </c>
      <c r="H44" s="115" t="s">
        <v>113</v>
      </c>
      <c r="I44" s="4" t="s">
        <v>34</v>
      </c>
      <c r="J44" s="117" t="s">
        <v>35</v>
      </c>
      <c r="K44" s="80">
        <v>8</v>
      </c>
      <c r="L44" s="117" t="s">
        <v>143</v>
      </c>
      <c r="M44" s="117" t="s">
        <v>76</v>
      </c>
      <c r="N44" s="116" t="s">
        <v>59</v>
      </c>
      <c r="O44" s="116" t="s">
        <v>39</v>
      </c>
      <c r="P44" s="22" t="s">
        <v>63</v>
      </c>
      <c r="Q44" s="22" t="s">
        <v>114</v>
      </c>
      <c r="R44" s="69" t="str">
        <f t="shared" si="1"/>
        <v>PER-E-8-U6-ROU-004-00-VHHR</v>
      </c>
      <c r="S44" s="240" t="s">
        <v>697</v>
      </c>
      <c r="T44" s="118" t="s">
        <v>738</v>
      </c>
      <c r="U44" s="118"/>
      <c r="V44" s="118" t="s">
        <v>739</v>
      </c>
      <c r="W44" s="160"/>
      <c r="X44" s="111" t="s">
        <v>753</v>
      </c>
      <c r="Y44" s="161"/>
      <c r="Z44" s="71"/>
      <c r="AA44" s="163"/>
      <c r="AB44" s="164"/>
      <c r="AC44" s="164"/>
      <c r="AD44" s="165"/>
      <c r="AE44" s="166"/>
      <c r="AF44" s="167"/>
      <c r="AG44" s="165"/>
      <c r="AH44" s="168"/>
      <c r="AI44" s="169"/>
      <c r="AJ44" s="169"/>
      <c r="AK44" s="169"/>
      <c r="AL44" s="169"/>
      <c r="AM44" s="169"/>
    </row>
    <row r="45" spans="1:39" s="170" customFormat="1" ht="24.75" customHeight="1" x14ac:dyDescent="0.2">
      <c r="A45" s="108" t="s">
        <v>255</v>
      </c>
      <c r="B45" s="108" t="s">
        <v>258</v>
      </c>
      <c r="C45" s="108" t="s">
        <v>605</v>
      </c>
      <c r="D45" s="123"/>
      <c r="E45" s="118" t="s">
        <v>628</v>
      </c>
      <c r="F45" s="26"/>
      <c r="G45" s="239" t="str">
        <f t="shared" si="0"/>
        <v>PERU-01-16-150-33-001 - A</v>
      </c>
      <c r="H45" s="115" t="s">
        <v>113</v>
      </c>
      <c r="I45" s="4" t="s">
        <v>34</v>
      </c>
      <c r="J45" s="117" t="s">
        <v>35</v>
      </c>
      <c r="K45" s="80">
        <v>8</v>
      </c>
      <c r="L45" s="117" t="s">
        <v>143</v>
      </c>
      <c r="M45" s="117" t="s">
        <v>76</v>
      </c>
      <c r="N45" s="116" t="s">
        <v>60</v>
      </c>
      <c r="O45" s="116" t="s">
        <v>39</v>
      </c>
      <c r="P45" s="22" t="s">
        <v>63</v>
      </c>
      <c r="Q45" s="22" t="s">
        <v>114</v>
      </c>
      <c r="R45" s="69" t="str">
        <f t="shared" si="1"/>
        <v>PER-E-8-U6-ROU-005-00-VHHR</v>
      </c>
      <c r="S45" s="240" t="s">
        <v>698</v>
      </c>
      <c r="T45" s="118" t="s">
        <v>740</v>
      </c>
      <c r="U45" s="118"/>
      <c r="V45" s="118" t="s">
        <v>740</v>
      </c>
      <c r="W45" s="160"/>
      <c r="X45" s="111" t="s">
        <v>753</v>
      </c>
      <c r="Y45" s="161"/>
      <c r="Z45" s="71"/>
      <c r="AA45" s="163"/>
      <c r="AB45" s="164"/>
      <c r="AC45" s="164"/>
      <c r="AD45" s="165"/>
      <c r="AE45" s="166"/>
      <c r="AF45" s="167"/>
      <c r="AG45" s="165"/>
      <c r="AH45" s="168"/>
      <c r="AI45" s="169"/>
      <c r="AJ45" s="169"/>
      <c r="AK45" s="169"/>
      <c r="AL45" s="169"/>
      <c r="AM45" s="169"/>
    </row>
    <row r="46" spans="1:39" s="170" customFormat="1" ht="24.75" customHeight="1" x14ac:dyDescent="0.2">
      <c r="A46" s="108" t="s">
        <v>255</v>
      </c>
      <c r="B46" s="108" t="s">
        <v>255</v>
      </c>
      <c r="C46" s="108" t="s">
        <v>436</v>
      </c>
      <c r="D46" s="123"/>
      <c r="E46" s="118" t="s">
        <v>629</v>
      </c>
      <c r="F46" s="26"/>
      <c r="G46" s="239" t="str">
        <f t="shared" si="0"/>
        <v>PERU-01-16-170-17-001 - A</v>
      </c>
      <c r="H46" s="115" t="s">
        <v>113</v>
      </c>
      <c r="I46" s="58" t="s">
        <v>34</v>
      </c>
      <c r="J46" s="117" t="s">
        <v>56</v>
      </c>
      <c r="K46" s="81">
        <v>8</v>
      </c>
      <c r="L46" s="58" t="s">
        <v>143</v>
      </c>
      <c r="M46" s="58" t="s">
        <v>55</v>
      </c>
      <c r="N46" s="234" t="s">
        <v>42</v>
      </c>
      <c r="O46" s="59" t="s">
        <v>147</v>
      </c>
      <c r="P46" s="22" t="s">
        <v>63</v>
      </c>
      <c r="Q46" s="22" t="s">
        <v>114</v>
      </c>
      <c r="R46" s="69" t="str">
        <f t="shared" si="1"/>
        <v>PER-C-8-U6-LAY-001-03-VHHR</v>
      </c>
      <c r="S46" s="121" t="s">
        <v>699</v>
      </c>
      <c r="T46" s="118" t="s">
        <v>741</v>
      </c>
      <c r="U46" s="118"/>
      <c r="V46" s="235" t="s">
        <v>248</v>
      </c>
      <c r="W46" s="160"/>
      <c r="X46" s="111" t="s">
        <v>774</v>
      </c>
      <c r="Y46" s="161"/>
      <c r="Z46" s="71"/>
      <c r="AA46" s="163"/>
      <c r="AB46" s="164"/>
      <c r="AC46" s="164"/>
      <c r="AD46" s="165"/>
      <c r="AE46" s="166"/>
      <c r="AF46" s="167"/>
      <c r="AG46" s="165"/>
      <c r="AH46" s="168"/>
      <c r="AI46" s="169"/>
      <c r="AJ46" s="169"/>
      <c r="AK46" s="169"/>
      <c r="AL46" s="169"/>
      <c r="AM46" s="169"/>
    </row>
    <row r="47" spans="1:39" s="170" customFormat="1" ht="24.75" customHeight="1" x14ac:dyDescent="0.2">
      <c r="A47" s="108" t="s">
        <v>255</v>
      </c>
      <c r="B47" s="108" t="s">
        <v>258</v>
      </c>
      <c r="C47" s="108" t="s">
        <v>609</v>
      </c>
      <c r="D47" s="123"/>
      <c r="E47" s="241" t="s">
        <v>630</v>
      </c>
      <c r="F47" s="114"/>
      <c r="G47" s="239" t="str">
        <f t="shared" si="0"/>
        <v>PERU-01-16-170-07-001 - A</v>
      </c>
      <c r="H47" s="115" t="s">
        <v>113</v>
      </c>
      <c r="I47" s="4" t="s">
        <v>34</v>
      </c>
      <c r="J47" s="117" t="s">
        <v>35</v>
      </c>
      <c r="K47" s="4">
        <v>8</v>
      </c>
      <c r="L47" s="58" t="s">
        <v>143</v>
      </c>
      <c r="M47" s="58" t="s">
        <v>52</v>
      </c>
      <c r="N47" s="116" t="s">
        <v>42</v>
      </c>
      <c r="O47" s="17" t="s">
        <v>39</v>
      </c>
      <c r="P47" s="22" t="s">
        <v>63</v>
      </c>
      <c r="Q47" s="22" t="s">
        <v>114</v>
      </c>
      <c r="R47" s="69" t="str">
        <f t="shared" si="1"/>
        <v>PER-E-8-U6-TSP-001-00-VHHR</v>
      </c>
      <c r="S47" s="117" t="s">
        <v>700</v>
      </c>
      <c r="T47" s="118" t="s">
        <v>742</v>
      </c>
      <c r="U47" s="118"/>
      <c r="V47" s="119" t="s">
        <v>437</v>
      </c>
      <c r="W47" s="160"/>
      <c r="X47" s="111" t="s">
        <v>750</v>
      </c>
      <c r="Y47" s="161"/>
      <c r="Z47" s="71"/>
      <c r="AA47" s="163"/>
      <c r="AB47" s="164"/>
      <c r="AC47" s="164"/>
      <c r="AD47" s="165"/>
      <c r="AE47" s="166"/>
      <c r="AF47" s="167"/>
      <c r="AG47" s="165"/>
      <c r="AH47" s="168"/>
      <c r="AI47" s="169"/>
      <c r="AJ47" s="169"/>
      <c r="AK47" s="169"/>
      <c r="AL47" s="169"/>
      <c r="AM47" s="169"/>
    </row>
    <row r="48" spans="1:39" s="170" customFormat="1" ht="24.75" customHeight="1" x14ac:dyDescent="0.2">
      <c r="A48" s="108" t="s">
        <v>255</v>
      </c>
      <c r="B48" s="108" t="s">
        <v>258</v>
      </c>
      <c r="C48" s="108" t="s">
        <v>605</v>
      </c>
      <c r="D48" s="123"/>
      <c r="E48" s="241" t="s">
        <v>631</v>
      </c>
      <c r="F48" s="114"/>
      <c r="G48" s="239" t="str">
        <f t="shared" si="0"/>
        <v>PERU-01-16-150-17-001 - A</v>
      </c>
      <c r="H48" s="115" t="s">
        <v>113</v>
      </c>
      <c r="I48" s="4" t="s">
        <v>34</v>
      </c>
      <c r="J48" s="117" t="s">
        <v>35</v>
      </c>
      <c r="K48" s="4">
        <v>8</v>
      </c>
      <c r="L48" s="58" t="s">
        <v>143</v>
      </c>
      <c r="M48" s="58" t="s">
        <v>55</v>
      </c>
      <c r="N48" s="116" t="s">
        <v>42</v>
      </c>
      <c r="O48" s="17" t="s">
        <v>39</v>
      </c>
      <c r="P48" s="22" t="s">
        <v>63</v>
      </c>
      <c r="Q48" s="22" t="s">
        <v>114</v>
      </c>
      <c r="R48" s="69" t="str">
        <f t="shared" si="1"/>
        <v>PER-E-8-U6-LAY-001-00-VHHR</v>
      </c>
      <c r="S48" s="117" t="s">
        <v>701</v>
      </c>
      <c r="T48" s="118" t="s">
        <v>743</v>
      </c>
      <c r="U48" s="118"/>
      <c r="V48" s="119" t="s">
        <v>438</v>
      </c>
      <c r="W48" s="160"/>
      <c r="X48" s="111" t="s">
        <v>751</v>
      </c>
      <c r="Y48" s="161"/>
      <c r="Z48" s="71"/>
      <c r="AA48" s="163"/>
      <c r="AB48" s="164"/>
      <c r="AC48" s="164"/>
      <c r="AD48" s="165"/>
      <c r="AE48" s="166"/>
      <c r="AF48" s="167"/>
      <c r="AG48" s="165"/>
      <c r="AH48" s="168"/>
      <c r="AI48" s="169"/>
      <c r="AJ48" s="169"/>
      <c r="AK48" s="169"/>
      <c r="AL48" s="169"/>
      <c r="AM48" s="169"/>
    </row>
    <row r="49" spans="1:39" s="170" customFormat="1" ht="24.75" customHeight="1" x14ac:dyDescent="0.2">
      <c r="A49" s="108" t="s">
        <v>255</v>
      </c>
      <c r="B49" s="108" t="s">
        <v>258</v>
      </c>
      <c r="C49" s="108" t="s">
        <v>607</v>
      </c>
      <c r="D49" s="123"/>
      <c r="E49" s="241" t="s">
        <v>632</v>
      </c>
      <c r="F49" s="114"/>
      <c r="G49" s="239" t="str">
        <f t="shared" si="0"/>
        <v>PERU-01-16-170-41-001 - A</v>
      </c>
      <c r="H49" s="115" t="s">
        <v>113</v>
      </c>
      <c r="I49" s="4" t="s">
        <v>34</v>
      </c>
      <c r="J49" s="20" t="s">
        <v>35</v>
      </c>
      <c r="K49" s="4">
        <v>8</v>
      </c>
      <c r="L49" s="58" t="s">
        <v>143</v>
      </c>
      <c r="M49" s="4" t="s">
        <v>47</v>
      </c>
      <c r="N49" s="116" t="s">
        <v>91</v>
      </c>
      <c r="O49" s="116" t="s">
        <v>39</v>
      </c>
      <c r="P49" s="22" t="s">
        <v>63</v>
      </c>
      <c r="Q49" s="22" t="s">
        <v>114</v>
      </c>
      <c r="R49" s="69" t="str">
        <f t="shared" si="1"/>
        <v>PER-E-8-U6-SOF-100-00-VHHR</v>
      </c>
      <c r="S49" s="120" t="s">
        <v>682</v>
      </c>
      <c r="T49" s="118" t="s">
        <v>744</v>
      </c>
      <c r="U49" s="118"/>
      <c r="V49" s="118" t="s">
        <v>744</v>
      </c>
      <c r="W49" s="160"/>
      <c r="X49" s="111" t="s">
        <v>757</v>
      </c>
      <c r="Y49" s="161"/>
      <c r="Z49" s="71"/>
      <c r="AA49" s="163"/>
      <c r="AB49" s="164"/>
      <c r="AC49" s="164"/>
      <c r="AD49" s="165"/>
      <c r="AE49" s="166"/>
      <c r="AF49" s="167"/>
      <c r="AG49" s="165"/>
      <c r="AH49" s="168"/>
      <c r="AI49" s="169"/>
      <c r="AJ49" s="169"/>
      <c r="AK49" s="169"/>
      <c r="AL49" s="169"/>
      <c r="AM49" s="169"/>
    </row>
    <row r="50" spans="1:39" s="170" customFormat="1" ht="24.75" customHeight="1" x14ac:dyDescent="0.2">
      <c r="A50" s="108" t="s">
        <v>255</v>
      </c>
      <c r="B50" s="108" t="s">
        <v>258</v>
      </c>
      <c r="C50" s="108" t="s">
        <v>607</v>
      </c>
      <c r="D50" s="262"/>
      <c r="E50" s="241" t="s">
        <v>749</v>
      </c>
      <c r="F50" s="114"/>
      <c r="G50" s="239"/>
      <c r="H50" s="115" t="s">
        <v>113</v>
      </c>
      <c r="I50" s="4" t="s">
        <v>34</v>
      </c>
      <c r="J50" s="20" t="s">
        <v>35</v>
      </c>
      <c r="K50" s="4">
        <v>8</v>
      </c>
      <c r="L50" s="58" t="s">
        <v>143</v>
      </c>
      <c r="M50" s="4" t="s">
        <v>50</v>
      </c>
      <c r="N50" s="116" t="s">
        <v>42</v>
      </c>
      <c r="O50" s="116" t="s">
        <v>39</v>
      </c>
      <c r="P50" s="22" t="s">
        <v>63</v>
      </c>
      <c r="Q50" s="22" t="s">
        <v>114</v>
      </c>
      <c r="R50" s="69" t="str">
        <f t="shared" si="1"/>
        <v>PER-E-8-U6-SCH-001-00-VHHR</v>
      </c>
      <c r="S50" s="120"/>
      <c r="T50" s="118"/>
      <c r="U50" s="118"/>
      <c r="V50" s="118" t="s">
        <v>747</v>
      </c>
      <c r="W50" s="160"/>
      <c r="X50" s="264" t="s">
        <v>773</v>
      </c>
      <c r="Y50" s="161"/>
      <c r="Z50" s="71"/>
      <c r="AA50" s="163"/>
      <c r="AB50" s="164"/>
      <c r="AC50" s="164"/>
      <c r="AD50" s="165"/>
      <c r="AE50" s="166"/>
      <c r="AF50" s="167"/>
      <c r="AG50" s="165"/>
      <c r="AH50" s="168"/>
      <c r="AI50" s="169"/>
      <c r="AJ50" s="169"/>
      <c r="AK50" s="169"/>
      <c r="AL50" s="169"/>
      <c r="AM50" s="169"/>
    </row>
    <row r="52" spans="1:39" ht="24.75" customHeight="1" x14ac:dyDescent="0.25">
      <c r="D52" s="140"/>
      <c r="E52" s="109" t="s">
        <v>420</v>
      </c>
    </row>
    <row r="53" spans="1:39" ht="24.75" customHeight="1" x14ac:dyDescent="0.25">
      <c r="D53" s="141"/>
      <c r="E53" s="109" t="s">
        <v>758</v>
      </c>
    </row>
    <row r="54" spans="1:39" ht="24.75" customHeight="1" x14ac:dyDescent="0.25">
      <c r="D54" s="142"/>
      <c r="E54" s="109" t="s">
        <v>421</v>
      </c>
    </row>
    <row r="55" spans="1:39" ht="24.75" customHeight="1" x14ac:dyDescent="0.25">
      <c r="D55" s="143"/>
      <c r="E55" s="109" t="s">
        <v>454</v>
      </c>
    </row>
    <row r="56" spans="1:39" ht="24.75" customHeight="1" x14ac:dyDescent="0.25">
      <c r="D56" s="206"/>
      <c r="E56" s="109" t="s">
        <v>453</v>
      </c>
    </row>
    <row r="57" spans="1:39" ht="24.75" customHeight="1" x14ac:dyDescent="0.25">
      <c r="D57" s="204"/>
      <c r="E57" s="109" t="s">
        <v>760</v>
      </c>
    </row>
  </sheetData>
  <protectedRanges>
    <protectedRange algorithmName="SHA-512" hashValue="DT+g7BNaXiSQyqgnZOKwRrBRMsFzaneKlmj6xf4OtwBIPVKsUvuyVpVK0rC0SpdkhPNlHz8+At1JiF6RyrKsQg==" saltValue="msPR9IRc+iGbx3A9mg/o4w==" spinCount="100000" sqref="R70:R86" name="Range1_1_1"/>
    <protectedRange algorithmName="SHA-512" hashValue="DT+g7BNaXiSQyqgnZOKwRrBRMsFzaneKlmj6xf4OtwBIPVKsUvuyVpVK0rC0SpdkhPNlHz8+At1JiF6RyrKsQg==" saltValue="msPR9IRc+iGbx3A9mg/o4w==" spinCount="100000" sqref="R87" name="Range1_2_1"/>
    <protectedRange algorithmName="SHA-512" hashValue="DT+g7BNaXiSQyqgnZOKwRrBRMsFzaneKlmj6xf4OtwBIPVKsUvuyVpVK0rC0SpdkhPNlHz8+At1JiF6RyrKsQg==" saltValue="msPR9IRc+iGbx3A9mg/o4w==" spinCount="100000" sqref="R88" name="Range1_3_1"/>
    <protectedRange sqref="R88" name="Range2_3_1"/>
    <protectedRange algorithmName="SHA-512" hashValue="DT+g7BNaXiSQyqgnZOKwRrBRMsFzaneKlmj6xf4OtwBIPVKsUvuyVpVK0rC0SpdkhPNlHz8+At1JiF6RyrKsQg==" saltValue="msPR9IRc+iGbx3A9mg/o4w==" spinCount="100000" sqref="R89:R93" name="Range1_4_1"/>
    <protectedRange sqref="R89:R93" name="Range2_4_1"/>
    <protectedRange algorithmName="SHA-512" hashValue="DT+g7BNaXiSQyqgnZOKwRrBRMsFzaneKlmj6xf4OtwBIPVKsUvuyVpVK0rC0SpdkhPNlHz8+At1JiF6RyrKsQg==" saltValue="msPR9IRc+iGbx3A9mg/o4w==" spinCount="100000" sqref="R94:R97" name="Range1_5_1"/>
    <protectedRange sqref="R94:R97" name="Range2_5_1"/>
    <protectedRange algorithmName="SHA-512" hashValue="DT+g7BNaXiSQyqgnZOKwRrBRMsFzaneKlmj6xf4OtwBIPVKsUvuyVpVK0rC0SpdkhPNlHz8+At1JiF6RyrKsQg==" saltValue="msPR9IRc+iGbx3A9mg/o4w==" spinCount="100000" sqref="R98" name="Range1_6_1"/>
    <protectedRange sqref="R98" name="Range2_6_1"/>
    <protectedRange algorithmName="SHA-512" hashValue="DT+g7BNaXiSQyqgnZOKwRrBRMsFzaneKlmj6xf4OtwBIPVKsUvuyVpVK0rC0SpdkhPNlHz8+At1JiF6RyrKsQg==" saltValue="msPR9IRc+iGbx3A9mg/o4w==" spinCount="100000" sqref="R99" name="Range1_7_1"/>
    <protectedRange sqref="R99" name="Range2_7_1"/>
    <protectedRange algorithmName="SHA-512" hashValue="DT+g7BNaXiSQyqgnZOKwRrBRMsFzaneKlmj6xf4OtwBIPVKsUvuyVpVK0rC0SpdkhPNlHz8+At1JiF6RyrKsQg==" saltValue="msPR9IRc+iGbx3A9mg/o4w==" spinCount="100000" sqref="R100:R102" name="Range1_8_1"/>
    <protectedRange sqref="R100:R102" name="Range2_8_1"/>
    <protectedRange algorithmName="SHA-512" hashValue="DT+g7BNaXiSQyqgnZOKwRrBRMsFzaneKlmj6xf4OtwBIPVKsUvuyVpVK0rC0SpdkhPNlHz8+At1JiF6RyrKsQg==" saltValue="msPR9IRc+iGbx3A9mg/o4w==" spinCount="100000" sqref="R103:R104" name="Range1_9_1"/>
    <protectedRange sqref="R103:R104" name="Range2_9_1"/>
    <protectedRange algorithmName="SHA-512" hashValue="DT+g7BNaXiSQyqgnZOKwRrBRMsFzaneKlmj6xf4OtwBIPVKsUvuyVpVK0rC0SpdkhPNlHz8+At1JiF6RyrKsQg==" saltValue="msPR9IRc+iGbx3A9mg/o4w==" spinCount="100000" sqref="R105:R110" name="Range1_10_1"/>
    <protectedRange sqref="R105:R110" name="Range2_10_1"/>
    <protectedRange algorithmName="SHA-512" hashValue="DT+g7BNaXiSQyqgnZOKwRrBRMsFzaneKlmj6xf4OtwBIPVKsUvuyVpVK0rC0SpdkhPNlHz8+At1JiF6RyrKsQg==" saltValue="msPR9IRc+iGbx3A9mg/o4w==" spinCount="100000" sqref="R111" name="Range1_11"/>
    <protectedRange sqref="R111" name="Range2_11"/>
    <protectedRange algorithmName="SHA-512" hashValue="DT+g7BNaXiSQyqgnZOKwRrBRMsFzaneKlmj6xf4OtwBIPVKsUvuyVpVK0rC0SpdkhPNlHz8+At1JiF6RyrKsQg==" saltValue="msPR9IRc+iGbx3A9mg/o4w==" spinCount="100000" sqref="R112:R122" name="Range1_12"/>
    <protectedRange sqref="R112:R122" name="Range2_12"/>
    <protectedRange algorithmName="SHA-512" hashValue="DT+g7BNaXiSQyqgnZOKwRrBRMsFzaneKlmj6xf4OtwBIPVKsUvuyVpVK0rC0SpdkhPNlHz8+At1JiF6RyrKsQg==" saltValue="msPR9IRc+iGbx3A9mg/o4w==" spinCount="100000" sqref="R123" name="Range1_13"/>
    <protectedRange sqref="R123" name="Range2_13"/>
    <protectedRange algorithmName="SHA-512" hashValue="DT+g7BNaXiSQyqgnZOKwRrBRMsFzaneKlmj6xf4OtwBIPVKsUvuyVpVK0rC0SpdkhPNlHz8+At1JiF6RyrKsQg==" saltValue="msPR9IRc+iGbx3A9mg/o4w==" spinCount="100000" sqref="R124:R125" name="Range1_14"/>
    <protectedRange sqref="R124:R125" name="Range2_14"/>
    <protectedRange algorithmName="SHA-512" hashValue="DT+g7BNaXiSQyqgnZOKwRrBRMsFzaneKlmj6xf4OtwBIPVKsUvuyVpVK0rC0SpdkhPNlHz8+At1JiF6RyrKsQg==" saltValue="msPR9IRc+iGbx3A9mg/o4w==" spinCount="100000" sqref="R126" name="Range1_15"/>
    <protectedRange sqref="R126" name="Range2_15"/>
    <protectedRange algorithmName="SHA-512" hashValue="DT+g7BNaXiSQyqgnZOKwRrBRMsFzaneKlmj6xf4OtwBIPVKsUvuyVpVK0rC0SpdkhPNlHz8+At1JiF6RyrKsQg==" saltValue="msPR9IRc+iGbx3A9mg/o4w==" spinCount="100000" sqref="R127" name="Range1_1_1_1"/>
    <protectedRange sqref="R127" name="Range2_1_1_1"/>
    <protectedRange algorithmName="SHA-512" hashValue="DT+g7BNaXiSQyqgnZOKwRrBRMsFzaneKlmj6xf4OtwBIPVKsUvuyVpVK0rC0SpdkhPNlHz8+At1JiF6RyrKsQg==" saltValue="msPR9IRc+iGbx3A9mg/o4w==" spinCount="100000" sqref="R388:R398" name="Range1_22"/>
    <protectedRange sqref="R388:R398" name="Range2_22"/>
    <protectedRange algorithmName="SHA-512" hashValue="DT+g7BNaXiSQyqgnZOKwRrBRMsFzaneKlmj6xf4OtwBIPVKsUvuyVpVK0rC0SpdkhPNlHz8+At1JiF6RyrKsQg==" saltValue="msPR9IRc+iGbx3A9mg/o4w==" spinCount="100000" sqref="R233 R401" name="Range1_1"/>
    <protectedRange sqref="R233 R401" name="Range2"/>
    <protectedRange sqref="R234:R235 R254:R256 R402:R403" name="Range2_4_2"/>
    <protectedRange sqref="R236 R404" name="Range2_4_1_1"/>
    <protectedRange sqref="R237 R405" name="Range2_4_2_1"/>
    <protectedRange algorithmName="SHA-512" hashValue="DT+g7BNaXiSQyqgnZOKwRrBRMsFzaneKlmj6xf4OtwBIPVKsUvuyVpVK0rC0SpdkhPNlHz8+At1JiF6RyrKsQg==" saltValue="msPR9IRc+iGbx3A9mg/o4w==" spinCount="100000" sqref="R294:R296" name="Range1_50"/>
    <protectedRange sqref="R294:R296" name="Range2_50"/>
    <protectedRange algorithmName="SHA-512" hashValue="DT+g7BNaXiSQyqgnZOKwRrBRMsFzaneKlmj6xf4OtwBIPVKsUvuyVpVK0rC0SpdkhPNlHz8+At1JiF6RyrKsQg==" saltValue="msPR9IRc+iGbx3A9mg/o4w==" spinCount="100000" sqref="R297" name="Range1_51"/>
    <protectedRange sqref="R297" name="Range2_51"/>
    <protectedRange algorithmName="SHA-512" hashValue="DT+g7BNaXiSQyqgnZOKwRrBRMsFzaneKlmj6xf4OtwBIPVKsUvuyVpVK0rC0SpdkhPNlHz8+At1JiF6RyrKsQg==" saltValue="msPR9IRc+iGbx3A9mg/o4w==" spinCount="100000" sqref="R298:R302" name="Range1_52"/>
    <protectedRange sqref="R298:R302" name="Range2_52"/>
    <protectedRange algorithmName="SHA-512" hashValue="DT+g7BNaXiSQyqgnZOKwRrBRMsFzaneKlmj6xf4OtwBIPVKsUvuyVpVK0rC0SpdkhPNlHz8+At1JiF6RyrKsQg==" saltValue="msPR9IRc+iGbx3A9mg/o4w==" spinCount="100000" sqref="R303" name="Range1_53"/>
    <protectedRange sqref="R303" name="Range2_53"/>
    <protectedRange sqref="R304" name="Range2_4_11"/>
    <protectedRange sqref="R305:R311" name="Range2_4_12"/>
    <protectedRange algorithmName="SHA-512" hashValue="DT+g7BNaXiSQyqgnZOKwRrBRMsFzaneKlmj6xf4OtwBIPVKsUvuyVpVK0rC0SpdkhPNlHz8+At1JiF6RyrKsQg==" saltValue="msPR9IRc+iGbx3A9mg/o4w==" spinCount="100000" sqref="R312:R313" name="Range1_54"/>
    <protectedRange sqref="R312" name="Range2_54"/>
    <protectedRange algorithmName="SHA-512" hashValue="DT+g7BNaXiSQyqgnZOKwRrBRMsFzaneKlmj6xf4OtwBIPVKsUvuyVpVK0rC0SpdkhPNlHz8+At1JiF6RyrKsQg==" saltValue="msPR9IRc+iGbx3A9mg/o4w==" spinCount="100000" sqref="R314" name="Range1_55"/>
    <protectedRange sqref="R314" name="Range2_55"/>
    <protectedRange algorithmName="SHA-512" hashValue="DT+g7BNaXiSQyqgnZOKwRrBRMsFzaneKlmj6xf4OtwBIPVKsUvuyVpVK0rC0SpdkhPNlHz8+At1JiF6RyrKsQg==" saltValue="msPR9IRc+iGbx3A9mg/o4w==" spinCount="100000" sqref="R315:R322" name="Range1_56"/>
    <protectedRange sqref="R315:R322" name="Range2_56"/>
    <protectedRange algorithmName="SHA-512" hashValue="DT+g7BNaXiSQyqgnZOKwRrBRMsFzaneKlmj6xf4OtwBIPVKsUvuyVpVK0rC0SpdkhPNlHz8+At1JiF6RyrKsQg==" saltValue="msPR9IRc+iGbx3A9mg/o4w==" spinCount="100000" sqref="R323:R325" name="Range1_57"/>
    <protectedRange sqref="R323:R325" name="Range2_57"/>
    <protectedRange sqref="R326" name="Range2_4_13"/>
    <protectedRange algorithmName="SHA-512" hashValue="DT+g7BNaXiSQyqgnZOKwRrBRMsFzaneKlmj6xf4OtwBIPVKsUvuyVpVK0rC0SpdkhPNlHz8+At1JiF6RyrKsQg==" saltValue="msPR9IRc+iGbx3A9mg/o4w==" spinCount="100000" sqref="R327:R328" name="Range1_58"/>
    <protectedRange sqref="R327:R328" name="Range2_58"/>
    <protectedRange algorithmName="SHA-512" hashValue="DT+g7BNaXiSQyqgnZOKwRrBRMsFzaneKlmj6xf4OtwBIPVKsUvuyVpVK0rC0SpdkhPNlHz8+At1JiF6RyrKsQg==" saltValue="msPR9IRc+iGbx3A9mg/o4w==" spinCount="100000" sqref="R329:R331" name="Range1"/>
    <protectedRange sqref="R329:R331" name="Range2_1"/>
    <protectedRange algorithmName="SHA-512" hashValue="DT+g7BNaXiSQyqgnZOKwRrBRMsFzaneKlmj6xf4OtwBIPVKsUvuyVpVK0rC0SpdkhPNlHz8+At1JiF6RyrKsQg==" saltValue="msPR9IRc+iGbx3A9mg/o4w==" spinCount="100000" sqref="D333:D336 R332:R379" name="Range1_2"/>
    <protectedRange sqref="R337:R379 R332" name="Range2_2"/>
    <protectedRange algorithmName="SHA-512" hashValue="DT+g7BNaXiSQyqgnZOKwRrBRMsFzaneKlmj6xf4OtwBIPVKsUvuyVpVK0rC0SpdkhPNlHz8+At1JiF6RyrKsQg==" saltValue="msPR9IRc+iGbx3A9mg/o4w==" spinCount="100000" sqref="R380" name="Range1_3"/>
    <protectedRange sqref="R380" name="Range2_3"/>
  </protectedRanges>
  <autoFilter ref="A3:AM49" xr:uid="{47543EE9-7EC4-4F8C-9D4E-0E95A37D37C4}"/>
  <conditionalFormatting sqref="A3:D3">
    <cfRule type="duplicateValues" dxfId="57" priority="26"/>
    <cfRule type="duplicateValues" dxfId="56" priority="27"/>
  </conditionalFormatting>
  <conditionalFormatting sqref="E1:E3 A1:D2">
    <cfRule type="duplicateValues" dxfId="55" priority="28"/>
    <cfRule type="duplicateValues" dxfId="54" priority="29"/>
  </conditionalFormatting>
  <conditionalFormatting sqref="E36">
    <cfRule type="duplicateValues" dxfId="53" priority="11"/>
    <cfRule type="duplicateValues" dxfId="52" priority="12"/>
  </conditionalFormatting>
  <conditionalFormatting sqref="E47:E50">
    <cfRule type="duplicateValues" dxfId="51" priority="3473"/>
    <cfRule type="duplicateValues" dxfId="50" priority="3474"/>
  </conditionalFormatting>
  <conditionalFormatting sqref="E52:E54 E57">
    <cfRule type="duplicateValues" dxfId="49" priority="1"/>
    <cfRule type="duplicateValues" dxfId="48" priority="2"/>
  </conditionalFormatting>
  <conditionalFormatting sqref="E55:E56">
    <cfRule type="duplicateValues" dxfId="47" priority="3"/>
    <cfRule type="duplicateValues" dxfId="46" priority="4"/>
  </conditionalFormatting>
  <conditionalFormatting sqref="F1:F3">
    <cfRule type="duplicateValues" dxfId="45" priority="30"/>
  </conditionalFormatting>
  <conditionalFormatting sqref="F4:F24 F29:F46">
    <cfRule type="duplicateValues" dxfId="44" priority="19"/>
  </conditionalFormatting>
  <conditionalFormatting sqref="G1:G3">
    <cfRule type="duplicateValues" dxfId="43" priority="31"/>
  </conditionalFormatting>
  <conditionalFormatting sqref="G4:G7 G12:G21 G30:G38 G42:G50">
    <cfRule type="duplicateValues" dxfId="42" priority="3477"/>
    <cfRule type="duplicateValues" dxfId="41" priority="3478"/>
  </conditionalFormatting>
  <conditionalFormatting sqref="G4:G50">
    <cfRule type="duplicateValues" dxfId="40" priority="3485"/>
    <cfRule type="duplicateValues" dxfId="39" priority="3486"/>
    <cfRule type="duplicateValues" dxfId="38" priority="3487"/>
    <cfRule type="duplicateValues" dxfId="37" priority="3488"/>
    <cfRule type="duplicateValues" dxfId="36" priority="3489"/>
  </conditionalFormatting>
  <conditionalFormatting sqref="G11 G15 G6 G19 G29 G33 G45:G50">
    <cfRule type="duplicateValues" dxfId="35" priority="3490"/>
  </conditionalFormatting>
  <conditionalFormatting sqref="R1:R3">
    <cfRule type="duplicateValues" dxfId="34" priority="32"/>
    <cfRule type="duplicateValues" dxfId="33" priority="33"/>
  </conditionalFormatting>
  <conditionalFormatting sqref="R4:R50">
    <cfRule type="duplicateValues" dxfId="32" priority="3497"/>
    <cfRule type="duplicateValues" dxfId="31" priority="3498"/>
  </conditionalFormatting>
  <conditionalFormatting sqref="T3:V3">
    <cfRule type="duplicateValues" dxfId="30" priority="5"/>
    <cfRule type="duplicateValues" dxfId="29" priority="6"/>
  </conditionalFormatting>
  <dataValidations disablePrompts="1" count="2">
    <dataValidation type="list" allowBlank="1" showInputMessage="1" showErrorMessage="1" sqref="K1:K3" xr:uid="{1ACEC88A-9F5C-434E-B7C2-1DEBD6625EC5}">
      <formula1>#REF!</formula1>
    </dataValidation>
    <dataValidation type="list" allowBlank="1" showInputMessage="1" showErrorMessage="1" sqref="I1:I1048576" xr:uid="{9C2C1B01-D883-44C8-8547-39B2960CFDFA}">
      <formula1>"PER"</formula1>
    </dataValidation>
  </dataValidations>
  <printOptions gridLines="1"/>
  <pageMargins left="0.7" right="0.7" top="0.75" bottom="0.75" header="0.3" footer="0.3"/>
  <pageSetup paperSize="8" scale="35" fitToHeight="0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FE9DBCD1-EC1A-44BB-B36C-DF516ADDE5B8}">
          <x14:formula1>
            <xm:f>Abbreviations!$B$6:$B$11</xm:f>
          </x14:formula1>
          <xm:sqref>H1:H3</xm:sqref>
        </x14:dataValidation>
        <x14:dataValidation type="list" allowBlank="1" showInputMessage="1" showErrorMessage="1" xr:uid="{6C732454-2F52-4DD5-BE9B-AAC31AA774B5}">
          <x14:formula1>
            <xm:f>Abbreviations!$L$6:$L$43</xm:f>
          </x14:formula1>
          <xm:sqref>M1:M3</xm:sqref>
        </x14:dataValidation>
        <x14:dataValidation type="list" allowBlank="1" showInputMessage="1" showErrorMessage="1" xr:uid="{B0A013B1-AF79-463B-A091-BE6C06B6BC33}">
          <x14:formula1>
            <xm:f>Abbreviations!$E$6:$E$14</xm:f>
          </x14:formula1>
          <xm:sqref>J1:J3</xm:sqref>
        </x14:dataValidation>
        <x14:dataValidation type="list" allowBlank="1" showInputMessage="1" showErrorMessage="1" xr:uid="{E297B894-015E-4465-B40D-1345CF6118FA}">
          <x14:formula1>
            <xm:f>Abbreviations!$R$6:$R$13</xm:f>
          </x14:formula1>
          <xm:sqref>P1:Q3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3EE9-7EC4-4F8C-9D4E-0E95A37D37C4}">
  <sheetPr>
    <tabColor theme="0"/>
    <pageSetUpPr fitToPage="1"/>
  </sheetPr>
  <dimension ref="A1:AM57"/>
  <sheetViews>
    <sheetView tabSelected="1" topLeftCell="B1" zoomScale="70" zoomScaleNormal="70" workbookViewId="0">
      <pane ySplit="3" topLeftCell="A25" activePane="bottomLeft" state="frozen"/>
      <selection activeCell="T22" sqref="T22"/>
      <selection pane="bottomLeft" activeCell="U35" sqref="U35"/>
    </sheetView>
  </sheetViews>
  <sheetFormatPr defaultColWidth="9.42578125" defaultRowHeight="24.75" customHeight="1" x14ac:dyDescent="0.25"/>
  <cols>
    <col min="1" max="1" width="9.42578125" style="35" customWidth="1"/>
    <col min="2" max="2" width="9.42578125" style="35"/>
    <col min="3" max="3" width="9.42578125" style="253"/>
    <col min="4" max="4" width="18.42578125" style="35" customWidth="1"/>
    <col min="5" max="5" width="32.7109375" style="254" customWidth="1"/>
    <col min="6" max="6" width="21.140625" style="255" hidden="1" customWidth="1"/>
    <col min="7" max="7" width="16.85546875" style="257" hidden="1" customWidth="1"/>
    <col min="8" max="8" width="10.5703125" style="258" hidden="1" customWidth="1"/>
    <col min="9" max="9" width="10.5703125" style="253" hidden="1" customWidth="1"/>
    <col min="10" max="10" width="13.5703125" style="76" hidden="1" customWidth="1"/>
    <col min="11" max="11" width="13.5703125" style="253" hidden="1" customWidth="1"/>
    <col min="12" max="12" width="13.5703125" style="16" hidden="1" customWidth="1"/>
    <col min="13" max="13" width="13.5703125" style="76" hidden="1" customWidth="1"/>
    <col min="14" max="14" width="13.5703125" style="259" hidden="1" customWidth="1"/>
    <col min="15" max="15" width="9.5703125" style="35" hidden="1" customWidth="1"/>
    <col min="16" max="16" width="10" style="260" hidden="1" customWidth="1"/>
    <col min="17" max="17" width="26" style="260" hidden="1" customWidth="1"/>
    <col min="18" max="18" width="33" style="253" customWidth="1"/>
    <col min="19" max="19" width="25.42578125" style="253" bestFit="1" customWidth="1"/>
    <col min="20" max="20" width="67.85546875" style="253" bestFit="1" customWidth="1"/>
    <col min="21" max="21" width="37.5703125" style="253" customWidth="1"/>
    <col min="22" max="22" width="68.28515625" style="256" customWidth="1"/>
    <col min="23" max="23" width="16.5703125" style="243" customWidth="1"/>
    <col min="24" max="24" width="173.42578125" style="244" bestFit="1" customWidth="1"/>
    <col min="25" max="25" width="13.42578125" style="245" customWidth="1"/>
    <col min="26" max="26" width="14.42578125" style="242" customWidth="1"/>
    <col min="27" max="27" width="10.42578125" style="246" customWidth="1"/>
    <col min="28" max="28" width="13.5703125" style="247" customWidth="1"/>
    <col min="29" max="29" width="45.42578125" style="247" customWidth="1"/>
    <col min="30" max="30" width="18.5703125" style="248" customWidth="1"/>
    <col min="31" max="31" width="14.42578125" style="249" customWidth="1"/>
    <col min="32" max="32" width="10.42578125" style="250" customWidth="1"/>
    <col min="33" max="33" width="13.5703125" style="248" customWidth="1"/>
    <col min="34" max="34" width="45.42578125" style="251" customWidth="1"/>
    <col min="35" max="35" width="19.5703125" style="252" customWidth="1"/>
    <col min="36" max="36" width="14.42578125" style="252" customWidth="1"/>
    <col min="37" max="37" width="10.42578125" style="252" customWidth="1"/>
    <col min="38" max="38" width="13.5703125" style="252" customWidth="1"/>
    <col min="39" max="39" width="45.42578125" style="252" customWidth="1"/>
    <col min="40" max="16384" width="9.42578125" style="35"/>
  </cols>
  <sheetData>
    <row r="1" spans="1:39" ht="29.25" thickBot="1" x14ac:dyDescent="0.25">
      <c r="A1" s="15"/>
      <c r="B1" s="15"/>
      <c r="C1" s="15"/>
      <c r="D1" s="15"/>
      <c r="E1" s="34"/>
      <c r="F1" s="21" t="s">
        <v>0</v>
      </c>
      <c r="G1" s="12"/>
      <c r="H1" s="15"/>
      <c r="I1" s="15"/>
      <c r="J1" s="82"/>
      <c r="K1" s="15"/>
      <c r="L1" s="15"/>
      <c r="M1" s="82"/>
      <c r="N1" s="15"/>
      <c r="O1" s="5"/>
      <c r="P1" s="15"/>
      <c r="Q1" s="15"/>
      <c r="R1" s="15"/>
      <c r="S1" s="15"/>
      <c r="T1" s="15"/>
      <c r="U1" s="15"/>
      <c r="V1" s="34"/>
      <c r="W1" s="29"/>
      <c r="X1" s="83"/>
      <c r="Y1" s="84" t="s">
        <v>1</v>
      </c>
      <c r="Z1" s="70"/>
      <c r="AA1" s="86"/>
      <c r="AB1" s="87"/>
      <c r="AC1" s="87"/>
      <c r="AD1" s="88" t="s">
        <v>2</v>
      </c>
      <c r="AE1" s="89"/>
      <c r="AF1" s="90"/>
      <c r="AG1" s="91"/>
      <c r="AH1" s="92"/>
      <c r="AI1" s="93" t="s">
        <v>3</v>
      </c>
      <c r="AJ1" s="93"/>
      <c r="AK1" s="93"/>
      <c r="AL1" s="93"/>
      <c r="AM1" s="94"/>
    </row>
    <row r="2" spans="1:39" ht="28.35" customHeight="1" thickBot="1" x14ac:dyDescent="0.25">
      <c r="A2" s="63"/>
      <c r="B2" s="63"/>
      <c r="C2" s="63"/>
      <c r="D2" s="63"/>
      <c r="E2" s="78" t="s">
        <v>138</v>
      </c>
      <c r="F2" s="14"/>
      <c r="G2" s="13"/>
      <c r="H2" s="2"/>
      <c r="I2" s="2"/>
      <c r="J2" s="95"/>
      <c r="K2" s="2"/>
      <c r="L2" s="2"/>
      <c r="M2" s="95"/>
      <c r="N2" s="2"/>
      <c r="O2" s="2"/>
      <c r="P2" s="2"/>
      <c r="Q2" s="2"/>
      <c r="R2" s="2"/>
      <c r="S2" s="2"/>
      <c r="T2" s="2"/>
      <c r="U2" s="2"/>
      <c r="V2" s="61"/>
      <c r="W2" s="31"/>
      <c r="X2" s="96"/>
      <c r="Y2" s="66" t="s">
        <v>5</v>
      </c>
      <c r="Z2" s="72"/>
      <c r="AA2" s="23" t="s">
        <v>6</v>
      </c>
      <c r="AB2" s="9"/>
      <c r="AC2" s="9"/>
      <c r="AD2" s="10" t="s">
        <v>5</v>
      </c>
      <c r="AE2" s="33"/>
      <c r="AF2" s="25" t="s">
        <v>6</v>
      </c>
      <c r="AG2" s="24"/>
      <c r="AH2" s="8"/>
      <c r="AI2" s="6" t="s">
        <v>5</v>
      </c>
      <c r="AJ2" s="6"/>
      <c r="AK2" s="7" t="s">
        <v>6</v>
      </c>
      <c r="AL2" s="7"/>
      <c r="AM2" s="18"/>
    </row>
    <row r="3" spans="1:39" s="64" customFormat="1" ht="45" x14ac:dyDescent="0.25">
      <c r="A3" s="145" t="s">
        <v>7</v>
      </c>
      <c r="B3" s="145" t="s">
        <v>8</v>
      </c>
      <c r="C3" s="145" t="s">
        <v>9</v>
      </c>
      <c r="D3" s="145" t="s">
        <v>10</v>
      </c>
      <c r="E3" s="236" t="s">
        <v>11</v>
      </c>
      <c r="F3" s="237" t="s">
        <v>12</v>
      </c>
      <c r="G3" s="211" t="s">
        <v>13</v>
      </c>
      <c r="H3" s="60" t="s">
        <v>43</v>
      </c>
      <c r="I3" s="60" t="s">
        <v>15</v>
      </c>
      <c r="J3" s="60" t="s">
        <v>16</v>
      </c>
      <c r="K3" s="60" t="s">
        <v>17</v>
      </c>
      <c r="L3" s="60" t="s">
        <v>18</v>
      </c>
      <c r="M3" s="60" t="s">
        <v>19</v>
      </c>
      <c r="N3" s="146" t="s">
        <v>20</v>
      </c>
      <c r="O3" s="60" t="s">
        <v>21</v>
      </c>
      <c r="P3" s="147" t="s">
        <v>22</v>
      </c>
      <c r="Q3" s="147" t="s">
        <v>23</v>
      </c>
      <c r="R3" s="60" t="s">
        <v>24</v>
      </c>
      <c r="S3" s="60" t="s">
        <v>25</v>
      </c>
      <c r="T3" s="60" t="s">
        <v>488</v>
      </c>
      <c r="U3" s="60" t="s">
        <v>799</v>
      </c>
      <c r="V3" s="60" t="s">
        <v>26</v>
      </c>
      <c r="W3" s="148" t="s">
        <v>27</v>
      </c>
      <c r="X3" s="149" t="s">
        <v>28</v>
      </c>
      <c r="Y3" s="150" t="s">
        <v>29</v>
      </c>
      <c r="Z3" s="238" t="s">
        <v>30</v>
      </c>
      <c r="AA3" s="212" t="s">
        <v>31</v>
      </c>
      <c r="AB3" s="213" t="s">
        <v>30</v>
      </c>
      <c r="AC3" s="213" t="s">
        <v>32</v>
      </c>
      <c r="AD3" s="152" t="s">
        <v>29</v>
      </c>
      <c r="AE3" s="153" t="s">
        <v>30</v>
      </c>
      <c r="AF3" s="154" t="s">
        <v>31</v>
      </c>
      <c r="AG3" s="155" t="s">
        <v>30</v>
      </c>
      <c r="AH3" s="214" t="s">
        <v>32</v>
      </c>
      <c r="AI3" s="156" t="s">
        <v>29</v>
      </c>
      <c r="AJ3" s="157" t="s">
        <v>30</v>
      </c>
      <c r="AK3" s="215" t="s">
        <v>31</v>
      </c>
      <c r="AL3" s="215" t="s">
        <v>30</v>
      </c>
      <c r="AM3" s="216" t="s">
        <v>32</v>
      </c>
    </row>
    <row r="4" spans="1:39" s="170" customFormat="1" ht="24.75" customHeight="1" x14ac:dyDescent="0.2">
      <c r="A4" s="108" t="s">
        <v>255</v>
      </c>
      <c r="B4" s="108" t="s">
        <v>258</v>
      </c>
      <c r="C4" s="108" t="s">
        <v>422</v>
      </c>
      <c r="D4" s="123"/>
      <c r="E4" s="118" t="s">
        <v>150</v>
      </c>
      <c r="F4" s="26"/>
      <c r="G4" s="239" t="str">
        <f t="shared" ref="G4:G49" si="0">E4&amp;" - "&amp;H4</f>
        <v>PERU-01-17-111-14-003 - A</v>
      </c>
      <c r="H4" s="117" t="s">
        <v>113</v>
      </c>
      <c r="I4" s="117" t="s">
        <v>34</v>
      </c>
      <c r="J4" s="117" t="s">
        <v>35</v>
      </c>
      <c r="K4" s="233">
        <v>2</v>
      </c>
      <c r="L4" s="117" t="s">
        <v>139</v>
      </c>
      <c r="M4" s="117" t="s">
        <v>68</v>
      </c>
      <c r="N4" s="117" t="s">
        <v>42</v>
      </c>
      <c r="O4" s="116" t="s">
        <v>39</v>
      </c>
      <c r="P4" s="117" t="s">
        <v>63</v>
      </c>
      <c r="Q4" s="27" t="s">
        <v>149</v>
      </c>
      <c r="R4" s="69" t="str">
        <f t="shared" ref="R4:R49" si="1">CONCATENATE(,I4,"-",J4,"-",K4,"-",L4,"-",M4,"-",N4,"-",O4,"-",P4)</f>
        <v>PER-E-2-U7-ASB-001-00-VHHR</v>
      </c>
      <c r="S4" s="27" t="s">
        <v>151</v>
      </c>
      <c r="T4" s="119" t="s">
        <v>491</v>
      </c>
      <c r="U4" s="119"/>
      <c r="V4" s="57" t="s">
        <v>69</v>
      </c>
      <c r="W4" s="160"/>
      <c r="X4" s="111" t="s">
        <v>751</v>
      </c>
      <c r="Y4" s="161"/>
      <c r="Z4" s="71"/>
      <c r="AA4" s="163"/>
      <c r="AB4" s="164"/>
      <c r="AC4" s="164"/>
      <c r="AD4" s="165"/>
      <c r="AE4" s="166"/>
      <c r="AF4" s="167"/>
      <c r="AG4" s="165"/>
      <c r="AH4" s="168"/>
      <c r="AI4" s="169"/>
      <c r="AJ4" s="169"/>
      <c r="AK4" s="169"/>
      <c r="AL4" s="169"/>
      <c r="AM4" s="169"/>
    </row>
    <row r="5" spans="1:39" s="170" customFormat="1" ht="24.75" customHeight="1" x14ac:dyDescent="0.2">
      <c r="A5" s="108" t="s">
        <v>255</v>
      </c>
      <c r="B5" s="108" t="s">
        <v>258</v>
      </c>
      <c r="C5" s="108" t="s">
        <v>422</v>
      </c>
      <c r="D5" s="122" t="s">
        <v>800</v>
      </c>
      <c r="E5" s="118" t="s">
        <v>152</v>
      </c>
      <c r="F5" s="26"/>
      <c r="G5" s="239" t="str">
        <f t="shared" si="0"/>
        <v>PERU-01-17-111-31-001 - A</v>
      </c>
      <c r="H5" s="117" t="s">
        <v>113</v>
      </c>
      <c r="I5" s="117" t="s">
        <v>34</v>
      </c>
      <c r="J5" s="117" t="s">
        <v>35</v>
      </c>
      <c r="K5" s="233">
        <v>2</v>
      </c>
      <c r="L5" s="117" t="s">
        <v>139</v>
      </c>
      <c r="M5" s="117" t="s">
        <v>50</v>
      </c>
      <c r="N5" s="117" t="s">
        <v>38</v>
      </c>
      <c r="O5" s="116" t="s">
        <v>39</v>
      </c>
      <c r="P5" s="117" t="s">
        <v>63</v>
      </c>
      <c r="Q5" s="27" t="s">
        <v>149</v>
      </c>
      <c r="R5" s="69" t="str">
        <f t="shared" si="1"/>
        <v>PER-E-2-U7-SCH-002-00-VHHR</v>
      </c>
      <c r="S5" s="117" t="s">
        <v>153</v>
      </c>
      <c r="T5" s="119" t="s">
        <v>494</v>
      </c>
      <c r="U5" s="119" t="s">
        <v>801</v>
      </c>
      <c r="V5" s="119" t="s">
        <v>96</v>
      </c>
      <c r="W5" s="160"/>
      <c r="X5" s="203" t="s">
        <v>463</v>
      </c>
      <c r="Y5" s="161"/>
      <c r="Z5" s="71"/>
      <c r="AA5" s="163"/>
      <c r="AB5" s="164"/>
      <c r="AC5" s="164"/>
      <c r="AD5" s="165"/>
      <c r="AE5" s="166"/>
      <c r="AF5" s="167"/>
      <c r="AG5" s="165"/>
      <c r="AH5" s="168"/>
      <c r="AI5" s="169"/>
      <c r="AJ5" s="169"/>
      <c r="AK5" s="169"/>
      <c r="AL5" s="169"/>
      <c r="AM5" s="169"/>
    </row>
    <row r="6" spans="1:39" s="170" customFormat="1" ht="24.75" customHeight="1" x14ac:dyDescent="0.2">
      <c r="A6" s="108" t="s">
        <v>258</v>
      </c>
      <c r="B6" s="108" t="s">
        <v>256</v>
      </c>
      <c r="C6" s="108" t="s">
        <v>423</v>
      </c>
      <c r="D6" s="205"/>
      <c r="E6" s="118" t="s">
        <v>154</v>
      </c>
      <c r="F6" s="26"/>
      <c r="G6" s="239" t="str">
        <f t="shared" si="0"/>
        <v>PERU-01-17-111-70-003 - A</v>
      </c>
      <c r="H6" s="117" t="s">
        <v>113</v>
      </c>
      <c r="I6" s="117" t="s">
        <v>34</v>
      </c>
      <c r="J6" s="117" t="s">
        <v>35</v>
      </c>
      <c r="K6" s="233">
        <v>2</v>
      </c>
      <c r="L6" s="117" t="s">
        <v>139</v>
      </c>
      <c r="M6" s="117" t="s">
        <v>85</v>
      </c>
      <c r="N6" s="117" t="s">
        <v>42</v>
      </c>
      <c r="O6" s="116" t="s">
        <v>39</v>
      </c>
      <c r="P6" s="117" t="s">
        <v>63</v>
      </c>
      <c r="Q6" s="27" t="s">
        <v>149</v>
      </c>
      <c r="R6" s="69" t="str">
        <f t="shared" si="1"/>
        <v>PER-E-2-U7-MAN-001-00-VHHR</v>
      </c>
      <c r="S6" s="117" t="s">
        <v>155</v>
      </c>
      <c r="T6" s="119"/>
      <c r="U6" s="119"/>
      <c r="V6" s="119" t="s">
        <v>88</v>
      </c>
      <c r="W6" s="160"/>
      <c r="X6" s="203" t="s">
        <v>772</v>
      </c>
      <c r="Y6" s="161"/>
      <c r="Z6" s="71"/>
      <c r="AA6" s="163"/>
      <c r="AB6" s="164"/>
      <c r="AC6" s="164"/>
      <c r="AD6" s="165"/>
      <c r="AE6" s="166"/>
      <c r="AF6" s="167"/>
      <c r="AG6" s="165"/>
      <c r="AH6" s="168"/>
      <c r="AI6" s="169"/>
      <c r="AJ6" s="169"/>
      <c r="AK6" s="169"/>
      <c r="AL6" s="169"/>
      <c r="AM6" s="169"/>
    </row>
    <row r="7" spans="1:39" s="170" customFormat="1" ht="24.75" customHeight="1" x14ac:dyDescent="0.2">
      <c r="A7" s="108" t="s">
        <v>255</v>
      </c>
      <c r="B7" s="108" t="s">
        <v>258</v>
      </c>
      <c r="C7" s="108" t="s">
        <v>424</v>
      </c>
      <c r="D7" s="122"/>
      <c r="E7" s="118" t="s">
        <v>156</v>
      </c>
      <c r="F7" s="26"/>
      <c r="G7" s="239" t="str">
        <f t="shared" si="0"/>
        <v>PERU-01-17-111-34-003 - A</v>
      </c>
      <c r="H7" s="117" t="s">
        <v>113</v>
      </c>
      <c r="I7" s="117" t="s">
        <v>34</v>
      </c>
      <c r="J7" s="117" t="s">
        <v>35</v>
      </c>
      <c r="K7" s="233">
        <v>2</v>
      </c>
      <c r="L7" s="117" t="s">
        <v>139</v>
      </c>
      <c r="M7" s="117" t="s">
        <v>47</v>
      </c>
      <c r="N7" s="117" t="s">
        <v>51</v>
      </c>
      <c r="O7" s="116" t="s">
        <v>39</v>
      </c>
      <c r="P7" s="117" t="s">
        <v>63</v>
      </c>
      <c r="Q7" s="27" t="s">
        <v>149</v>
      </c>
      <c r="R7" s="69" t="str">
        <f t="shared" si="1"/>
        <v>PER-E-2-U7-SOF-101-00-VHHR</v>
      </c>
      <c r="S7" s="117" t="s">
        <v>157</v>
      </c>
      <c r="T7" s="119" t="s">
        <v>496</v>
      </c>
      <c r="U7" s="119"/>
      <c r="V7" s="119" t="s">
        <v>94</v>
      </c>
      <c r="W7" s="160"/>
      <c r="X7" s="203" t="s">
        <v>464</v>
      </c>
      <c r="Y7" s="161"/>
      <c r="Z7" s="71"/>
      <c r="AA7" s="163"/>
      <c r="AB7" s="164"/>
      <c r="AC7" s="164"/>
      <c r="AD7" s="165"/>
      <c r="AE7" s="166"/>
      <c r="AF7" s="167"/>
      <c r="AG7" s="165"/>
      <c r="AH7" s="168"/>
      <c r="AI7" s="169"/>
      <c r="AJ7" s="169"/>
      <c r="AK7" s="169"/>
      <c r="AL7" s="169"/>
      <c r="AM7" s="169"/>
    </row>
    <row r="8" spans="1:39" s="170" customFormat="1" ht="24.75" customHeight="1" x14ac:dyDescent="0.2">
      <c r="A8" s="108" t="s">
        <v>255</v>
      </c>
      <c r="B8" s="108" t="s">
        <v>258</v>
      </c>
      <c r="C8" s="108" t="s">
        <v>422</v>
      </c>
      <c r="D8" s="123"/>
      <c r="E8" s="118" t="s">
        <v>158</v>
      </c>
      <c r="F8" s="26"/>
      <c r="G8" s="239" t="str">
        <f t="shared" si="0"/>
        <v>PERU-01-17-111-23-002 - A</v>
      </c>
      <c r="H8" s="117" t="s">
        <v>113</v>
      </c>
      <c r="I8" s="117" t="s">
        <v>34</v>
      </c>
      <c r="J8" s="117" t="s">
        <v>35</v>
      </c>
      <c r="K8" s="233">
        <v>2</v>
      </c>
      <c r="L8" s="117" t="s">
        <v>139</v>
      </c>
      <c r="M8" s="117" t="s">
        <v>71</v>
      </c>
      <c r="N8" s="117" t="s">
        <v>42</v>
      </c>
      <c r="O8" s="116" t="s">
        <v>39</v>
      </c>
      <c r="P8" s="117" t="s">
        <v>63</v>
      </c>
      <c r="Q8" s="27" t="s">
        <v>149</v>
      </c>
      <c r="R8" s="69" t="str">
        <f t="shared" si="1"/>
        <v>PER-E-2-U7-LST-001-00-VHHR</v>
      </c>
      <c r="S8" s="240" t="s">
        <v>159</v>
      </c>
      <c r="T8" s="119" t="s">
        <v>493</v>
      </c>
      <c r="U8" s="119"/>
      <c r="V8" s="119" t="s">
        <v>72</v>
      </c>
      <c r="W8" s="160"/>
      <c r="X8" s="111" t="s">
        <v>753</v>
      </c>
      <c r="Y8" s="161"/>
      <c r="Z8" s="71"/>
      <c r="AA8" s="163"/>
      <c r="AB8" s="164"/>
      <c r="AC8" s="164"/>
      <c r="AD8" s="165"/>
      <c r="AE8" s="166"/>
      <c r="AF8" s="167"/>
      <c r="AG8" s="165"/>
      <c r="AH8" s="168"/>
      <c r="AI8" s="169"/>
      <c r="AJ8" s="169"/>
      <c r="AK8" s="169"/>
      <c r="AL8" s="169"/>
      <c r="AM8" s="169"/>
    </row>
    <row r="9" spans="1:39" s="170" customFormat="1" ht="24.75" customHeight="1" x14ac:dyDescent="0.2">
      <c r="A9" s="108" t="s">
        <v>255</v>
      </c>
      <c r="B9" s="108" t="s">
        <v>258</v>
      </c>
      <c r="C9" s="108" t="s">
        <v>422</v>
      </c>
      <c r="D9" s="123"/>
      <c r="E9" s="118" t="s">
        <v>160</v>
      </c>
      <c r="F9" s="26"/>
      <c r="G9" s="239" t="str">
        <f t="shared" si="0"/>
        <v>PERU-01-17-111-33-001 - A</v>
      </c>
      <c r="H9" s="117" t="s">
        <v>113</v>
      </c>
      <c r="I9" s="117" t="s">
        <v>34</v>
      </c>
      <c r="J9" s="117" t="s">
        <v>35</v>
      </c>
      <c r="K9" s="233">
        <v>2</v>
      </c>
      <c r="L9" s="117" t="s">
        <v>139</v>
      </c>
      <c r="M9" s="117" t="s">
        <v>76</v>
      </c>
      <c r="N9" s="117" t="s">
        <v>42</v>
      </c>
      <c r="O9" s="116" t="s">
        <v>39</v>
      </c>
      <c r="P9" s="117" t="s">
        <v>63</v>
      </c>
      <c r="Q9" s="27" t="s">
        <v>149</v>
      </c>
      <c r="R9" s="69" t="str">
        <f t="shared" si="1"/>
        <v>PER-E-2-U7-ROU-001-00-VHHR</v>
      </c>
      <c r="S9" s="117" t="s">
        <v>161</v>
      </c>
      <c r="T9" s="119" t="s">
        <v>492</v>
      </c>
      <c r="U9" s="119"/>
      <c r="V9" s="119" t="s">
        <v>77</v>
      </c>
      <c r="W9" s="160"/>
      <c r="X9" s="111" t="s">
        <v>753</v>
      </c>
      <c r="Y9" s="161"/>
      <c r="Z9" s="71"/>
      <c r="AA9" s="163"/>
      <c r="AB9" s="164"/>
      <c r="AC9" s="164"/>
      <c r="AD9" s="165"/>
      <c r="AE9" s="166"/>
      <c r="AF9" s="167"/>
      <c r="AG9" s="165"/>
      <c r="AH9" s="168"/>
      <c r="AI9" s="169"/>
      <c r="AJ9" s="169"/>
      <c r="AK9" s="169"/>
      <c r="AL9" s="169"/>
      <c r="AM9" s="169"/>
    </row>
    <row r="10" spans="1:39" s="170" customFormat="1" ht="24.75" customHeight="1" x14ac:dyDescent="0.2">
      <c r="A10" s="108" t="s">
        <v>256</v>
      </c>
      <c r="B10" s="108" t="s">
        <v>256</v>
      </c>
      <c r="C10" s="108" t="s">
        <v>423</v>
      </c>
      <c r="D10" s="207"/>
      <c r="E10" s="118" t="s">
        <v>162</v>
      </c>
      <c r="F10" s="26"/>
      <c r="G10" s="239" t="str">
        <f t="shared" si="0"/>
        <v>PERU-01-17-111-61-002 - A</v>
      </c>
      <c r="H10" s="117" t="s">
        <v>113</v>
      </c>
      <c r="I10" s="117" t="s">
        <v>34</v>
      </c>
      <c r="J10" s="117" t="s">
        <v>35</v>
      </c>
      <c r="K10" s="233">
        <v>2</v>
      </c>
      <c r="L10" s="117" t="s">
        <v>139</v>
      </c>
      <c r="M10" s="117" t="s">
        <v>79</v>
      </c>
      <c r="N10" s="117" t="s">
        <v>42</v>
      </c>
      <c r="O10" s="116" t="s">
        <v>111</v>
      </c>
      <c r="P10" s="117" t="s">
        <v>63</v>
      </c>
      <c r="Q10" s="27" t="s">
        <v>149</v>
      </c>
      <c r="R10" s="69" t="str">
        <f t="shared" si="1"/>
        <v>PER-E-2-U7-FAT-001-01-VHHR</v>
      </c>
      <c r="S10" s="117" t="s">
        <v>163</v>
      </c>
      <c r="T10" s="119" t="s">
        <v>798</v>
      </c>
      <c r="U10" s="119"/>
      <c r="V10" s="119" t="s">
        <v>80</v>
      </c>
      <c r="W10" s="160"/>
      <c r="X10" s="111" t="s">
        <v>764</v>
      </c>
      <c r="Y10" s="161"/>
      <c r="Z10" s="71"/>
      <c r="AA10" s="163"/>
      <c r="AB10" s="164"/>
      <c r="AC10" s="164"/>
      <c r="AD10" s="165"/>
      <c r="AE10" s="166"/>
      <c r="AF10" s="167"/>
      <c r="AG10" s="165"/>
      <c r="AH10" s="168"/>
      <c r="AI10" s="169"/>
      <c r="AJ10" s="169"/>
      <c r="AK10" s="169"/>
      <c r="AL10" s="169"/>
      <c r="AM10" s="169"/>
    </row>
    <row r="11" spans="1:39" s="170" customFormat="1" ht="24.75" customHeight="1" x14ac:dyDescent="0.2">
      <c r="A11" s="108" t="s">
        <v>256</v>
      </c>
      <c r="B11" s="108" t="s">
        <v>256</v>
      </c>
      <c r="C11" s="108" t="s">
        <v>423</v>
      </c>
      <c r="D11" s="207"/>
      <c r="E11" s="118" t="s">
        <v>164</v>
      </c>
      <c r="F11" s="26"/>
      <c r="G11" s="239" t="str">
        <f t="shared" si="0"/>
        <v>PERU-01-17-111-52-001 - A</v>
      </c>
      <c r="H11" s="117" t="s">
        <v>113</v>
      </c>
      <c r="I11" s="117" t="s">
        <v>34</v>
      </c>
      <c r="J11" s="117" t="s">
        <v>35</v>
      </c>
      <c r="K11" s="233">
        <v>2</v>
      </c>
      <c r="L11" s="117" t="s">
        <v>139</v>
      </c>
      <c r="M11" s="117" t="s">
        <v>82</v>
      </c>
      <c r="N11" s="117" t="s">
        <v>42</v>
      </c>
      <c r="O11" s="116" t="s">
        <v>39</v>
      </c>
      <c r="P11" s="117" t="s">
        <v>63</v>
      </c>
      <c r="Q11" s="27" t="s">
        <v>149</v>
      </c>
      <c r="R11" s="69" t="str">
        <f t="shared" si="1"/>
        <v>PER-E-2-U7-CMM-001-00-VHHR</v>
      </c>
      <c r="S11" s="117" t="s">
        <v>165</v>
      </c>
      <c r="T11" s="119" t="s">
        <v>797</v>
      </c>
      <c r="U11" s="119"/>
      <c r="V11" s="119" t="s">
        <v>166</v>
      </c>
      <c r="W11" s="160"/>
      <c r="X11" s="111" t="s">
        <v>764</v>
      </c>
      <c r="Y11" s="161"/>
      <c r="Z11" s="71"/>
      <c r="AA11" s="163"/>
      <c r="AB11" s="164"/>
      <c r="AC11" s="164"/>
      <c r="AD11" s="165"/>
      <c r="AE11" s="166"/>
      <c r="AF11" s="167"/>
      <c r="AG11" s="165"/>
      <c r="AH11" s="168"/>
      <c r="AI11" s="169"/>
      <c r="AJ11" s="169"/>
      <c r="AK11" s="169"/>
      <c r="AL11" s="169"/>
      <c r="AM11" s="169"/>
    </row>
    <row r="12" spans="1:39" s="170" customFormat="1" ht="24.75" customHeight="1" x14ac:dyDescent="0.2">
      <c r="A12" s="108" t="s">
        <v>258</v>
      </c>
      <c r="B12" s="108" t="s">
        <v>256</v>
      </c>
      <c r="C12" s="108" t="s">
        <v>423</v>
      </c>
      <c r="D12" s="205"/>
      <c r="E12" s="118" t="s">
        <v>167</v>
      </c>
      <c r="F12" s="26"/>
      <c r="G12" s="239" t="str">
        <f t="shared" si="0"/>
        <v>PERU-01-17-111-70-002 - A</v>
      </c>
      <c r="H12" s="117" t="s">
        <v>113</v>
      </c>
      <c r="I12" s="117" t="s">
        <v>34</v>
      </c>
      <c r="J12" s="117" t="s">
        <v>35</v>
      </c>
      <c r="K12" s="233">
        <v>2</v>
      </c>
      <c r="L12" s="117" t="s">
        <v>139</v>
      </c>
      <c r="M12" s="117" t="s">
        <v>85</v>
      </c>
      <c r="N12" s="117" t="s">
        <v>38</v>
      </c>
      <c r="O12" s="116" t="s">
        <v>39</v>
      </c>
      <c r="P12" s="117" t="s">
        <v>63</v>
      </c>
      <c r="Q12" s="27" t="s">
        <v>149</v>
      </c>
      <c r="R12" s="69" t="str">
        <f t="shared" si="1"/>
        <v>PER-E-2-U7-MAN-002-00-VHHR</v>
      </c>
      <c r="S12" s="117" t="s">
        <v>168</v>
      </c>
      <c r="T12" s="119"/>
      <c r="U12" s="119"/>
      <c r="V12" s="119" t="s">
        <v>86</v>
      </c>
      <c r="W12" s="160"/>
      <c r="X12" s="203" t="s">
        <v>772</v>
      </c>
      <c r="Y12" s="161"/>
      <c r="Z12" s="71"/>
      <c r="AA12" s="163"/>
      <c r="AB12" s="164"/>
      <c r="AC12" s="164"/>
      <c r="AD12" s="165"/>
      <c r="AE12" s="166"/>
      <c r="AF12" s="167"/>
      <c r="AG12" s="165"/>
      <c r="AH12" s="168"/>
      <c r="AI12" s="169"/>
      <c r="AJ12" s="169"/>
      <c r="AK12" s="169"/>
      <c r="AL12" s="169"/>
      <c r="AM12" s="169"/>
    </row>
    <row r="13" spans="1:39" s="170" customFormat="1" ht="24.75" customHeight="1" x14ac:dyDescent="0.2">
      <c r="A13" s="108" t="s">
        <v>255</v>
      </c>
      <c r="B13" s="108" t="s">
        <v>258</v>
      </c>
      <c r="C13" s="108" t="s">
        <v>422</v>
      </c>
      <c r="D13" s="122"/>
      <c r="E13" s="118" t="s">
        <v>169</v>
      </c>
      <c r="F13" s="26"/>
      <c r="G13" s="239" t="str">
        <f t="shared" si="0"/>
        <v>PERU-01-17-111-31-002 - A</v>
      </c>
      <c r="H13" s="117" t="s">
        <v>113</v>
      </c>
      <c r="I13" s="117" t="s">
        <v>34</v>
      </c>
      <c r="J13" s="117" t="s">
        <v>35</v>
      </c>
      <c r="K13" s="233">
        <v>2</v>
      </c>
      <c r="L13" s="117" t="s">
        <v>139</v>
      </c>
      <c r="M13" s="117" t="s">
        <v>50</v>
      </c>
      <c r="N13" s="117" t="s">
        <v>58</v>
      </c>
      <c r="O13" s="116" t="s">
        <v>39</v>
      </c>
      <c r="P13" s="117" t="s">
        <v>63</v>
      </c>
      <c r="Q13" s="27" t="s">
        <v>149</v>
      </c>
      <c r="R13" s="69" t="str">
        <f t="shared" si="1"/>
        <v>PER-E-2-U7-SCH-003-00-VHHR</v>
      </c>
      <c r="S13" s="240" t="s">
        <v>170</v>
      </c>
      <c r="T13" s="118" t="s">
        <v>171</v>
      </c>
      <c r="U13" s="118"/>
      <c r="V13" s="118" t="s">
        <v>171</v>
      </c>
      <c r="W13" s="160"/>
      <c r="X13" s="203" t="s">
        <v>802</v>
      </c>
      <c r="Y13" s="161"/>
      <c r="Z13" s="71"/>
      <c r="AA13" s="163"/>
      <c r="AB13" s="164"/>
      <c r="AC13" s="164"/>
      <c r="AD13" s="165"/>
      <c r="AE13" s="166"/>
      <c r="AF13" s="167"/>
      <c r="AG13" s="165"/>
      <c r="AH13" s="168"/>
      <c r="AI13" s="169"/>
      <c r="AJ13" s="169"/>
      <c r="AK13" s="169"/>
      <c r="AL13" s="169"/>
      <c r="AM13" s="169"/>
    </row>
    <row r="14" spans="1:39" s="170" customFormat="1" ht="24.75" customHeight="1" x14ac:dyDescent="0.2">
      <c r="A14" s="108" t="s">
        <v>255</v>
      </c>
      <c r="B14" s="108" t="s">
        <v>258</v>
      </c>
      <c r="C14" s="108" t="s">
        <v>422</v>
      </c>
      <c r="D14" s="122"/>
      <c r="E14" s="118" t="s">
        <v>172</v>
      </c>
      <c r="F14" s="26"/>
      <c r="G14" s="239" t="str">
        <f t="shared" si="0"/>
        <v>PERU-01-17-111-31-003 - A</v>
      </c>
      <c r="H14" s="117" t="s">
        <v>113</v>
      </c>
      <c r="I14" s="117" t="s">
        <v>34</v>
      </c>
      <c r="J14" s="117" t="s">
        <v>35</v>
      </c>
      <c r="K14" s="233">
        <v>2</v>
      </c>
      <c r="L14" s="117" t="s">
        <v>139</v>
      </c>
      <c r="M14" s="117" t="s">
        <v>50</v>
      </c>
      <c r="N14" s="117" t="s">
        <v>59</v>
      </c>
      <c r="O14" s="116" t="s">
        <v>39</v>
      </c>
      <c r="P14" s="117" t="s">
        <v>63</v>
      </c>
      <c r="Q14" s="27" t="s">
        <v>149</v>
      </c>
      <c r="R14" s="69" t="str">
        <f t="shared" si="1"/>
        <v>PER-E-2-U7-SCH-004-00-VHHR</v>
      </c>
      <c r="S14" s="240" t="s">
        <v>173</v>
      </c>
      <c r="T14" s="118" t="s">
        <v>174</v>
      </c>
      <c r="U14" s="118"/>
      <c r="V14" s="118" t="s">
        <v>174</v>
      </c>
      <c r="W14" s="160"/>
      <c r="X14" s="203" t="s">
        <v>802</v>
      </c>
      <c r="Y14" s="161"/>
      <c r="Z14" s="71"/>
      <c r="AA14" s="163"/>
      <c r="AB14" s="164"/>
      <c r="AC14" s="164"/>
      <c r="AD14" s="165"/>
      <c r="AE14" s="166"/>
      <c r="AF14" s="167"/>
      <c r="AG14" s="165"/>
      <c r="AH14" s="168"/>
      <c r="AI14" s="169"/>
      <c r="AJ14" s="169"/>
      <c r="AK14" s="169"/>
      <c r="AL14" s="169"/>
      <c r="AM14" s="169"/>
    </row>
    <row r="15" spans="1:39" s="170" customFormat="1" ht="24.75" customHeight="1" x14ac:dyDescent="0.2">
      <c r="A15" s="108" t="s">
        <v>255</v>
      </c>
      <c r="B15" s="108" t="s">
        <v>258</v>
      </c>
      <c r="C15" s="108" t="s">
        <v>422</v>
      </c>
      <c r="D15" s="122" t="s">
        <v>800</v>
      </c>
      <c r="E15" s="118" t="s">
        <v>175</v>
      </c>
      <c r="F15" s="26"/>
      <c r="G15" s="239" t="str">
        <f t="shared" si="0"/>
        <v>PERU-01-17-111-31-004 - A</v>
      </c>
      <c r="H15" s="117" t="s">
        <v>113</v>
      </c>
      <c r="I15" s="117" t="s">
        <v>34</v>
      </c>
      <c r="J15" s="117" t="s">
        <v>35</v>
      </c>
      <c r="K15" s="233">
        <v>2</v>
      </c>
      <c r="L15" s="117" t="s">
        <v>139</v>
      </c>
      <c r="M15" s="117" t="s">
        <v>50</v>
      </c>
      <c r="N15" s="117" t="s">
        <v>60</v>
      </c>
      <c r="O15" s="116" t="s">
        <v>39</v>
      </c>
      <c r="P15" s="117" t="s">
        <v>63</v>
      </c>
      <c r="Q15" s="27" t="s">
        <v>149</v>
      </c>
      <c r="R15" s="69" t="str">
        <f t="shared" si="1"/>
        <v>PER-E-2-U7-SCH-005-00-VHHR</v>
      </c>
      <c r="S15" s="240" t="s">
        <v>176</v>
      </c>
      <c r="T15" s="118" t="s">
        <v>177</v>
      </c>
      <c r="U15" s="118" t="s">
        <v>803</v>
      </c>
      <c r="V15" s="118" t="s">
        <v>177</v>
      </c>
      <c r="W15" s="160"/>
      <c r="X15" s="203" t="s">
        <v>463</v>
      </c>
      <c r="Y15" s="161"/>
      <c r="Z15" s="71"/>
      <c r="AA15" s="163"/>
      <c r="AB15" s="164"/>
      <c r="AC15" s="164"/>
      <c r="AD15" s="165"/>
      <c r="AE15" s="166"/>
      <c r="AF15" s="167"/>
      <c r="AG15" s="165"/>
      <c r="AH15" s="168"/>
      <c r="AI15" s="169"/>
      <c r="AJ15" s="169"/>
      <c r="AK15" s="169"/>
      <c r="AL15" s="169"/>
      <c r="AM15" s="169"/>
    </row>
    <row r="16" spans="1:39" s="170" customFormat="1" ht="24.75" customHeight="1" x14ac:dyDescent="0.2">
      <c r="A16" s="108" t="s">
        <v>255</v>
      </c>
      <c r="B16" s="108" t="s">
        <v>258</v>
      </c>
      <c r="C16" s="108" t="s">
        <v>422</v>
      </c>
      <c r="D16" s="122" t="s">
        <v>800</v>
      </c>
      <c r="E16" s="118" t="s">
        <v>178</v>
      </c>
      <c r="F16" s="26"/>
      <c r="G16" s="239" t="str">
        <f t="shared" si="0"/>
        <v>PERU-01-17-111-31-005 - A</v>
      </c>
      <c r="H16" s="117" t="s">
        <v>113</v>
      </c>
      <c r="I16" s="117" t="s">
        <v>34</v>
      </c>
      <c r="J16" s="117" t="s">
        <v>35</v>
      </c>
      <c r="K16" s="233">
        <v>2</v>
      </c>
      <c r="L16" s="117" t="s">
        <v>139</v>
      </c>
      <c r="M16" s="117" t="s">
        <v>50</v>
      </c>
      <c r="N16" s="117" t="s">
        <v>61</v>
      </c>
      <c r="O16" s="116" t="s">
        <v>39</v>
      </c>
      <c r="P16" s="117" t="s">
        <v>63</v>
      </c>
      <c r="Q16" s="27" t="s">
        <v>149</v>
      </c>
      <c r="R16" s="69" t="str">
        <f t="shared" si="1"/>
        <v>PER-E-2-U7-SCH-006-00-VHHR</v>
      </c>
      <c r="S16" s="240" t="s">
        <v>179</v>
      </c>
      <c r="T16" s="118" t="s">
        <v>180</v>
      </c>
      <c r="U16" s="118" t="s">
        <v>804</v>
      </c>
      <c r="V16" s="118" t="s">
        <v>180</v>
      </c>
      <c r="W16" s="160"/>
      <c r="X16" s="203" t="s">
        <v>463</v>
      </c>
      <c r="Y16" s="161"/>
      <c r="Z16" s="71"/>
      <c r="AA16" s="163"/>
      <c r="AB16" s="164"/>
      <c r="AC16" s="164"/>
      <c r="AD16" s="165"/>
      <c r="AE16" s="166"/>
      <c r="AF16" s="167"/>
      <c r="AG16" s="165"/>
      <c r="AH16" s="168"/>
      <c r="AI16" s="169"/>
      <c r="AJ16" s="169"/>
      <c r="AK16" s="169"/>
      <c r="AL16" s="169"/>
      <c r="AM16" s="169"/>
    </row>
    <row r="17" spans="1:39" s="170" customFormat="1" ht="24.75" customHeight="1" x14ac:dyDescent="0.2">
      <c r="A17" s="108" t="s">
        <v>255</v>
      </c>
      <c r="B17" s="108" t="s">
        <v>258</v>
      </c>
      <c r="C17" s="108" t="s">
        <v>422</v>
      </c>
      <c r="D17" s="123"/>
      <c r="E17" s="118" t="s">
        <v>181</v>
      </c>
      <c r="F17" s="26"/>
      <c r="G17" s="239" t="str">
        <f t="shared" si="0"/>
        <v>PERU-01-17-111-14-005 - A</v>
      </c>
      <c r="H17" s="117" t="s">
        <v>113</v>
      </c>
      <c r="I17" s="117" t="s">
        <v>34</v>
      </c>
      <c r="J17" s="117" t="s">
        <v>35</v>
      </c>
      <c r="K17" s="233">
        <v>2</v>
      </c>
      <c r="L17" s="117" t="s">
        <v>139</v>
      </c>
      <c r="M17" s="117" t="s">
        <v>68</v>
      </c>
      <c r="N17" s="117" t="s">
        <v>58</v>
      </c>
      <c r="O17" s="116" t="s">
        <v>39</v>
      </c>
      <c r="P17" s="117" t="s">
        <v>63</v>
      </c>
      <c r="Q17" s="27" t="s">
        <v>149</v>
      </c>
      <c r="R17" s="69" t="str">
        <f t="shared" si="1"/>
        <v>PER-E-2-U7-ASB-003-00-VHHR</v>
      </c>
      <c r="S17" s="240" t="s">
        <v>182</v>
      </c>
      <c r="T17" s="118" t="s">
        <v>183</v>
      </c>
      <c r="U17" s="118"/>
      <c r="V17" s="118" t="s">
        <v>183</v>
      </c>
      <c r="W17" s="160"/>
      <c r="X17" s="111" t="s">
        <v>751</v>
      </c>
      <c r="Y17" s="161"/>
      <c r="Z17" s="71"/>
      <c r="AA17" s="163"/>
      <c r="AB17" s="164"/>
      <c r="AC17" s="164"/>
      <c r="AD17" s="165"/>
      <c r="AE17" s="166"/>
      <c r="AF17" s="167"/>
      <c r="AG17" s="165"/>
      <c r="AH17" s="168"/>
      <c r="AI17" s="169"/>
      <c r="AJ17" s="169"/>
      <c r="AK17" s="169"/>
      <c r="AL17" s="169"/>
      <c r="AM17" s="169"/>
    </row>
    <row r="18" spans="1:39" s="170" customFormat="1" ht="24.75" customHeight="1" x14ac:dyDescent="0.2">
      <c r="A18" s="108" t="s">
        <v>255</v>
      </c>
      <c r="B18" s="108" t="s">
        <v>258</v>
      </c>
      <c r="C18" s="108" t="s">
        <v>422</v>
      </c>
      <c r="D18" s="123"/>
      <c r="E18" s="118" t="s">
        <v>184</v>
      </c>
      <c r="F18" s="26"/>
      <c r="G18" s="239" t="str">
        <f t="shared" si="0"/>
        <v>PERU-01-17-111-14-006 - A</v>
      </c>
      <c r="H18" s="117" t="s">
        <v>113</v>
      </c>
      <c r="I18" s="117" t="s">
        <v>34</v>
      </c>
      <c r="J18" s="117" t="s">
        <v>35</v>
      </c>
      <c r="K18" s="233">
        <v>2</v>
      </c>
      <c r="L18" s="117" t="s">
        <v>139</v>
      </c>
      <c r="M18" s="117" t="s">
        <v>68</v>
      </c>
      <c r="N18" s="117" t="s">
        <v>59</v>
      </c>
      <c r="O18" s="116" t="s">
        <v>39</v>
      </c>
      <c r="P18" s="117" t="s">
        <v>63</v>
      </c>
      <c r="Q18" s="27" t="s">
        <v>149</v>
      </c>
      <c r="R18" s="69" t="str">
        <f t="shared" si="1"/>
        <v>PER-E-2-U7-ASB-004-00-VHHR</v>
      </c>
      <c r="S18" s="240" t="s">
        <v>185</v>
      </c>
      <c r="T18" s="118" t="s">
        <v>186</v>
      </c>
      <c r="U18" s="118"/>
      <c r="V18" s="118" t="s">
        <v>186</v>
      </c>
      <c r="W18" s="160"/>
      <c r="X18" s="111" t="s">
        <v>751</v>
      </c>
      <c r="Y18" s="161"/>
      <c r="Z18" s="71"/>
      <c r="AA18" s="163"/>
      <c r="AB18" s="164"/>
      <c r="AC18" s="164"/>
      <c r="AD18" s="165"/>
      <c r="AE18" s="166"/>
      <c r="AF18" s="167"/>
      <c r="AG18" s="165"/>
      <c r="AH18" s="168"/>
      <c r="AI18" s="169"/>
      <c r="AJ18" s="169"/>
      <c r="AK18" s="169"/>
      <c r="AL18" s="169"/>
      <c r="AM18" s="169"/>
    </row>
    <row r="19" spans="1:39" s="170" customFormat="1" ht="24.75" customHeight="1" x14ac:dyDescent="0.2">
      <c r="A19" s="108" t="s">
        <v>255</v>
      </c>
      <c r="B19" s="108" t="s">
        <v>258</v>
      </c>
      <c r="C19" s="108" t="s">
        <v>422</v>
      </c>
      <c r="D19" s="123"/>
      <c r="E19" s="118" t="s">
        <v>187</v>
      </c>
      <c r="F19" s="26"/>
      <c r="G19" s="239" t="str">
        <f t="shared" si="0"/>
        <v>PERU-01-17-111-14-007 - A</v>
      </c>
      <c r="H19" s="117" t="s">
        <v>113</v>
      </c>
      <c r="I19" s="117" t="s">
        <v>34</v>
      </c>
      <c r="J19" s="117" t="s">
        <v>35</v>
      </c>
      <c r="K19" s="233">
        <v>2</v>
      </c>
      <c r="L19" s="117" t="s">
        <v>139</v>
      </c>
      <c r="M19" s="117" t="s">
        <v>68</v>
      </c>
      <c r="N19" s="117" t="s">
        <v>60</v>
      </c>
      <c r="O19" s="116" t="s">
        <v>39</v>
      </c>
      <c r="P19" s="117" t="s">
        <v>63</v>
      </c>
      <c r="Q19" s="27" t="s">
        <v>149</v>
      </c>
      <c r="R19" s="69" t="str">
        <f t="shared" si="1"/>
        <v>PER-E-2-U7-ASB-005-00-VHHR</v>
      </c>
      <c r="S19" s="240" t="s">
        <v>600</v>
      </c>
      <c r="T19" s="118" t="s">
        <v>188</v>
      </c>
      <c r="U19" s="118"/>
      <c r="V19" s="118" t="s">
        <v>188</v>
      </c>
      <c r="W19" s="160"/>
      <c r="X19" s="111" t="s">
        <v>751</v>
      </c>
      <c r="Y19" s="161"/>
      <c r="Z19" s="71"/>
      <c r="AA19" s="163"/>
      <c r="AB19" s="164"/>
      <c r="AC19" s="164"/>
      <c r="AD19" s="165"/>
      <c r="AE19" s="166"/>
      <c r="AF19" s="167"/>
      <c r="AG19" s="165"/>
      <c r="AH19" s="168"/>
      <c r="AI19" s="169"/>
      <c r="AJ19" s="169"/>
      <c r="AK19" s="169"/>
      <c r="AL19" s="169"/>
      <c r="AM19" s="169"/>
    </row>
    <row r="20" spans="1:39" s="170" customFormat="1" ht="24.75" customHeight="1" x14ac:dyDescent="0.2">
      <c r="A20" s="108" t="s">
        <v>255</v>
      </c>
      <c r="B20" s="108" t="s">
        <v>258</v>
      </c>
      <c r="C20" s="108" t="s">
        <v>422</v>
      </c>
      <c r="D20" s="123"/>
      <c r="E20" s="118" t="s">
        <v>189</v>
      </c>
      <c r="F20" s="26"/>
      <c r="G20" s="239" t="str">
        <f t="shared" si="0"/>
        <v>PERU-01-17-111-14-008 - A</v>
      </c>
      <c r="H20" s="117" t="s">
        <v>113</v>
      </c>
      <c r="I20" s="117" t="s">
        <v>34</v>
      </c>
      <c r="J20" s="117" t="s">
        <v>35</v>
      </c>
      <c r="K20" s="233">
        <v>2</v>
      </c>
      <c r="L20" s="117" t="s">
        <v>139</v>
      </c>
      <c r="M20" s="117" t="s">
        <v>68</v>
      </c>
      <c r="N20" s="117" t="s">
        <v>61</v>
      </c>
      <c r="O20" s="116" t="s">
        <v>39</v>
      </c>
      <c r="P20" s="117" t="s">
        <v>63</v>
      </c>
      <c r="Q20" s="27" t="s">
        <v>149</v>
      </c>
      <c r="R20" s="69" t="str">
        <f t="shared" si="1"/>
        <v>PER-E-2-U7-ASB-006-00-VHHR</v>
      </c>
      <c r="S20" s="240" t="s">
        <v>190</v>
      </c>
      <c r="T20" s="118" t="s">
        <v>191</v>
      </c>
      <c r="U20" s="118"/>
      <c r="V20" s="118" t="s">
        <v>191</v>
      </c>
      <c r="W20" s="160"/>
      <c r="X20" s="111" t="s">
        <v>751</v>
      </c>
      <c r="Y20" s="161"/>
      <c r="Z20" s="71"/>
      <c r="AA20" s="163"/>
      <c r="AB20" s="164"/>
      <c r="AC20" s="164"/>
      <c r="AD20" s="165"/>
      <c r="AE20" s="166"/>
      <c r="AF20" s="167"/>
      <c r="AG20" s="165"/>
      <c r="AH20" s="168"/>
      <c r="AI20" s="169"/>
      <c r="AJ20" s="169"/>
      <c r="AK20" s="169"/>
      <c r="AL20" s="169"/>
      <c r="AM20" s="169"/>
    </row>
    <row r="21" spans="1:39" s="170" customFormat="1" ht="24.75" customHeight="1" x14ac:dyDescent="0.2">
      <c r="A21" s="108" t="s">
        <v>255</v>
      </c>
      <c r="B21" s="108" t="s">
        <v>258</v>
      </c>
      <c r="C21" s="108" t="s">
        <v>422</v>
      </c>
      <c r="D21" s="123"/>
      <c r="E21" s="118" t="s">
        <v>192</v>
      </c>
      <c r="F21" s="26"/>
      <c r="G21" s="239" t="str">
        <f t="shared" si="0"/>
        <v>PERU-01-17-111-33-002 - A</v>
      </c>
      <c r="H21" s="117" t="s">
        <v>113</v>
      </c>
      <c r="I21" s="117" t="s">
        <v>34</v>
      </c>
      <c r="J21" s="117" t="s">
        <v>35</v>
      </c>
      <c r="K21" s="233">
        <v>2</v>
      </c>
      <c r="L21" s="117" t="s">
        <v>139</v>
      </c>
      <c r="M21" s="117" t="s">
        <v>76</v>
      </c>
      <c r="N21" s="117" t="s">
        <v>58</v>
      </c>
      <c r="O21" s="116" t="s">
        <v>39</v>
      </c>
      <c r="P21" s="117" t="s">
        <v>63</v>
      </c>
      <c r="Q21" s="27" t="s">
        <v>149</v>
      </c>
      <c r="R21" s="69" t="str">
        <f t="shared" si="1"/>
        <v>PER-E-2-U7-ROU-003-00-VHHR</v>
      </c>
      <c r="S21" s="240" t="s">
        <v>193</v>
      </c>
      <c r="T21" s="118" t="s">
        <v>194</v>
      </c>
      <c r="U21" s="118"/>
      <c r="V21" s="118" t="s">
        <v>194</v>
      </c>
      <c r="W21" s="160"/>
      <c r="X21" s="111" t="s">
        <v>753</v>
      </c>
      <c r="Y21" s="161"/>
      <c r="Z21" s="71"/>
      <c r="AA21" s="163"/>
      <c r="AB21" s="164"/>
      <c r="AC21" s="164"/>
      <c r="AD21" s="165"/>
      <c r="AE21" s="166"/>
      <c r="AF21" s="167"/>
      <c r="AG21" s="165"/>
      <c r="AH21" s="168"/>
      <c r="AI21" s="169"/>
      <c r="AJ21" s="169"/>
      <c r="AK21" s="169"/>
      <c r="AL21" s="169"/>
      <c r="AM21" s="169"/>
    </row>
    <row r="22" spans="1:39" s="170" customFormat="1" ht="24.75" customHeight="1" x14ac:dyDescent="0.2">
      <c r="A22" s="108" t="s">
        <v>255</v>
      </c>
      <c r="B22" s="108" t="s">
        <v>258</v>
      </c>
      <c r="C22" s="108" t="s">
        <v>422</v>
      </c>
      <c r="D22" s="123"/>
      <c r="E22" s="118" t="s">
        <v>195</v>
      </c>
      <c r="F22" s="26"/>
      <c r="G22" s="239" t="str">
        <f t="shared" si="0"/>
        <v>PERU-01-17-111-33-003 - A</v>
      </c>
      <c r="H22" s="117" t="s">
        <v>113</v>
      </c>
      <c r="I22" s="117" t="s">
        <v>34</v>
      </c>
      <c r="J22" s="117" t="s">
        <v>35</v>
      </c>
      <c r="K22" s="233">
        <v>2</v>
      </c>
      <c r="L22" s="117" t="s">
        <v>139</v>
      </c>
      <c r="M22" s="117" t="s">
        <v>76</v>
      </c>
      <c r="N22" s="117" t="s">
        <v>59</v>
      </c>
      <c r="O22" s="116" t="s">
        <v>39</v>
      </c>
      <c r="P22" s="117" t="s">
        <v>63</v>
      </c>
      <c r="Q22" s="27" t="s">
        <v>149</v>
      </c>
      <c r="R22" s="69" t="str">
        <f t="shared" si="1"/>
        <v>PER-E-2-U7-ROU-004-00-VHHR</v>
      </c>
      <c r="S22" s="240" t="s">
        <v>196</v>
      </c>
      <c r="T22" s="118" t="s">
        <v>197</v>
      </c>
      <c r="U22" s="118"/>
      <c r="V22" s="118" t="s">
        <v>197</v>
      </c>
      <c r="W22" s="160"/>
      <c r="X22" s="111" t="s">
        <v>753</v>
      </c>
      <c r="Y22" s="161"/>
      <c r="Z22" s="71"/>
      <c r="AA22" s="163"/>
      <c r="AB22" s="164"/>
      <c r="AC22" s="164"/>
      <c r="AD22" s="165"/>
      <c r="AE22" s="166"/>
      <c r="AF22" s="167"/>
      <c r="AG22" s="165"/>
      <c r="AH22" s="168"/>
      <c r="AI22" s="169"/>
      <c r="AJ22" s="169"/>
      <c r="AK22" s="169"/>
      <c r="AL22" s="169"/>
      <c r="AM22" s="169"/>
    </row>
    <row r="23" spans="1:39" s="170" customFormat="1" ht="24.75" customHeight="1" x14ac:dyDescent="0.2">
      <c r="A23" s="108" t="s">
        <v>255</v>
      </c>
      <c r="B23" s="108" t="s">
        <v>258</v>
      </c>
      <c r="C23" s="108" t="s">
        <v>422</v>
      </c>
      <c r="D23" s="123"/>
      <c r="E23" s="118" t="s">
        <v>198</v>
      </c>
      <c r="F23" s="26"/>
      <c r="G23" s="239" t="str">
        <f t="shared" si="0"/>
        <v>PERU-01-17-111-33-004 - A</v>
      </c>
      <c r="H23" s="117" t="s">
        <v>113</v>
      </c>
      <c r="I23" s="117" t="s">
        <v>34</v>
      </c>
      <c r="J23" s="117" t="s">
        <v>35</v>
      </c>
      <c r="K23" s="233">
        <v>2</v>
      </c>
      <c r="L23" s="117" t="s">
        <v>139</v>
      </c>
      <c r="M23" s="117" t="s">
        <v>76</v>
      </c>
      <c r="N23" s="117" t="s">
        <v>60</v>
      </c>
      <c r="O23" s="116" t="s">
        <v>39</v>
      </c>
      <c r="P23" s="117" t="s">
        <v>63</v>
      </c>
      <c r="Q23" s="27" t="s">
        <v>149</v>
      </c>
      <c r="R23" s="69" t="str">
        <f t="shared" si="1"/>
        <v>PER-E-2-U7-ROU-005-00-VHHR</v>
      </c>
      <c r="S23" s="240" t="s">
        <v>199</v>
      </c>
      <c r="T23" s="118" t="s">
        <v>200</v>
      </c>
      <c r="U23" s="118"/>
      <c r="V23" s="118" t="s">
        <v>200</v>
      </c>
      <c r="W23" s="160"/>
      <c r="X23" s="111" t="s">
        <v>753</v>
      </c>
      <c r="Y23" s="161"/>
      <c r="Z23" s="71"/>
      <c r="AA23" s="163"/>
      <c r="AB23" s="164"/>
      <c r="AC23" s="164"/>
      <c r="AD23" s="165"/>
      <c r="AE23" s="166"/>
      <c r="AF23" s="167"/>
      <c r="AG23" s="165"/>
      <c r="AH23" s="168"/>
      <c r="AI23" s="169"/>
      <c r="AJ23" s="169"/>
      <c r="AK23" s="169"/>
      <c r="AL23" s="169"/>
      <c r="AM23" s="169"/>
    </row>
    <row r="24" spans="1:39" s="170" customFormat="1" ht="24.75" customHeight="1" x14ac:dyDescent="0.2">
      <c r="A24" s="108" t="s">
        <v>255</v>
      </c>
      <c r="B24" s="108" t="s">
        <v>258</v>
      </c>
      <c r="C24" s="108" t="s">
        <v>422</v>
      </c>
      <c r="D24" s="123"/>
      <c r="E24" s="118" t="s">
        <v>201</v>
      </c>
      <c r="F24" s="26"/>
      <c r="G24" s="239" t="str">
        <f t="shared" si="0"/>
        <v>PERU-01-17-111-33-005 - A</v>
      </c>
      <c r="H24" s="117" t="s">
        <v>113</v>
      </c>
      <c r="I24" s="117" t="s">
        <v>34</v>
      </c>
      <c r="J24" s="117" t="s">
        <v>35</v>
      </c>
      <c r="K24" s="233">
        <v>2</v>
      </c>
      <c r="L24" s="117" t="s">
        <v>139</v>
      </c>
      <c r="M24" s="117" t="s">
        <v>76</v>
      </c>
      <c r="N24" s="117" t="s">
        <v>61</v>
      </c>
      <c r="O24" s="116" t="s">
        <v>39</v>
      </c>
      <c r="P24" s="117" t="s">
        <v>63</v>
      </c>
      <c r="Q24" s="27" t="s">
        <v>149</v>
      </c>
      <c r="R24" s="69" t="str">
        <f t="shared" si="1"/>
        <v>PER-E-2-U7-ROU-006-00-VHHR</v>
      </c>
      <c r="S24" s="240" t="s">
        <v>202</v>
      </c>
      <c r="T24" s="118" t="s">
        <v>203</v>
      </c>
      <c r="U24" s="118"/>
      <c r="V24" s="118" t="s">
        <v>203</v>
      </c>
      <c r="W24" s="160"/>
      <c r="X24" s="111" t="s">
        <v>753</v>
      </c>
      <c r="Y24" s="161"/>
      <c r="Z24" s="71"/>
      <c r="AA24" s="163"/>
      <c r="AB24" s="164"/>
      <c r="AC24" s="164"/>
      <c r="AD24" s="165"/>
      <c r="AE24" s="166"/>
      <c r="AF24" s="167"/>
      <c r="AG24" s="165"/>
      <c r="AH24" s="168"/>
      <c r="AI24" s="169"/>
      <c r="AJ24" s="169"/>
      <c r="AK24" s="169"/>
      <c r="AL24" s="169"/>
      <c r="AM24" s="169"/>
    </row>
    <row r="25" spans="1:39" s="170" customFormat="1" ht="24.75" customHeight="1" x14ac:dyDescent="0.2">
      <c r="A25" s="108" t="s">
        <v>255</v>
      </c>
      <c r="B25" s="108" t="s">
        <v>258</v>
      </c>
      <c r="C25" s="108" t="s">
        <v>429</v>
      </c>
      <c r="D25" s="123"/>
      <c r="E25" s="118" t="s">
        <v>426</v>
      </c>
      <c r="F25" s="114"/>
      <c r="G25" s="239" t="str">
        <f t="shared" si="0"/>
        <v>PERU-01-17-111-07-002 - A</v>
      </c>
      <c r="H25" s="115" t="s">
        <v>113</v>
      </c>
      <c r="I25" s="4" t="s">
        <v>34</v>
      </c>
      <c r="J25" s="20" t="s">
        <v>35</v>
      </c>
      <c r="K25" s="4">
        <v>2</v>
      </c>
      <c r="L25" s="117" t="s">
        <v>139</v>
      </c>
      <c r="M25" s="117" t="s">
        <v>52</v>
      </c>
      <c r="N25" s="116" t="s">
        <v>42</v>
      </c>
      <c r="O25" s="116" t="s">
        <v>39</v>
      </c>
      <c r="P25" s="22" t="s">
        <v>63</v>
      </c>
      <c r="Q25" s="22" t="s">
        <v>149</v>
      </c>
      <c r="R25" s="69" t="str">
        <f t="shared" si="1"/>
        <v>PER-E-2-U7-TSP-001-00-VHHR</v>
      </c>
      <c r="S25" s="117" t="s">
        <v>430</v>
      </c>
      <c r="T25" s="119" t="s">
        <v>489</v>
      </c>
      <c r="U25" s="119"/>
      <c r="V25" s="119" t="s">
        <v>425</v>
      </c>
      <c r="W25" s="160"/>
      <c r="X25" s="111" t="s">
        <v>750</v>
      </c>
      <c r="Y25" s="161"/>
      <c r="Z25" s="71"/>
      <c r="AA25" s="163"/>
      <c r="AB25" s="164"/>
      <c r="AC25" s="164"/>
      <c r="AD25" s="165"/>
      <c r="AE25" s="166"/>
      <c r="AF25" s="167"/>
      <c r="AG25" s="165"/>
      <c r="AH25" s="168"/>
      <c r="AI25" s="169"/>
      <c r="AJ25" s="169"/>
      <c r="AK25" s="169"/>
      <c r="AL25" s="169"/>
      <c r="AM25" s="169"/>
    </row>
    <row r="26" spans="1:39" s="170" customFormat="1" ht="24.75" customHeight="1" x14ac:dyDescent="0.2">
      <c r="A26" s="108" t="s">
        <v>255</v>
      </c>
      <c r="B26" s="108" t="s">
        <v>258</v>
      </c>
      <c r="C26" s="108" t="s">
        <v>424</v>
      </c>
      <c r="D26" s="123"/>
      <c r="E26" s="118" t="s">
        <v>427</v>
      </c>
      <c r="F26" s="114"/>
      <c r="G26" s="239" t="str">
        <f t="shared" si="0"/>
        <v>PERU-01-17-111-11-001 - A</v>
      </c>
      <c r="H26" s="115" t="s">
        <v>113</v>
      </c>
      <c r="I26" s="4" t="s">
        <v>34</v>
      </c>
      <c r="J26" s="20" t="s">
        <v>35</v>
      </c>
      <c r="K26" s="4">
        <v>2</v>
      </c>
      <c r="L26" s="117" t="s">
        <v>139</v>
      </c>
      <c r="M26" s="117" t="s">
        <v>62</v>
      </c>
      <c r="N26" s="116" t="s">
        <v>42</v>
      </c>
      <c r="O26" s="116" t="s">
        <v>39</v>
      </c>
      <c r="P26" s="22" t="s">
        <v>63</v>
      </c>
      <c r="Q26" s="27" t="s">
        <v>149</v>
      </c>
      <c r="R26" s="69" t="str">
        <f t="shared" si="1"/>
        <v>PER-E-2-U7-FLD-001-00-VHHR</v>
      </c>
      <c r="S26" s="117" t="s">
        <v>431</v>
      </c>
      <c r="T26" s="119" t="s">
        <v>495</v>
      </c>
      <c r="U26" s="119"/>
      <c r="V26" s="119" t="s">
        <v>64</v>
      </c>
      <c r="W26" s="160"/>
      <c r="X26" s="111" t="s">
        <v>750</v>
      </c>
      <c r="Y26" s="161"/>
      <c r="Z26" s="71"/>
      <c r="AA26" s="163"/>
      <c r="AB26" s="164"/>
      <c r="AC26" s="164"/>
      <c r="AD26" s="165"/>
      <c r="AE26" s="166"/>
      <c r="AF26" s="167"/>
      <c r="AG26" s="165"/>
      <c r="AH26" s="168"/>
      <c r="AI26" s="169"/>
      <c r="AJ26" s="169"/>
      <c r="AK26" s="169"/>
      <c r="AL26" s="169"/>
      <c r="AM26" s="169"/>
    </row>
    <row r="27" spans="1:39" s="170" customFormat="1" ht="24.75" customHeight="1" x14ac:dyDescent="0.2">
      <c r="A27" s="108" t="s">
        <v>255</v>
      </c>
      <c r="B27" s="108" t="s">
        <v>258</v>
      </c>
      <c r="C27" s="108" t="s">
        <v>424</v>
      </c>
      <c r="D27" s="123"/>
      <c r="E27" s="118" t="s">
        <v>428</v>
      </c>
      <c r="F27" s="114"/>
      <c r="G27" s="239" t="str">
        <f t="shared" si="0"/>
        <v>PERU-01-17-111-12-001 - A</v>
      </c>
      <c r="H27" s="115" t="s">
        <v>113</v>
      </c>
      <c r="I27" s="4" t="s">
        <v>34</v>
      </c>
      <c r="J27" s="20" t="s">
        <v>35</v>
      </c>
      <c r="K27" s="4">
        <v>2</v>
      </c>
      <c r="L27" s="117" t="s">
        <v>139</v>
      </c>
      <c r="M27" s="117" t="s">
        <v>50</v>
      </c>
      <c r="N27" s="116" t="s">
        <v>42</v>
      </c>
      <c r="O27" s="116" t="s">
        <v>39</v>
      </c>
      <c r="P27" s="22" t="s">
        <v>63</v>
      </c>
      <c r="Q27" s="27" t="s">
        <v>149</v>
      </c>
      <c r="R27" s="69" t="str">
        <f t="shared" si="1"/>
        <v>PER-E-2-U7-SCH-001-00-VHHR</v>
      </c>
      <c r="S27" s="117" t="s">
        <v>432</v>
      </c>
      <c r="T27" s="119" t="s">
        <v>490</v>
      </c>
      <c r="U27" s="119"/>
      <c r="V27" s="119" t="s">
        <v>66</v>
      </c>
      <c r="W27" s="160"/>
      <c r="X27" s="111" t="s">
        <v>750</v>
      </c>
      <c r="Y27" s="161"/>
      <c r="Z27" s="71"/>
      <c r="AA27" s="163"/>
      <c r="AB27" s="164"/>
      <c r="AC27" s="164"/>
      <c r="AD27" s="165"/>
      <c r="AE27" s="166"/>
      <c r="AF27" s="167"/>
      <c r="AG27" s="165"/>
      <c r="AH27" s="168"/>
      <c r="AI27" s="169"/>
      <c r="AJ27" s="169"/>
      <c r="AK27" s="169"/>
      <c r="AL27" s="169"/>
      <c r="AM27" s="169"/>
    </row>
    <row r="28" spans="1:39" s="170" customFormat="1" ht="24.75" customHeight="1" x14ac:dyDescent="0.2">
      <c r="A28" s="108" t="s">
        <v>255</v>
      </c>
      <c r="B28" s="108" t="s">
        <v>258</v>
      </c>
      <c r="C28" s="108" t="s">
        <v>424</v>
      </c>
      <c r="D28" s="123"/>
      <c r="E28" s="118" t="s">
        <v>433</v>
      </c>
      <c r="F28" s="114"/>
      <c r="G28" s="239" t="str">
        <f t="shared" si="0"/>
        <v>PERU-01-17-111-41 -001 - A</v>
      </c>
      <c r="H28" s="115" t="s">
        <v>113</v>
      </c>
      <c r="I28" s="4" t="s">
        <v>34</v>
      </c>
      <c r="J28" s="20" t="s">
        <v>35</v>
      </c>
      <c r="K28" s="4">
        <v>2</v>
      </c>
      <c r="L28" s="117" t="s">
        <v>139</v>
      </c>
      <c r="M28" s="117" t="s">
        <v>47</v>
      </c>
      <c r="N28" s="116" t="s">
        <v>91</v>
      </c>
      <c r="O28" s="116" t="s">
        <v>39</v>
      </c>
      <c r="P28" s="22" t="s">
        <v>63</v>
      </c>
      <c r="Q28" s="27" t="s">
        <v>149</v>
      </c>
      <c r="R28" s="69" t="str">
        <f t="shared" si="1"/>
        <v>PER-E-2-U7-SOF-100-00-VHHR</v>
      </c>
      <c r="S28" s="120" t="s">
        <v>434</v>
      </c>
      <c r="T28" s="119" t="s">
        <v>435</v>
      </c>
      <c r="U28" s="119"/>
      <c r="V28" s="119" t="s">
        <v>435</v>
      </c>
      <c r="W28" s="160"/>
      <c r="X28" s="111" t="s">
        <v>757</v>
      </c>
      <c r="Y28" s="161"/>
      <c r="Z28" s="71"/>
      <c r="AA28" s="163"/>
      <c r="AB28" s="164"/>
      <c r="AC28" s="164"/>
      <c r="AD28" s="165"/>
      <c r="AE28" s="166"/>
      <c r="AF28" s="167"/>
      <c r="AG28" s="165"/>
      <c r="AH28" s="168"/>
      <c r="AI28" s="169"/>
      <c r="AJ28" s="169"/>
      <c r="AK28" s="169"/>
      <c r="AL28" s="169"/>
      <c r="AM28" s="169"/>
    </row>
    <row r="29" spans="1:39" s="170" customFormat="1" ht="24.75" customHeight="1" x14ac:dyDescent="0.2">
      <c r="A29" s="108" t="s">
        <v>255</v>
      </c>
      <c r="B29" s="108" t="s">
        <v>258</v>
      </c>
      <c r="C29" s="108" t="s">
        <v>446</v>
      </c>
      <c r="D29" s="123"/>
      <c r="E29" s="73" t="s">
        <v>204</v>
      </c>
      <c r="F29" s="26"/>
      <c r="G29" s="239" t="str">
        <f t="shared" si="0"/>
        <v>PERU-01-17-170-14-002 - A</v>
      </c>
      <c r="H29" s="115" t="s">
        <v>113</v>
      </c>
      <c r="I29" s="4" t="s">
        <v>34</v>
      </c>
      <c r="J29" s="117" t="s">
        <v>35</v>
      </c>
      <c r="K29" s="80">
        <v>8</v>
      </c>
      <c r="L29" s="117" t="s">
        <v>139</v>
      </c>
      <c r="M29" s="117" t="s">
        <v>68</v>
      </c>
      <c r="N29" s="116" t="s">
        <v>42</v>
      </c>
      <c r="O29" s="17" t="s">
        <v>39</v>
      </c>
      <c r="P29" s="22" t="s">
        <v>63</v>
      </c>
      <c r="Q29" s="22" t="s">
        <v>114</v>
      </c>
      <c r="R29" s="69" t="str">
        <f t="shared" si="1"/>
        <v>PER-E-8-U7-ASB-001-00-VHHR</v>
      </c>
      <c r="S29" s="240" t="s">
        <v>205</v>
      </c>
      <c r="T29" s="118" t="s">
        <v>497</v>
      </c>
      <c r="U29" s="118"/>
      <c r="V29" s="118" t="s">
        <v>69</v>
      </c>
      <c r="W29" s="160"/>
      <c r="X29" s="111" t="s">
        <v>751</v>
      </c>
      <c r="Y29" s="161"/>
      <c r="Z29" s="71"/>
      <c r="AA29" s="163"/>
      <c r="AB29" s="164"/>
      <c r="AC29" s="164"/>
      <c r="AD29" s="165"/>
      <c r="AE29" s="166"/>
      <c r="AF29" s="167"/>
      <c r="AG29" s="165"/>
      <c r="AH29" s="168"/>
      <c r="AI29" s="169"/>
      <c r="AJ29" s="169"/>
      <c r="AK29" s="169"/>
      <c r="AL29" s="169"/>
      <c r="AM29" s="169"/>
    </row>
    <row r="30" spans="1:39" s="170" customFormat="1" ht="24.75" customHeight="1" x14ac:dyDescent="0.2">
      <c r="A30" s="108" t="s">
        <v>255</v>
      </c>
      <c r="B30" s="108" t="s">
        <v>258</v>
      </c>
      <c r="C30" s="108" t="s">
        <v>446</v>
      </c>
      <c r="D30" s="123"/>
      <c r="E30" s="73" t="s">
        <v>206</v>
      </c>
      <c r="F30" s="26"/>
      <c r="G30" s="239" t="str">
        <f t="shared" si="0"/>
        <v>PERU-01-17-170-23-001 - A</v>
      </c>
      <c r="H30" s="115" t="s">
        <v>113</v>
      </c>
      <c r="I30" s="4" t="s">
        <v>34</v>
      </c>
      <c r="J30" s="117" t="s">
        <v>35</v>
      </c>
      <c r="K30" s="80">
        <v>8</v>
      </c>
      <c r="L30" s="117" t="s">
        <v>139</v>
      </c>
      <c r="M30" s="117" t="s">
        <v>71</v>
      </c>
      <c r="N30" s="116" t="s">
        <v>42</v>
      </c>
      <c r="O30" s="17" t="s">
        <v>39</v>
      </c>
      <c r="P30" s="22" t="s">
        <v>63</v>
      </c>
      <c r="Q30" s="22" t="s">
        <v>114</v>
      </c>
      <c r="R30" s="69" t="str">
        <f t="shared" si="1"/>
        <v>PER-E-8-U7-LST-001-00-VHHR</v>
      </c>
      <c r="S30" s="240" t="s">
        <v>207</v>
      </c>
      <c r="T30" s="118" t="s">
        <v>498</v>
      </c>
      <c r="U30" s="118"/>
      <c r="V30" s="118" t="s">
        <v>99</v>
      </c>
      <c r="W30" s="160"/>
      <c r="X30" s="111" t="s">
        <v>753</v>
      </c>
      <c r="Y30" s="161"/>
      <c r="Z30" s="71"/>
      <c r="AA30" s="163"/>
      <c r="AB30" s="164"/>
      <c r="AC30" s="164"/>
      <c r="AD30" s="165"/>
      <c r="AE30" s="166"/>
      <c r="AF30" s="167"/>
      <c r="AG30" s="165"/>
      <c r="AH30" s="168"/>
      <c r="AI30" s="169"/>
      <c r="AJ30" s="169"/>
      <c r="AK30" s="169"/>
      <c r="AL30" s="169"/>
      <c r="AM30" s="169"/>
    </row>
    <row r="31" spans="1:39" s="170" customFormat="1" ht="24.75" customHeight="1" x14ac:dyDescent="0.2">
      <c r="A31" s="108" t="s">
        <v>255</v>
      </c>
      <c r="B31" s="108" t="s">
        <v>258</v>
      </c>
      <c r="C31" s="108" t="s">
        <v>446</v>
      </c>
      <c r="D31" s="262" t="s">
        <v>800</v>
      </c>
      <c r="E31" s="73" t="s">
        <v>208</v>
      </c>
      <c r="F31" s="26"/>
      <c r="G31" s="239" t="str">
        <f t="shared" si="0"/>
        <v>PERU-01-17-170-31-001 - A</v>
      </c>
      <c r="H31" s="115" t="s">
        <v>113</v>
      </c>
      <c r="I31" s="4" t="s">
        <v>34</v>
      </c>
      <c r="J31" s="117" t="s">
        <v>35</v>
      </c>
      <c r="K31" s="80">
        <v>8</v>
      </c>
      <c r="L31" s="117" t="s">
        <v>139</v>
      </c>
      <c r="M31" s="117" t="s">
        <v>50</v>
      </c>
      <c r="N31" s="116" t="s">
        <v>58</v>
      </c>
      <c r="O31" s="17" t="s">
        <v>39</v>
      </c>
      <c r="P31" s="22" t="s">
        <v>63</v>
      </c>
      <c r="Q31" s="22" t="s">
        <v>114</v>
      </c>
      <c r="R31" s="69" t="str">
        <f t="shared" si="1"/>
        <v>PER-E-8-U7-SCH-003-00-VHHR</v>
      </c>
      <c r="S31" s="240" t="s">
        <v>209</v>
      </c>
      <c r="T31" s="118" t="s">
        <v>500</v>
      </c>
      <c r="U31" s="118" t="s">
        <v>805</v>
      </c>
      <c r="V31" s="118" t="s">
        <v>74</v>
      </c>
      <c r="W31" s="160"/>
      <c r="X31" s="266" t="s">
        <v>793</v>
      </c>
      <c r="Y31" s="161"/>
      <c r="Z31" s="71"/>
      <c r="AA31" s="163"/>
      <c r="AB31" s="164"/>
      <c r="AC31" s="164"/>
      <c r="AD31" s="165"/>
      <c r="AE31" s="166"/>
      <c r="AF31" s="167"/>
      <c r="AG31" s="165"/>
      <c r="AH31" s="168"/>
      <c r="AI31" s="169"/>
      <c r="AJ31" s="169"/>
      <c r="AK31" s="169"/>
      <c r="AL31" s="169"/>
      <c r="AM31" s="169"/>
    </row>
    <row r="32" spans="1:39" s="170" customFormat="1" ht="24.75" customHeight="1" x14ac:dyDescent="0.2">
      <c r="A32" s="108" t="s">
        <v>255</v>
      </c>
      <c r="B32" s="108" t="s">
        <v>258</v>
      </c>
      <c r="C32" s="108" t="s">
        <v>446</v>
      </c>
      <c r="D32" s="262" t="s">
        <v>800</v>
      </c>
      <c r="E32" s="73" t="s">
        <v>210</v>
      </c>
      <c r="F32" s="26"/>
      <c r="G32" s="239" t="str">
        <f t="shared" si="0"/>
        <v>PERU-01-17-170-33-001 - A</v>
      </c>
      <c r="H32" s="115" t="s">
        <v>113</v>
      </c>
      <c r="I32" s="4" t="s">
        <v>34</v>
      </c>
      <c r="J32" s="117" t="s">
        <v>35</v>
      </c>
      <c r="K32" s="80">
        <v>8</v>
      </c>
      <c r="L32" s="117" t="s">
        <v>139</v>
      </c>
      <c r="M32" s="117" t="s">
        <v>76</v>
      </c>
      <c r="N32" s="116" t="s">
        <v>42</v>
      </c>
      <c r="O32" s="17" t="s">
        <v>39</v>
      </c>
      <c r="P32" s="22" t="s">
        <v>63</v>
      </c>
      <c r="Q32" s="22" t="s">
        <v>114</v>
      </c>
      <c r="R32" s="69" t="str">
        <f t="shared" si="1"/>
        <v>PER-E-8-U7-ROU-001-00-VHHR</v>
      </c>
      <c r="S32" s="240" t="s">
        <v>211</v>
      </c>
      <c r="T32" s="118" t="s">
        <v>499</v>
      </c>
      <c r="U32" s="118" t="s">
        <v>809</v>
      </c>
      <c r="V32" s="118" t="s">
        <v>77</v>
      </c>
      <c r="W32" s="160"/>
      <c r="X32" s="265" t="s">
        <v>792</v>
      </c>
      <c r="Y32" s="161"/>
      <c r="Z32" s="71"/>
      <c r="AA32" s="163"/>
      <c r="AB32" s="164"/>
      <c r="AC32" s="164"/>
      <c r="AD32" s="165"/>
      <c r="AE32" s="166"/>
      <c r="AF32" s="167"/>
      <c r="AG32" s="165"/>
      <c r="AH32" s="168"/>
      <c r="AI32" s="169"/>
      <c r="AJ32" s="169"/>
      <c r="AK32" s="169"/>
      <c r="AL32" s="169"/>
      <c r="AM32" s="169"/>
    </row>
    <row r="33" spans="1:39" s="170" customFormat="1" ht="24.6" customHeight="1" x14ac:dyDescent="0.2">
      <c r="A33" s="108" t="s">
        <v>256</v>
      </c>
      <c r="B33" s="108" t="s">
        <v>256</v>
      </c>
      <c r="C33" s="108" t="s">
        <v>447</v>
      </c>
      <c r="D33" s="207"/>
      <c r="E33" s="73" t="s">
        <v>212</v>
      </c>
      <c r="F33" s="26"/>
      <c r="G33" s="239" t="str">
        <f t="shared" si="0"/>
        <v>PERU-01-17-170-61-001 - A</v>
      </c>
      <c r="H33" s="115" t="s">
        <v>113</v>
      </c>
      <c r="I33" s="4" t="s">
        <v>34</v>
      </c>
      <c r="J33" s="117" t="s">
        <v>35</v>
      </c>
      <c r="K33" s="80">
        <v>8</v>
      </c>
      <c r="L33" s="117" t="s">
        <v>139</v>
      </c>
      <c r="M33" s="117" t="s">
        <v>79</v>
      </c>
      <c r="N33" s="116" t="s">
        <v>42</v>
      </c>
      <c r="O33" s="17" t="s">
        <v>39</v>
      </c>
      <c r="P33" s="22" t="s">
        <v>63</v>
      </c>
      <c r="Q33" s="22" t="s">
        <v>114</v>
      </c>
      <c r="R33" s="69" t="str">
        <f t="shared" si="1"/>
        <v>PER-E-8-U7-FAT-001-00-VHHR</v>
      </c>
      <c r="S33" s="240" t="s">
        <v>213</v>
      </c>
      <c r="T33" s="118" t="s">
        <v>795</v>
      </c>
      <c r="U33" s="118"/>
      <c r="V33" s="118" t="s">
        <v>102</v>
      </c>
      <c r="W33" s="160"/>
      <c r="X33" s="111" t="s">
        <v>764</v>
      </c>
      <c r="Y33" s="161"/>
      <c r="Z33" s="71"/>
      <c r="AA33" s="163"/>
      <c r="AB33" s="164"/>
      <c r="AC33" s="164"/>
      <c r="AD33" s="165"/>
      <c r="AE33" s="166"/>
      <c r="AF33" s="167"/>
      <c r="AG33" s="165"/>
      <c r="AH33" s="168"/>
      <c r="AI33" s="169"/>
      <c r="AJ33" s="169"/>
      <c r="AK33" s="169"/>
      <c r="AL33" s="169"/>
      <c r="AM33" s="169"/>
    </row>
    <row r="34" spans="1:39" s="170" customFormat="1" ht="24.75" customHeight="1" x14ac:dyDescent="0.2">
      <c r="A34" s="108" t="s">
        <v>256</v>
      </c>
      <c r="B34" s="108" t="s">
        <v>256</v>
      </c>
      <c r="C34" s="108" t="s">
        <v>447</v>
      </c>
      <c r="D34" s="207"/>
      <c r="E34" s="73" t="s">
        <v>214</v>
      </c>
      <c r="F34" s="26"/>
      <c r="G34" s="239" t="str">
        <f t="shared" si="0"/>
        <v>PERU-01-17-170-52-001 - A</v>
      </c>
      <c r="H34" s="115" t="s">
        <v>113</v>
      </c>
      <c r="I34" s="4" t="s">
        <v>34</v>
      </c>
      <c r="J34" s="117" t="s">
        <v>35</v>
      </c>
      <c r="K34" s="80">
        <v>8</v>
      </c>
      <c r="L34" s="117" t="s">
        <v>139</v>
      </c>
      <c r="M34" s="117" t="s">
        <v>82</v>
      </c>
      <c r="N34" s="116" t="s">
        <v>42</v>
      </c>
      <c r="O34" s="17" t="s">
        <v>39</v>
      </c>
      <c r="P34" s="22" t="s">
        <v>63</v>
      </c>
      <c r="Q34" s="22" t="s">
        <v>114</v>
      </c>
      <c r="R34" s="69" t="str">
        <f t="shared" si="1"/>
        <v>PER-E-8-U7-CMM-001-00-VHHR</v>
      </c>
      <c r="S34" s="240" t="s">
        <v>215</v>
      </c>
      <c r="T34" s="118" t="s">
        <v>794</v>
      </c>
      <c r="U34" s="118"/>
      <c r="V34" s="118" t="s">
        <v>83</v>
      </c>
      <c r="W34" s="160"/>
      <c r="X34" s="111" t="s">
        <v>764</v>
      </c>
      <c r="Y34" s="161"/>
      <c r="Z34" s="71"/>
      <c r="AA34" s="163"/>
      <c r="AB34" s="164"/>
      <c r="AC34" s="164"/>
      <c r="AD34" s="165"/>
      <c r="AE34" s="166"/>
      <c r="AF34" s="167"/>
      <c r="AG34" s="165"/>
      <c r="AH34" s="168"/>
      <c r="AI34" s="169"/>
      <c r="AJ34" s="169"/>
      <c r="AK34" s="169"/>
      <c r="AL34" s="169"/>
      <c r="AM34" s="169"/>
    </row>
    <row r="35" spans="1:39" s="170" customFormat="1" ht="24.75" customHeight="1" x14ac:dyDescent="0.2">
      <c r="A35" s="108" t="s">
        <v>258</v>
      </c>
      <c r="B35" s="108" t="s">
        <v>256</v>
      </c>
      <c r="C35" s="108" t="s">
        <v>447</v>
      </c>
      <c r="D35" s="205"/>
      <c r="E35" s="73" t="s">
        <v>216</v>
      </c>
      <c r="F35" s="26"/>
      <c r="G35" s="239" t="str">
        <f t="shared" si="0"/>
        <v>PERU-01-17-170-70-001 - A</v>
      </c>
      <c r="H35" s="115" t="s">
        <v>113</v>
      </c>
      <c r="I35" s="4" t="s">
        <v>34</v>
      </c>
      <c r="J35" s="117" t="s">
        <v>35</v>
      </c>
      <c r="K35" s="80">
        <v>8</v>
      </c>
      <c r="L35" s="117" t="s">
        <v>139</v>
      </c>
      <c r="M35" s="117" t="s">
        <v>85</v>
      </c>
      <c r="N35" s="116" t="s">
        <v>42</v>
      </c>
      <c r="O35" s="17" t="s">
        <v>39</v>
      </c>
      <c r="P35" s="22" t="s">
        <v>63</v>
      </c>
      <c r="Q35" s="22" t="s">
        <v>114</v>
      </c>
      <c r="R35" s="69" t="str">
        <f t="shared" si="1"/>
        <v>PER-E-8-U7-MAN-001-00-VHHR</v>
      </c>
      <c r="S35" s="240" t="s">
        <v>217</v>
      </c>
      <c r="T35" s="118" t="s">
        <v>501</v>
      </c>
      <c r="U35" s="118"/>
      <c r="V35" s="118" t="s">
        <v>109</v>
      </c>
      <c r="W35" s="160"/>
      <c r="X35" s="203" t="s">
        <v>772</v>
      </c>
      <c r="Y35" s="161"/>
      <c r="Z35" s="71"/>
      <c r="AA35" s="163"/>
      <c r="AB35" s="164"/>
      <c r="AC35" s="164"/>
      <c r="AD35" s="165"/>
      <c r="AE35" s="166"/>
      <c r="AF35" s="167"/>
      <c r="AG35" s="165"/>
      <c r="AH35" s="168"/>
      <c r="AI35" s="169"/>
      <c r="AJ35" s="169"/>
      <c r="AK35" s="169"/>
      <c r="AL35" s="169"/>
      <c r="AM35" s="169"/>
    </row>
    <row r="36" spans="1:39" s="170" customFormat="1" ht="24.75" customHeight="1" x14ac:dyDescent="0.2">
      <c r="A36" s="108" t="s">
        <v>255</v>
      </c>
      <c r="B36" s="108" t="s">
        <v>258</v>
      </c>
      <c r="C36" s="108" t="s">
        <v>448</v>
      </c>
      <c r="D36" s="123"/>
      <c r="E36" s="119" t="s">
        <v>218</v>
      </c>
      <c r="F36" s="26"/>
      <c r="G36" s="239" t="str">
        <f t="shared" si="0"/>
        <v>PERU-01-17-170-12-002 - A</v>
      </c>
      <c r="H36" s="115" t="s">
        <v>113</v>
      </c>
      <c r="I36" s="4" t="s">
        <v>34</v>
      </c>
      <c r="J36" s="117" t="s">
        <v>35</v>
      </c>
      <c r="K36" s="80">
        <v>8</v>
      </c>
      <c r="L36" s="117" t="s">
        <v>139</v>
      </c>
      <c r="M36" s="117" t="s">
        <v>50</v>
      </c>
      <c r="N36" s="116" t="s">
        <v>38</v>
      </c>
      <c r="O36" s="17" t="s">
        <v>39</v>
      </c>
      <c r="P36" s="22" t="s">
        <v>63</v>
      </c>
      <c r="Q36" s="27" t="s">
        <v>114</v>
      </c>
      <c r="R36" s="69" t="str">
        <f t="shared" si="1"/>
        <v>PER-E-8-U7-SCH-002-00-VHHR</v>
      </c>
      <c r="S36" s="240" t="s">
        <v>219</v>
      </c>
      <c r="T36" s="118" t="s">
        <v>502</v>
      </c>
      <c r="U36" s="118"/>
      <c r="V36" s="118" t="s">
        <v>106</v>
      </c>
      <c r="W36" s="160"/>
      <c r="X36" s="111" t="s">
        <v>750</v>
      </c>
      <c r="Y36" s="161"/>
      <c r="Z36" s="71"/>
      <c r="AA36" s="163"/>
      <c r="AB36" s="164"/>
      <c r="AC36" s="164"/>
      <c r="AD36" s="165"/>
      <c r="AE36" s="166"/>
      <c r="AF36" s="167"/>
      <c r="AG36" s="165"/>
      <c r="AH36" s="168"/>
      <c r="AI36" s="169"/>
      <c r="AJ36" s="169"/>
      <c r="AK36" s="169"/>
      <c r="AL36" s="169"/>
      <c r="AM36" s="169"/>
    </row>
    <row r="37" spans="1:39" s="170" customFormat="1" ht="24.75" customHeight="1" x14ac:dyDescent="0.2">
      <c r="A37" s="108" t="s">
        <v>255</v>
      </c>
      <c r="B37" s="108" t="s">
        <v>258</v>
      </c>
      <c r="C37" s="108" t="s">
        <v>446</v>
      </c>
      <c r="D37" s="122" t="s">
        <v>800</v>
      </c>
      <c r="E37" s="73" t="s">
        <v>220</v>
      </c>
      <c r="F37" s="26"/>
      <c r="G37" s="239" t="str">
        <f t="shared" si="0"/>
        <v>PERU-01-17-153-33-001 - A</v>
      </c>
      <c r="H37" s="115" t="s">
        <v>113</v>
      </c>
      <c r="I37" s="4" t="s">
        <v>34</v>
      </c>
      <c r="J37" s="117" t="s">
        <v>35</v>
      </c>
      <c r="K37" s="80">
        <v>8</v>
      </c>
      <c r="L37" s="117" t="s">
        <v>139</v>
      </c>
      <c r="M37" s="117" t="s">
        <v>50</v>
      </c>
      <c r="N37" s="116" t="s">
        <v>59</v>
      </c>
      <c r="O37" s="17" t="s">
        <v>39</v>
      </c>
      <c r="P37" s="22" t="s">
        <v>63</v>
      </c>
      <c r="Q37" s="22" t="s">
        <v>114</v>
      </c>
      <c r="R37" s="69" t="str">
        <f t="shared" si="1"/>
        <v>PER-E-8-U7-SCH-004-00-VHHR</v>
      </c>
      <c r="S37" s="240" t="s">
        <v>205</v>
      </c>
      <c r="T37" s="118" t="s">
        <v>504</v>
      </c>
      <c r="U37" s="118" t="s">
        <v>806</v>
      </c>
      <c r="V37" s="118" t="s">
        <v>221</v>
      </c>
      <c r="W37" s="160"/>
      <c r="X37" s="203" t="s">
        <v>463</v>
      </c>
      <c r="Y37" s="161"/>
      <c r="Z37" s="71"/>
      <c r="AA37" s="163"/>
      <c r="AB37" s="164"/>
      <c r="AC37" s="164"/>
      <c r="AD37" s="165"/>
      <c r="AE37" s="166"/>
      <c r="AF37" s="167"/>
      <c r="AG37" s="165"/>
      <c r="AH37" s="168"/>
      <c r="AI37" s="169"/>
      <c r="AJ37" s="169"/>
      <c r="AK37" s="169"/>
      <c r="AL37" s="169"/>
      <c r="AM37" s="169"/>
    </row>
    <row r="38" spans="1:39" s="170" customFormat="1" ht="24.75" customHeight="1" x14ac:dyDescent="0.2">
      <c r="A38" s="108" t="s">
        <v>255</v>
      </c>
      <c r="B38" s="108" t="s">
        <v>258</v>
      </c>
      <c r="C38" s="108" t="s">
        <v>446</v>
      </c>
      <c r="D38" s="122" t="s">
        <v>800</v>
      </c>
      <c r="E38" s="73" t="s">
        <v>222</v>
      </c>
      <c r="F38" s="26"/>
      <c r="G38" s="239" t="str">
        <f t="shared" si="0"/>
        <v>PERU-01-17-196-31-001 - A</v>
      </c>
      <c r="H38" s="115" t="s">
        <v>113</v>
      </c>
      <c r="I38" s="4" t="s">
        <v>34</v>
      </c>
      <c r="J38" s="117" t="s">
        <v>35</v>
      </c>
      <c r="K38" s="80">
        <v>8</v>
      </c>
      <c r="L38" s="117" t="s">
        <v>139</v>
      </c>
      <c r="M38" s="117" t="s">
        <v>50</v>
      </c>
      <c r="N38" s="116" t="s">
        <v>60</v>
      </c>
      <c r="O38" s="17" t="s">
        <v>39</v>
      </c>
      <c r="P38" s="22" t="s">
        <v>63</v>
      </c>
      <c r="Q38" s="22" t="s">
        <v>114</v>
      </c>
      <c r="R38" s="69" t="str">
        <f t="shared" si="1"/>
        <v>PER-E-8-U7-SCH-005-00-VHHR</v>
      </c>
      <c r="S38" s="240" t="s">
        <v>223</v>
      </c>
      <c r="T38" s="118" t="s">
        <v>505</v>
      </c>
      <c r="U38" s="118" t="s">
        <v>807</v>
      </c>
      <c r="V38" s="118" t="s">
        <v>224</v>
      </c>
      <c r="W38" s="160"/>
      <c r="X38" s="203" t="s">
        <v>463</v>
      </c>
      <c r="Y38" s="161"/>
      <c r="Z38" s="71"/>
      <c r="AA38" s="163"/>
      <c r="AB38" s="164"/>
      <c r="AC38" s="164"/>
      <c r="AD38" s="165"/>
      <c r="AE38" s="166"/>
      <c r="AF38" s="167"/>
      <c r="AG38" s="165"/>
      <c r="AH38" s="168"/>
      <c r="AI38" s="169"/>
      <c r="AJ38" s="169"/>
      <c r="AK38" s="169"/>
      <c r="AL38" s="169"/>
      <c r="AM38" s="169"/>
    </row>
    <row r="39" spans="1:39" s="170" customFormat="1" ht="24.6" customHeight="1" x14ac:dyDescent="0.2">
      <c r="A39" s="108" t="s">
        <v>255</v>
      </c>
      <c r="B39" s="108" t="s">
        <v>258</v>
      </c>
      <c r="C39" s="108" t="s">
        <v>446</v>
      </c>
      <c r="D39" s="122" t="s">
        <v>800</v>
      </c>
      <c r="E39" s="73" t="s">
        <v>225</v>
      </c>
      <c r="F39" s="26"/>
      <c r="G39" s="239" t="str">
        <f t="shared" si="0"/>
        <v>PERU-01-17-132-31-001 - A</v>
      </c>
      <c r="H39" s="115" t="s">
        <v>113</v>
      </c>
      <c r="I39" s="4" t="s">
        <v>34</v>
      </c>
      <c r="J39" s="117" t="s">
        <v>35</v>
      </c>
      <c r="K39" s="80">
        <v>8</v>
      </c>
      <c r="L39" s="117" t="s">
        <v>139</v>
      </c>
      <c r="M39" s="117" t="s">
        <v>50</v>
      </c>
      <c r="N39" s="116" t="s">
        <v>61</v>
      </c>
      <c r="O39" s="17" t="s">
        <v>39</v>
      </c>
      <c r="P39" s="22" t="s">
        <v>63</v>
      </c>
      <c r="Q39" s="22" t="s">
        <v>114</v>
      </c>
      <c r="R39" s="69" t="str">
        <f t="shared" si="1"/>
        <v>PER-E-8-U7-SCH-006-00-VHHR</v>
      </c>
      <c r="S39" s="240" t="s">
        <v>226</v>
      </c>
      <c r="T39" s="118" t="s">
        <v>506</v>
      </c>
      <c r="U39" s="118" t="s">
        <v>808</v>
      </c>
      <c r="V39" s="118" t="s">
        <v>227</v>
      </c>
      <c r="W39" s="160"/>
      <c r="X39" s="203" t="s">
        <v>463</v>
      </c>
      <c r="Y39" s="161"/>
      <c r="Z39" s="71"/>
      <c r="AA39" s="163"/>
      <c r="AB39" s="164"/>
      <c r="AC39" s="164"/>
      <c r="AD39" s="165"/>
      <c r="AE39" s="166"/>
      <c r="AF39" s="167"/>
      <c r="AG39" s="165"/>
      <c r="AH39" s="168"/>
      <c r="AI39" s="169"/>
      <c r="AJ39" s="169"/>
      <c r="AK39" s="169"/>
      <c r="AL39" s="169"/>
      <c r="AM39" s="169"/>
    </row>
    <row r="40" spans="1:39" s="170" customFormat="1" ht="24.6" customHeight="1" x14ac:dyDescent="0.2">
      <c r="A40" s="108" t="s">
        <v>255</v>
      </c>
      <c r="B40" s="108" t="s">
        <v>258</v>
      </c>
      <c r="C40" s="108" t="s">
        <v>446</v>
      </c>
      <c r="D40" s="123"/>
      <c r="E40" s="73" t="s">
        <v>228</v>
      </c>
      <c r="F40" s="26"/>
      <c r="G40" s="239" t="str">
        <f t="shared" si="0"/>
        <v>PERU-01-17-196-14-001 - A</v>
      </c>
      <c r="H40" s="115" t="s">
        <v>113</v>
      </c>
      <c r="I40" s="4" t="s">
        <v>34</v>
      </c>
      <c r="J40" s="117" t="s">
        <v>35</v>
      </c>
      <c r="K40" s="80">
        <v>8</v>
      </c>
      <c r="L40" s="117" t="s">
        <v>139</v>
      </c>
      <c r="M40" s="117" t="s">
        <v>68</v>
      </c>
      <c r="N40" s="116" t="s">
        <v>38</v>
      </c>
      <c r="O40" s="17" t="s">
        <v>39</v>
      </c>
      <c r="P40" s="22" t="s">
        <v>63</v>
      </c>
      <c r="Q40" s="22" t="s">
        <v>114</v>
      </c>
      <c r="R40" s="69" t="str">
        <f t="shared" si="1"/>
        <v>PER-E-8-U7-ASB-002-00-VHHR</v>
      </c>
      <c r="S40" s="240" t="s">
        <v>229</v>
      </c>
      <c r="T40" s="118" t="s">
        <v>507</v>
      </c>
      <c r="U40" s="118"/>
      <c r="V40" s="118" t="s">
        <v>230</v>
      </c>
      <c r="W40" s="160"/>
      <c r="X40" s="111" t="s">
        <v>751</v>
      </c>
      <c r="Y40" s="161"/>
      <c r="Z40" s="71"/>
      <c r="AA40" s="163"/>
      <c r="AB40" s="164"/>
      <c r="AC40" s="164"/>
      <c r="AD40" s="165"/>
      <c r="AE40" s="166"/>
      <c r="AF40" s="167"/>
      <c r="AG40" s="165"/>
      <c r="AH40" s="168"/>
      <c r="AI40" s="169"/>
      <c r="AJ40" s="169"/>
      <c r="AK40" s="169"/>
      <c r="AL40" s="169"/>
      <c r="AM40" s="169"/>
    </row>
    <row r="41" spans="1:39" s="170" customFormat="1" ht="24.75" customHeight="1" x14ac:dyDescent="0.2">
      <c r="A41" s="108" t="s">
        <v>255</v>
      </c>
      <c r="B41" s="108" t="s">
        <v>258</v>
      </c>
      <c r="C41" s="108" t="s">
        <v>446</v>
      </c>
      <c r="D41" s="123"/>
      <c r="E41" s="73" t="s">
        <v>231</v>
      </c>
      <c r="F41" s="26"/>
      <c r="G41" s="239" t="str">
        <f t="shared" si="0"/>
        <v>PERU-01-17-132-14-001 - A</v>
      </c>
      <c r="H41" s="115" t="s">
        <v>113</v>
      </c>
      <c r="I41" s="4" t="s">
        <v>34</v>
      </c>
      <c r="J41" s="117" t="s">
        <v>35</v>
      </c>
      <c r="K41" s="80">
        <v>8</v>
      </c>
      <c r="L41" s="117" t="s">
        <v>139</v>
      </c>
      <c r="M41" s="117" t="s">
        <v>68</v>
      </c>
      <c r="N41" s="116" t="s">
        <v>58</v>
      </c>
      <c r="O41" s="17" t="s">
        <v>39</v>
      </c>
      <c r="P41" s="22" t="s">
        <v>63</v>
      </c>
      <c r="Q41" s="22" t="s">
        <v>114</v>
      </c>
      <c r="R41" s="69" t="str">
        <f t="shared" si="1"/>
        <v>PER-E-8-U7-ASB-003-00-VHHR</v>
      </c>
      <c r="S41" s="240" t="s">
        <v>232</v>
      </c>
      <c r="T41" s="118" t="s">
        <v>503</v>
      </c>
      <c r="U41" s="118"/>
      <c r="V41" s="118" t="s">
        <v>233</v>
      </c>
      <c r="W41" s="160"/>
      <c r="X41" s="111" t="s">
        <v>751</v>
      </c>
      <c r="Y41" s="161"/>
      <c r="Z41" s="71"/>
      <c r="AA41" s="163"/>
      <c r="AB41" s="164"/>
      <c r="AC41" s="164"/>
      <c r="AD41" s="165"/>
      <c r="AE41" s="166"/>
      <c r="AF41" s="167"/>
      <c r="AG41" s="165"/>
      <c r="AH41" s="168"/>
      <c r="AI41" s="169"/>
      <c r="AJ41" s="169"/>
      <c r="AK41" s="169"/>
      <c r="AL41" s="169"/>
      <c r="AM41" s="169"/>
    </row>
    <row r="42" spans="1:39" s="170" customFormat="1" ht="24.75" customHeight="1" x14ac:dyDescent="0.2">
      <c r="A42" s="108" t="s">
        <v>256</v>
      </c>
      <c r="B42" s="108" t="s">
        <v>256</v>
      </c>
      <c r="C42" s="108" t="s">
        <v>449</v>
      </c>
      <c r="D42" s="207"/>
      <c r="E42" s="118" t="s">
        <v>234</v>
      </c>
      <c r="F42" s="26"/>
      <c r="G42" s="239" t="str">
        <f t="shared" si="0"/>
        <v>PERU-01-17-150-61-001 - A</v>
      </c>
      <c r="H42" s="115" t="s">
        <v>113</v>
      </c>
      <c r="I42" s="4" t="s">
        <v>34</v>
      </c>
      <c r="J42" s="117" t="s">
        <v>35</v>
      </c>
      <c r="K42" s="80">
        <v>8</v>
      </c>
      <c r="L42" s="117" t="s">
        <v>139</v>
      </c>
      <c r="M42" s="117" t="s">
        <v>79</v>
      </c>
      <c r="N42" s="116" t="s">
        <v>38</v>
      </c>
      <c r="O42" s="116" t="s">
        <v>39</v>
      </c>
      <c r="P42" s="22" t="s">
        <v>63</v>
      </c>
      <c r="Q42" s="22" t="s">
        <v>114</v>
      </c>
      <c r="R42" s="69" t="str">
        <f t="shared" si="1"/>
        <v>PER-E-8-U7-FAT-002-00-VHHR</v>
      </c>
      <c r="S42" s="240" t="s">
        <v>235</v>
      </c>
      <c r="T42" s="118" t="s">
        <v>796</v>
      </c>
      <c r="U42" s="118"/>
      <c r="V42" s="118" t="s">
        <v>236</v>
      </c>
      <c r="W42" s="160"/>
      <c r="X42" s="111" t="s">
        <v>764</v>
      </c>
      <c r="Y42" s="161"/>
      <c r="Z42" s="71"/>
      <c r="AA42" s="163"/>
      <c r="AB42" s="164"/>
      <c r="AC42" s="164"/>
      <c r="AD42" s="165"/>
      <c r="AE42" s="166"/>
      <c r="AF42" s="167"/>
      <c r="AG42" s="165"/>
      <c r="AH42" s="168"/>
      <c r="AI42" s="169"/>
      <c r="AJ42" s="169"/>
      <c r="AK42" s="169"/>
      <c r="AL42" s="169"/>
      <c r="AM42" s="169"/>
    </row>
    <row r="43" spans="1:39" s="170" customFormat="1" ht="24.75" customHeight="1" x14ac:dyDescent="0.2">
      <c r="A43" s="108" t="s">
        <v>255</v>
      </c>
      <c r="B43" s="108" t="s">
        <v>258</v>
      </c>
      <c r="C43" s="108" t="s">
        <v>446</v>
      </c>
      <c r="D43" s="123"/>
      <c r="E43" s="118" t="s">
        <v>237</v>
      </c>
      <c r="F43" s="26"/>
      <c r="G43" s="239" t="str">
        <f t="shared" si="0"/>
        <v>PERU-01-17-196-33-001 - A</v>
      </c>
      <c r="H43" s="115" t="s">
        <v>113</v>
      </c>
      <c r="I43" s="4" t="s">
        <v>34</v>
      </c>
      <c r="J43" s="117" t="s">
        <v>35</v>
      </c>
      <c r="K43" s="80">
        <v>8</v>
      </c>
      <c r="L43" s="117" t="s">
        <v>139</v>
      </c>
      <c r="M43" s="117" t="s">
        <v>76</v>
      </c>
      <c r="N43" s="116" t="s">
        <v>58</v>
      </c>
      <c r="O43" s="116" t="s">
        <v>39</v>
      </c>
      <c r="P43" s="22" t="s">
        <v>63</v>
      </c>
      <c r="Q43" s="22" t="s">
        <v>114</v>
      </c>
      <c r="R43" s="69" t="str">
        <f t="shared" si="1"/>
        <v>PER-E-8-U7-ROU-003-00-VHHR</v>
      </c>
      <c r="S43" s="240" t="s">
        <v>238</v>
      </c>
      <c r="T43" s="118" t="s">
        <v>508</v>
      </c>
      <c r="U43" s="118"/>
      <c r="V43" s="118" t="s">
        <v>239</v>
      </c>
      <c r="W43" s="160"/>
      <c r="X43" s="111" t="s">
        <v>753</v>
      </c>
      <c r="Y43" s="161"/>
      <c r="Z43" s="71"/>
      <c r="AA43" s="163"/>
      <c r="AB43" s="164"/>
      <c r="AC43" s="164"/>
      <c r="AD43" s="165"/>
      <c r="AE43" s="166"/>
      <c r="AF43" s="167"/>
      <c r="AG43" s="165"/>
      <c r="AH43" s="168"/>
      <c r="AI43" s="169"/>
      <c r="AJ43" s="169"/>
      <c r="AK43" s="169"/>
      <c r="AL43" s="169"/>
      <c r="AM43" s="169"/>
    </row>
    <row r="44" spans="1:39" s="170" customFormat="1" ht="24.75" customHeight="1" x14ac:dyDescent="0.2">
      <c r="A44" s="108" t="s">
        <v>255</v>
      </c>
      <c r="B44" s="108" t="s">
        <v>258</v>
      </c>
      <c r="C44" s="108" t="s">
        <v>446</v>
      </c>
      <c r="D44" s="123"/>
      <c r="E44" s="118" t="s">
        <v>240</v>
      </c>
      <c r="F44" s="26"/>
      <c r="G44" s="239" t="str">
        <f t="shared" si="0"/>
        <v>PERU-01-17-132-33-001 - A</v>
      </c>
      <c r="H44" s="115" t="s">
        <v>113</v>
      </c>
      <c r="I44" s="4" t="s">
        <v>34</v>
      </c>
      <c r="J44" s="117" t="s">
        <v>35</v>
      </c>
      <c r="K44" s="80">
        <v>8</v>
      </c>
      <c r="L44" s="117" t="s">
        <v>139</v>
      </c>
      <c r="M44" s="117" t="s">
        <v>76</v>
      </c>
      <c r="N44" s="116" t="s">
        <v>59</v>
      </c>
      <c r="O44" s="116" t="s">
        <v>39</v>
      </c>
      <c r="P44" s="22" t="s">
        <v>63</v>
      </c>
      <c r="Q44" s="22" t="s">
        <v>114</v>
      </c>
      <c r="R44" s="69" t="str">
        <f t="shared" si="1"/>
        <v>PER-E-8-U7-ROU-004-00-VHHR</v>
      </c>
      <c r="S44" s="240" t="s">
        <v>241</v>
      </c>
      <c r="T44" s="118" t="s">
        <v>509</v>
      </c>
      <c r="U44" s="118"/>
      <c r="V44" s="118" t="s">
        <v>242</v>
      </c>
      <c r="W44" s="160"/>
      <c r="X44" s="111" t="s">
        <v>753</v>
      </c>
      <c r="Y44" s="161"/>
      <c r="Z44" s="71"/>
      <c r="AA44" s="163"/>
      <c r="AB44" s="164"/>
      <c r="AC44" s="164"/>
      <c r="AD44" s="165"/>
      <c r="AE44" s="166"/>
      <c r="AF44" s="167"/>
      <c r="AG44" s="165"/>
      <c r="AH44" s="168"/>
      <c r="AI44" s="169"/>
      <c r="AJ44" s="169"/>
      <c r="AK44" s="169"/>
      <c r="AL44" s="169"/>
      <c r="AM44" s="169"/>
    </row>
    <row r="45" spans="1:39" s="170" customFormat="1" ht="24.75" customHeight="1" x14ac:dyDescent="0.2">
      <c r="A45" s="108" t="s">
        <v>255</v>
      </c>
      <c r="B45" s="108" t="s">
        <v>258</v>
      </c>
      <c r="C45" s="108" t="s">
        <v>446</v>
      </c>
      <c r="D45" s="123"/>
      <c r="E45" s="118" t="s">
        <v>243</v>
      </c>
      <c r="F45" s="26"/>
      <c r="G45" s="239" t="str">
        <f t="shared" si="0"/>
        <v>PERU-01-17-150-33-001 - A</v>
      </c>
      <c r="H45" s="115" t="s">
        <v>113</v>
      </c>
      <c r="I45" s="4" t="s">
        <v>34</v>
      </c>
      <c r="J45" s="117" t="s">
        <v>35</v>
      </c>
      <c r="K45" s="80">
        <v>8</v>
      </c>
      <c r="L45" s="117" t="s">
        <v>139</v>
      </c>
      <c r="M45" s="117" t="s">
        <v>76</v>
      </c>
      <c r="N45" s="116" t="s">
        <v>60</v>
      </c>
      <c r="O45" s="116" t="s">
        <v>39</v>
      </c>
      <c r="P45" s="22" t="s">
        <v>63</v>
      </c>
      <c r="Q45" s="22" t="s">
        <v>114</v>
      </c>
      <c r="R45" s="69" t="str">
        <f t="shared" si="1"/>
        <v>PER-E-8-U7-ROU-005-00-VHHR</v>
      </c>
      <c r="S45" s="240" t="s">
        <v>244</v>
      </c>
      <c r="T45" s="118" t="s">
        <v>245</v>
      </c>
      <c r="U45" s="118"/>
      <c r="V45" s="118" t="s">
        <v>245</v>
      </c>
      <c r="W45" s="160"/>
      <c r="X45" s="111" t="s">
        <v>753</v>
      </c>
      <c r="Y45" s="161"/>
      <c r="Z45" s="71"/>
      <c r="AA45" s="163"/>
      <c r="AB45" s="164"/>
      <c r="AC45" s="164"/>
      <c r="AD45" s="165"/>
      <c r="AE45" s="166"/>
      <c r="AF45" s="167"/>
      <c r="AG45" s="165"/>
      <c r="AH45" s="168"/>
      <c r="AI45" s="169"/>
      <c r="AJ45" s="169"/>
      <c r="AK45" s="169"/>
      <c r="AL45" s="169"/>
      <c r="AM45" s="169"/>
    </row>
    <row r="46" spans="1:39" s="170" customFormat="1" ht="24.75" customHeight="1" x14ac:dyDescent="0.2">
      <c r="A46" s="108" t="s">
        <v>255</v>
      </c>
      <c r="B46" s="108" t="s">
        <v>255</v>
      </c>
      <c r="C46" s="108" t="s">
        <v>436</v>
      </c>
      <c r="D46" s="123"/>
      <c r="E46" s="118" t="s">
        <v>247</v>
      </c>
      <c r="F46" s="26"/>
      <c r="G46" s="239" t="str">
        <f t="shared" si="0"/>
        <v>PERU-01-17-170-17-001 - A</v>
      </c>
      <c r="H46" s="115" t="s">
        <v>113</v>
      </c>
      <c r="I46" s="58" t="s">
        <v>34</v>
      </c>
      <c r="J46" s="117" t="s">
        <v>56</v>
      </c>
      <c r="K46" s="81">
        <v>8</v>
      </c>
      <c r="L46" s="58" t="s">
        <v>139</v>
      </c>
      <c r="M46" s="58" t="s">
        <v>55</v>
      </c>
      <c r="N46" s="234" t="s">
        <v>42</v>
      </c>
      <c r="O46" s="59" t="s">
        <v>147</v>
      </c>
      <c r="P46" s="22" t="s">
        <v>63</v>
      </c>
      <c r="Q46" s="22" t="s">
        <v>114</v>
      </c>
      <c r="R46" s="69" t="str">
        <f t="shared" si="1"/>
        <v>PER-C-8-U7-LAY-001-03-VHHR</v>
      </c>
      <c r="S46" s="121" t="s">
        <v>439</v>
      </c>
      <c r="T46" s="118" t="s">
        <v>511</v>
      </c>
      <c r="U46" s="118"/>
      <c r="V46" s="235" t="s">
        <v>248</v>
      </c>
      <c r="W46" s="160"/>
      <c r="X46" s="111" t="s">
        <v>750</v>
      </c>
      <c r="Y46" s="161"/>
      <c r="Z46" s="71"/>
      <c r="AA46" s="163"/>
      <c r="AB46" s="164"/>
      <c r="AC46" s="164"/>
      <c r="AD46" s="165"/>
      <c r="AE46" s="166"/>
      <c r="AF46" s="167"/>
      <c r="AG46" s="165"/>
      <c r="AH46" s="168"/>
      <c r="AI46" s="169"/>
      <c r="AJ46" s="169"/>
      <c r="AK46" s="169"/>
      <c r="AL46" s="169"/>
      <c r="AM46" s="169"/>
    </row>
    <row r="47" spans="1:39" s="170" customFormat="1" ht="24.75" customHeight="1" x14ac:dyDescent="0.2">
      <c r="A47" s="108" t="s">
        <v>255</v>
      </c>
      <c r="B47" s="108" t="s">
        <v>258</v>
      </c>
      <c r="C47" s="108" t="s">
        <v>450</v>
      </c>
      <c r="D47" s="123"/>
      <c r="E47" s="241" t="s">
        <v>443</v>
      </c>
      <c r="F47" s="114"/>
      <c r="G47" s="239" t="str">
        <f t="shared" si="0"/>
        <v>PERU-01-17-170-07-001 - A</v>
      </c>
      <c r="H47" s="115" t="s">
        <v>113</v>
      </c>
      <c r="I47" s="4" t="s">
        <v>34</v>
      </c>
      <c r="J47" s="117" t="s">
        <v>35</v>
      </c>
      <c r="K47" s="4">
        <v>8</v>
      </c>
      <c r="L47" s="58" t="s">
        <v>139</v>
      </c>
      <c r="M47" s="58" t="s">
        <v>52</v>
      </c>
      <c r="N47" s="116" t="s">
        <v>42</v>
      </c>
      <c r="O47" s="17" t="s">
        <v>39</v>
      </c>
      <c r="P47" s="22" t="s">
        <v>63</v>
      </c>
      <c r="Q47" s="22" t="s">
        <v>114</v>
      </c>
      <c r="R47" s="69" t="str">
        <f t="shared" si="1"/>
        <v>PER-E-8-U7-TSP-001-00-VHHR</v>
      </c>
      <c r="S47" s="117" t="s">
        <v>440</v>
      </c>
      <c r="T47" s="118" t="s">
        <v>512</v>
      </c>
      <c r="U47" s="118"/>
      <c r="V47" s="119" t="s">
        <v>437</v>
      </c>
      <c r="W47" s="160"/>
      <c r="X47" s="111" t="s">
        <v>750</v>
      </c>
      <c r="Y47" s="161"/>
      <c r="Z47" s="71"/>
      <c r="AA47" s="163"/>
      <c r="AB47" s="164"/>
      <c r="AC47" s="164"/>
      <c r="AD47" s="165"/>
      <c r="AE47" s="166"/>
      <c r="AF47" s="167"/>
      <c r="AG47" s="165"/>
      <c r="AH47" s="168"/>
      <c r="AI47" s="169"/>
      <c r="AJ47" s="169"/>
      <c r="AK47" s="169"/>
      <c r="AL47" s="169"/>
      <c r="AM47" s="169"/>
    </row>
    <row r="48" spans="1:39" s="170" customFormat="1" ht="24.75" customHeight="1" x14ac:dyDescent="0.2">
      <c r="A48" s="108" t="s">
        <v>255</v>
      </c>
      <c r="B48" s="108" t="s">
        <v>258</v>
      </c>
      <c r="C48" s="108" t="s">
        <v>446</v>
      </c>
      <c r="D48" s="123"/>
      <c r="E48" s="241" t="s">
        <v>444</v>
      </c>
      <c r="F48" s="114"/>
      <c r="G48" s="239" t="str">
        <f t="shared" si="0"/>
        <v>PERU-01-17-150-17-001 - A</v>
      </c>
      <c r="H48" s="115" t="s">
        <v>113</v>
      </c>
      <c r="I48" s="4" t="s">
        <v>34</v>
      </c>
      <c r="J48" s="117" t="s">
        <v>35</v>
      </c>
      <c r="K48" s="4">
        <v>8</v>
      </c>
      <c r="L48" s="58" t="s">
        <v>139</v>
      </c>
      <c r="M48" s="58" t="s">
        <v>55</v>
      </c>
      <c r="N48" s="116" t="s">
        <v>42</v>
      </c>
      <c r="O48" s="17" t="s">
        <v>39</v>
      </c>
      <c r="P48" s="22" t="s">
        <v>63</v>
      </c>
      <c r="Q48" s="22" t="s">
        <v>114</v>
      </c>
      <c r="R48" s="69" t="str">
        <f t="shared" si="1"/>
        <v>PER-E-8-U7-LAY-001-00-VHHR</v>
      </c>
      <c r="S48" s="117" t="s">
        <v>441</v>
      </c>
      <c r="T48" s="118" t="s">
        <v>510</v>
      </c>
      <c r="U48" s="118"/>
      <c r="V48" s="119" t="s">
        <v>438</v>
      </c>
      <c r="W48" s="160"/>
      <c r="X48" s="111" t="s">
        <v>751</v>
      </c>
      <c r="Y48" s="161"/>
      <c r="Z48" s="71"/>
      <c r="AA48" s="163"/>
      <c r="AB48" s="164"/>
      <c r="AC48" s="164"/>
      <c r="AD48" s="165"/>
      <c r="AE48" s="166"/>
      <c r="AF48" s="167"/>
      <c r="AG48" s="165"/>
      <c r="AH48" s="168"/>
      <c r="AI48" s="169"/>
      <c r="AJ48" s="169"/>
      <c r="AK48" s="169"/>
      <c r="AL48" s="169"/>
      <c r="AM48" s="169"/>
    </row>
    <row r="49" spans="1:39" s="170" customFormat="1" ht="24.75" customHeight="1" x14ac:dyDescent="0.2">
      <c r="A49" s="108" t="s">
        <v>255</v>
      </c>
      <c r="B49" s="108" t="s">
        <v>258</v>
      </c>
      <c r="C49" s="108" t="s">
        <v>448</v>
      </c>
      <c r="D49" s="123"/>
      <c r="E49" s="241" t="s">
        <v>445</v>
      </c>
      <c r="F49" s="114"/>
      <c r="G49" s="239" t="str">
        <f t="shared" si="0"/>
        <v>PERU-01-17-170-41-001 - A</v>
      </c>
      <c r="H49" s="115" t="s">
        <v>113</v>
      </c>
      <c r="I49" s="4" t="s">
        <v>34</v>
      </c>
      <c r="J49" s="20" t="s">
        <v>35</v>
      </c>
      <c r="K49" s="4">
        <v>8</v>
      </c>
      <c r="L49" s="58" t="s">
        <v>139</v>
      </c>
      <c r="M49" s="20" t="s">
        <v>47</v>
      </c>
      <c r="N49" s="116" t="s">
        <v>91</v>
      </c>
      <c r="O49" s="116" t="s">
        <v>39</v>
      </c>
      <c r="P49" s="22" t="s">
        <v>63</v>
      </c>
      <c r="Q49" s="22" t="s">
        <v>114</v>
      </c>
      <c r="R49" s="69" t="str">
        <f t="shared" si="1"/>
        <v>PER-E-8-U7-SOF-100-00-VHHR</v>
      </c>
      <c r="S49" s="120" t="s">
        <v>434</v>
      </c>
      <c r="T49" s="118" t="s">
        <v>442</v>
      </c>
      <c r="U49" s="118"/>
      <c r="V49" s="118" t="s">
        <v>442</v>
      </c>
      <c r="W49" s="160"/>
      <c r="X49" s="111" t="s">
        <v>757</v>
      </c>
      <c r="Y49" s="161"/>
      <c r="Z49" s="71"/>
      <c r="AA49" s="163"/>
      <c r="AB49" s="164"/>
      <c r="AC49" s="164"/>
      <c r="AD49" s="165"/>
      <c r="AE49" s="166"/>
      <c r="AF49" s="167"/>
      <c r="AG49" s="165"/>
      <c r="AH49" s="168"/>
      <c r="AI49" s="169"/>
      <c r="AJ49" s="169"/>
      <c r="AK49" s="169"/>
      <c r="AL49" s="169"/>
      <c r="AM49" s="169"/>
    </row>
    <row r="52" spans="1:39" ht="24.75" customHeight="1" x14ac:dyDescent="0.25">
      <c r="D52" s="140"/>
      <c r="E52" s="109" t="s">
        <v>420</v>
      </c>
    </row>
    <row r="53" spans="1:39" ht="24.75" customHeight="1" x14ac:dyDescent="0.25">
      <c r="D53" s="141"/>
      <c r="E53" s="109" t="s">
        <v>458</v>
      </c>
    </row>
    <row r="54" spans="1:39" ht="24.75" customHeight="1" x14ac:dyDescent="0.25">
      <c r="D54" s="142"/>
      <c r="E54" s="109" t="s">
        <v>421</v>
      </c>
    </row>
    <row r="55" spans="1:39" ht="24.75" customHeight="1" x14ac:dyDescent="0.25">
      <c r="D55" s="143"/>
      <c r="E55" s="109" t="s">
        <v>454</v>
      </c>
    </row>
    <row r="56" spans="1:39" ht="24.75" customHeight="1" x14ac:dyDescent="0.25">
      <c r="D56" s="206"/>
      <c r="E56" s="109" t="s">
        <v>459</v>
      </c>
    </row>
    <row r="57" spans="1:39" ht="24.75" customHeight="1" x14ac:dyDescent="0.25">
      <c r="D57" s="204"/>
      <c r="E57" s="109" t="s">
        <v>455</v>
      </c>
    </row>
  </sheetData>
  <protectedRanges>
    <protectedRange algorithmName="SHA-512" hashValue="DT+g7BNaXiSQyqgnZOKwRrBRMsFzaneKlmj6xf4OtwBIPVKsUvuyVpVK0rC0SpdkhPNlHz8+At1JiF6RyrKsQg==" saltValue="msPR9IRc+iGbx3A9mg/o4w==" spinCount="100000" sqref="R61:R77" name="Range1_1_1"/>
    <protectedRange algorithmName="SHA-512" hashValue="DT+g7BNaXiSQyqgnZOKwRrBRMsFzaneKlmj6xf4OtwBIPVKsUvuyVpVK0rC0SpdkhPNlHz8+At1JiF6RyrKsQg==" saltValue="msPR9IRc+iGbx3A9mg/o4w==" spinCount="100000" sqref="R78" name="Range1_2_1"/>
    <protectedRange algorithmName="SHA-512" hashValue="DT+g7BNaXiSQyqgnZOKwRrBRMsFzaneKlmj6xf4OtwBIPVKsUvuyVpVK0rC0SpdkhPNlHz8+At1JiF6RyrKsQg==" saltValue="msPR9IRc+iGbx3A9mg/o4w==" spinCount="100000" sqref="R79" name="Range1_3_1"/>
    <protectedRange sqref="R79" name="Range2_3_1"/>
    <protectedRange algorithmName="SHA-512" hashValue="DT+g7BNaXiSQyqgnZOKwRrBRMsFzaneKlmj6xf4OtwBIPVKsUvuyVpVK0rC0SpdkhPNlHz8+At1JiF6RyrKsQg==" saltValue="msPR9IRc+iGbx3A9mg/o4w==" spinCount="100000" sqref="R80:R84" name="Range1_4_1"/>
    <protectedRange sqref="R80:R84" name="Range2_4_1"/>
    <protectedRange algorithmName="SHA-512" hashValue="DT+g7BNaXiSQyqgnZOKwRrBRMsFzaneKlmj6xf4OtwBIPVKsUvuyVpVK0rC0SpdkhPNlHz8+At1JiF6RyrKsQg==" saltValue="msPR9IRc+iGbx3A9mg/o4w==" spinCount="100000" sqref="R85:R88" name="Range1_5_1"/>
    <protectedRange sqref="R85:R88" name="Range2_5_1"/>
    <protectedRange algorithmName="SHA-512" hashValue="DT+g7BNaXiSQyqgnZOKwRrBRMsFzaneKlmj6xf4OtwBIPVKsUvuyVpVK0rC0SpdkhPNlHz8+At1JiF6RyrKsQg==" saltValue="msPR9IRc+iGbx3A9mg/o4w==" spinCount="100000" sqref="R89" name="Range1_6_1"/>
    <protectedRange sqref="R89" name="Range2_6_1"/>
    <protectedRange algorithmName="SHA-512" hashValue="DT+g7BNaXiSQyqgnZOKwRrBRMsFzaneKlmj6xf4OtwBIPVKsUvuyVpVK0rC0SpdkhPNlHz8+At1JiF6RyrKsQg==" saltValue="msPR9IRc+iGbx3A9mg/o4w==" spinCount="100000" sqref="R90" name="Range1_7_1"/>
    <protectedRange sqref="R90" name="Range2_7_1"/>
    <protectedRange algorithmName="SHA-512" hashValue="DT+g7BNaXiSQyqgnZOKwRrBRMsFzaneKlmj6xf4OtwBIPVKsUvuyVpVK0rC0SpdkhPNlHz8+At1JiF6RyrKsQg==" saltValue="msPR9IRc+iGbx3A9mg/o4w==" spinCount="100000" sqref="R91:R93" name="Range1_8_1"/>
    <protectedRange sqref="R91:R93" name="Range2_8_1"/>
    <protectedRange algorithmName="SHA-512" hashValue="DT+g7BNaXiSQyqgnZOKwRrBRMsFzaneKlmj6xf4OtwBIPVKsUvuyVpVK0rC0SpdkhPNlHz8+At1JiF6RyrKsQg==" saltValue="msPR9IRc+iGbx3A9mg/o4w==" spinCount="100000" sqref="R94:R95" name="Range1_9_1"/>
    <protectedRange sqref="R94:R95" name="Range2_9_1"/>
    <protectedRange algorithmName="SHA-512" hashValue="DT+g7BNaXiSQyqgnZOKwRrBRMsFzaneKlmj6xf4OtwBIPVKsUvuyVpVK0rC0SpdkhPNlHz8+At1JiF6RyrKsQg==" saltValue="msPR9IRc+iGbx3A9mg/o4w==" spinCount="100000" sqref="R96:R101" name="Range1_10_1"/>
    <protectedRange sqref="R96:R101" name="Range2_10_1"/>
    <protectedRange algorithmName="SHA-512" hashValue="DT+g7BNaXiSQyqgnZOKwRrBRMsFzaneKlmj6xf4OtwBIPVKsUvuyVpVK0rC0SpdkhPNlHz8+At1JiF6RyrKsQg==" saltValue="msPR9IRc+iGbx3A9mg/o4w==" spinCount="100000" sqref="R102" name="Range1_11"/>
    <protectedRange sqref="R102" name="Range2_11"/>
    <protectedRange algorithmName="SHA-512" hashValue="DT+g7BNaXiSQyqgnZOKwRrBRMsFzaneKlmj6xf4OtwBIPVKsUvuyVpVK0rC0SpdkhPNlHz8+At1JiF6RyrKsQg==" saltValue="msPR9IRc+iGbx3A9mg/o4w==" spinCount="100000" sqref="R103:R113" name="Range1_12"/>
    <protectedRange sqref="R103:R113" name="Range2_12"/>
    <protectedRange algorithmName="SHA-512" hashValue="DT+g7BNaXiSQyqgnZOKwRrBRMsFzaneKlmj6xf4OtwBIPVKsUvuyVpVK0rC0SpdkhPNlHz8+At1JiF6RyrKsQg==" saltValue="msPR9IRc+iGbx3A9mg/o4w==" spinCount="100000" sqref="R114" name="Range1_13"/>
    <protectedRange sqref="R114" name="Range2_13"/>
    <protectedRange algorithmName="SHA-512" hashValue="DT+g7BNaXiSQyqgnZOKwRrBRMsFzaneKlmj6xf4OtwBIPVKsUvuyVpVK0rC0SpdkhPNlHz8+At1JiF6RyrKsQg==" saltValue="msPR9IRc+iGbx3A9mg/o4w==" spinCount="100000" sqref="R115:R116" name="Range1_14"/>
    <protectedRange sqref="R115:R116" name="Range2_14"/>
    <protectedRange algorithmName="SHA-512" hashValue="DT+g7BNaXiSQyqgnZOKwRrBRMsFzaneKlmj6xf4OtwBIPVKsUvuyVpVK0rC0SpdkhPNlHz8+At1JiF6RyrKsQg==" saltValue="msPR9IRc+iGbx3A9mg/o4w==" spinCount="100000" sqref="R117" name="Range1_15"/>
    <protectedRange sqref="R117" name="Range2_15"/>
    <protectedRange algorithmName="SHA-512" hashValue="DT+g7BNaXiSQyqgnZOKwRrBRMsFzaneKlmj6xf4OtwBIPVKsUvuyVpVK0rC0SpdkhPNlHz8+At1JiF6RyrKsQg==" saltValue="msPR9IRc+iGbx3A9mg/o4w==" spinCount="100000" sqref="R118" name="Range1_1_1_1"/>
    <protectedRange sqref="R118" name="Range2_1_1_1"/>
    <protectedRange algorithmName="SHA-512" hashValue="DT+g7BNaXiSQyqgnZOKwRrBRMsFzaneKlmj6xf4OtwBIPVKsUvuyVpVK0rC0SpdkhPNlHz8+At1JiF6RyrKsQg==" saltValue="msPR9IRc+iGbx3A9mg/o4w==" spinCount="100000" sqref="R379:R389" name="Range1_22"/>
    <protectedRange sqref="R379:R389" name="Range2_22"/>
    <protectedRange algorithmName="SHA-512" hashValue="DT+g7BNaXiSQyqgnZOKwRrBRMsFzaneKlmj6xf4OtwBIPVKsUvuyVpVK0rC0SpdkhPNlHz8+At1JiF6RyrKsQg==" saltValue="msPR9IRc+iGbx3A9mg/o4w==" spinCount="100000" sqref="R224 R392" name="Range1_1"/>
    <protectedRange sqref="R224 R392" name="Range2"/>
    <protectedRange sqref="R225:R226 R245:R247 R393:R394" name="Range2_4_2"/>
    <protectedRange sqref="R227 R395" name="Range2_4_1_1"/>
    <protectedRange sqref="R228 R396" name="Range2_4_2_1"/>
    <protectedRange algorithmName="SHA-512" hashValue="DT+g7BNaXiSQyqgnZOKwRrBRMsFzaneKlmj6xf4OtwBIPVKsUvuyVpVK0rC0SpdkhPNlHz8+At1JiF6RyrKsQg==" saltValue="msPR9IRc+iGbx3A9mg/o4w==" spinCount="100000" sqref="R285:R287" name="Range1_50"/>
    <protectedRange sqref="R285:R287" name="Range2_50"/>
    <protectedRange algorithmName="SHA-512" hashValue="DT+g7BNaXiSQyqgnZOKwRrBRMsFzaneKlmj6xf4OtwBIPVKsUvuyVpVK0rC0SpdkhPNlHz8+At1JiF6RyrKsQg==" saltValue="msPR9IRc+iGbx3A9mg/o4w==" spinCount="100000" sqref="R288" name="Range1_51"/>
    <protectedRange sqref="R288" name="Range2_51"/>
    <protectedRange algorithmName="SHA-512" hashValue="DT+g7BNaXiSQyqgnZOKwRrBRMsFzaneKlmj6xf4OtwBIPVKsUvuyVpVK0rC0SpdkhPNlHz8+At1JiF6RyrKsQg==" saltValue="msPR9IRc+iGbx3A9mg/o4w==" spinCount="100000" sqref="R289:R293" name="Range1_52"/>
    <protectedRange sqref="R289:R293" name="Range2_52"/>
    <protectedRange algorithmName="SHA-512" hashValue="DT+g7BNaXiSQyqgnZOKwRrBRMsFzaneKlmj6xf4OtwBIPVKsUvuyVpVK0rC0SpdkhPNlHz8+At1JiF6RyrKsQg==" saltValue="msPR9IRc+iGbx3A9mg/o4w==" spinCount="100000" sqref="R294" name="Range1_53"/>
    <protectedRange sqref="R294" name="Range2_53"/>
    <protectedRange sqref="R295" name="Range2_4_11"/>
    <protectedRange sqref="R296:R302" name="Range2_4_12"/>
    <protectedRange algorithmName="SHA-512" hashValue="DT+g7BNaXiSQyqgnZOKwRrBRMsFzaneKlmj6xf4OtwBIPVKsUvuyVpVK0rC0SpdkhPNlHz8+At1JiF6RyrKsQg==" saltValue="msPR9IRc+iGbx3A9mg/o4w==" spinCount="100000" sqref="R303:R304" name="Range1_54"/>
    <protectedRange sqref="R303" name="Range2_54"/>
    <protectedRange algorithmName="SHA-512" hashValue="DT+g7BNaXiSQyqgnZOKwRrBRMsFzaneKlmj6xf4OtwBIPVKsUvuyVpVK0rC0SpdkhPNlHz8+At1JiF6RyrKsQg==" saltValue="msPR9IRc+iGbx3A9mg/o4w==" spinCount="100000" sqref="R305" name="Range1_55"/>
    <protectedRange sqref="R305" name="Range2_55"/>
    <protectedRange algorithmName="SHA-512" hashValue="DT+g7BNaXiSQyqgnZOKwRrBRMsFzaneKlmj6xf4OtwBIPVKsUvuyVpVK0rC0SpdkhPNlHz8+At1JiF6RyrKsQg==" saltValue="msPR9IRc+iGbx3A9mg/o4w==" spinCount="100000" sqref="R306:R313" name="Range1_56"/>
    <protectedRange sqref="R306:R313" name="Range2_56"/>
    <protectedRange algorithmName="SHA-512" hashValue="DT+g7BNaXiSQyqgnZOKwRrBRMsFzaneKlmj6xf4OtwBIPVKsUvuyVpVK0rC0SpdkhPNlHz8+At1JiF6RyrKsQg==" saltValue="msPR9IRc+iGbx3A9mg/o4w==" spinCount="100000" sqref="R314:R316" name="Range1_57"/>
    <protectedRange sqref="R314:R316" name="Range2_57"/>
    <protectedRange sqref="R317" name="Range2_4_13"/>
    <protectedRange algorithmName="SHA-512" hashValue="DT+g7BNaXiSQyqgnZOKwRrBRMsFzaneKlmj6xf4OtwBIPVKsUvuyVpVK0rC0SpdkhPNlHz8+At1JiF6RyrKsQg==" saltValue="msPR9IRc+iGbx3A9mg/o4w==" spinCount="100000" sqref="R318:R319" name="Range1_58"/>
    <protectedRange sqref="R318:R319" name="Range2_58"/>
    <protectedRange algorithmName="SHA-512" hashValue="DT+g7BNaXiSQyqgnZOKwRrBRMsFzaneKlmj6xf4OtwBIPVKsUvuyVpVK0rC0SpdkhPNlHz8+At1JiF6RyrKsQg==" saltValue="msPR9IRc+iGbx3A9mg/o4w==" spinCount="100000" sqref="R320:R322" name="Range1"/>
    <protectedRange sqref="R320:R322" name="Range2_1"/>
    <protectedRange algorithmName="SHA-512" hashValue="DT+g7BNaXiSQyqgnZOKwRrBRMsFzaneKlmj6xf4OtwBIPVKsUvuyVpVK0rC0SpdkhPNlHz8+At1JiF6RyrKsQg==" saltValue="msPR9IRc+iGbx3A9mg/o4w==" spinCount="100000" sqref="D324:D327 R323:R370" name="Range1_2"/>
    <protectedRange sqref="R328:R370 R323" name="Range2_2"/>
    <protectedRange algorithmName="SHA-512" hashValue="DT+g7BNaXiSQyqgnZOKwRrBRMsFzaneKlmj6xf4OtwBIPVKsUvuyVpVK0rC0SpdkhPNlHz8+At1JiF6RyrKsQg==" saltValue="msPR9IRc+iGbx3A9mg/o4w==" spinCount="100000" sqref="R371" name="Range1_3"/>
    <protectedRange sqref="R371" name="Range2_3"/>
  </protectedRanges>
  <autoFilter ref="A3:AM49" xr:uid="{47543EE9-7EC4-4F8C-9D4E-0E95A37D37C4}"/>
  <phoneticPr fontId="16" type="noConversion"/>
  <conditionalFormatting sqref="A3:D3">
    <cfRule type="duplicateValues" dxfId="28" priority="186"/>
    <cfRule type="duplicateValues" dxfId="27" priority="187"/>
  </conditionalFormatting>
  <conditionalFormatting sqref="E1:E3 A1:D2">
    <cfRule type="duplicateValues" dxfId="26" priority="3465"/>
    <cfRule type="duplicateValues" dxfId="25" priority="3466"/>
  </conditionalFormatting>
  <conditionalFormatting sqref="E36">
    <cfRule type="duplicateValues" dxfId="24" priority="11"/>
    <cfRule type="duplicateValues" dxfId="23" priority="12"/>
  </conditionalFormatting>
  <conditionalFormatting sqref="E47:E49">
    <cfRule type="duplicateValues" dxfId="22" priority="21"/>
    <cfRule type="duplicateValues" dxfId="21" priority="22"/>
  </conditionalFormatting>
  <conditionalFormatting sqref="E52:E54 E57">
    <cfRule type="duplicateValues" dxfId="20" priority="1"/>
    <cfRule type="duplicateValues" dxfId="19" priority="2"/>
  </conditionalFormatting>
  <conditionalFormatting sqref="E55:E56">
    <cfRule type="duplicateValues" dxfId="18" priority="3"/>
    <cfRule type="duplicateValues" dxfId="17" priority="4"/>
  </conditionalFormatting>
  <conditionalFormatting sqref="F1:F3">
    <cfRule type="duplicateValues" dxfId="16" priority="3469"/>
  </conditionalFormatting>
  <conditionalFormatting sqref="F4:F24 F29:F46">
    <cfRule type="duplicateValues" dxfId="15" priority="19"/>
  </conditionalFormatting>
  <conditionalFormatting sqref="G1:G3">
    <cfRule type="duplicateValues" dxfId="14" priority="3470"/>
  </conditionalFormatting>
  <conditionalFormatting sqref="G4:G7 G12:G21 G30:G38 G42:G49">
    <cfRule type="duplicateValues" dxfId="13" priority="14"/>
    <cfRule type="duplicateValues" dxfId="12" priority="15"/>
  </conditionalFormatting>
  <conditionalFormatting sqref="G4:G49">
    <cfRule type="duplicateValues" dxfId="11" priority="13"/>
    <cfRule type="duplicateValues" dxfId="10" priority="20"/>
    <cfRule type="duplicateValues" dxfId="9" priority="23"/>
    <cfRule type="duplicateValues" dxfId="8" priority="24"/>
    <cfRule type="duplicateValues" dxfId="7" priority="25"/>
  </conditionalFormatting>
  <conditionalFormatting sqref="G11 G15 G6 G19 G29 G33 G45:G49">
    <cfRule type="duplicateValues" dxfId="6" priority="16"/>
  </conditionalFormatting>
  <conditionalFormatting sqref="R1:R3">
    <cfRule type="duplicateValues" dxfId="5" priority="3471"/>
    <cfRule type="duplicateValues" dxfId="4" priority="3472"/>
  </conditionalFormatting>
  <conditionalFormatting sqref="R4:R49">
    <cfRule type="duplicateValues" dxfId="3" priority="17"/>
    <cfRule type="duplicateValues" dxfId="2" priority="18"/>
  </conditionalFormatting>
  <conditionalFormatting sqref="T3:V3">
    <cfRule type="duplicateValues" dxfId="1" priority="5"/>
    <cfRule type="duplicateValues" dxfId="0" priority="6"/>
  </conditionalFormatting>
  <dataValidations disablePrompts="1" count="2">
    <dataValidation type="list" allowBlank="1" showInputMessage="1" showErrorMessage="1" sqref="K1:K3" xr:uid="{B1EB8DC6-E3BA-4DBA-B4D5-A684AE54F4F7}">
      <formula1>#REF!</formula1>
    </dataValidation>
    <dataValidation type="list" allowBlank="1" showInputMessage="1" showErrorMessage="1" sqref="I1:I1048576" xr:uid="{59829684-A488-4A49-A1D3-A2426A387F2B}">
      <formula1>"PER"</formula1>
    </dataValidation>
  </dataValidations>
  <printOptions gridLines="1"/>
  <pageMargins left="0.7" right="0.7" top="0.75" bottom="0.75" header="0.3" footer="0.3"/>
  <pageSetup paperSize="8" scale="35" fitToHeight="0" orientation="landscape" horizontalDpi="1200" verticalDpi="1200" r:id="rId1"/>
  <customProperties>
    <customPr name="_pios_id" r:id="rId2"/>
  </customPropertie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89242BB-AF14-4D60-A3EA-5D926E6480C4}">
          <x14:formula1>
            <xm:f>Abbreviations!$R$6:$R$13</xm:f>
          </x14:formula1>
          <xm:sqref>P1:Q3</xm:sqref>
        </x14:dataValidation>
        <x14:dataValidation type="list" allowBlank="1" showInputMessage="1" showErrorMessage="1" xr:uid="{49F4EADF-8AE6-46BE-9BA1-57F7464EF06E}">
          <x14:formula1>
            <xm:f>Abbreviations!$E$6:$E$14</xm:f>
          </x14:formula1>
          <xm:sqref>J1:J3</xm:sqref>
        </x14:dataValidation>
        <x14:dataValidation type="list" allowBlank="1" showInputMessage="1" showErrorMessage="1" xr:uid="{7BFA5D95-39A4-415A-9398-90EFB33CC3E6}">
          <x14:formula1>
            <xm:f>Abbreviations!$L$6:$L$43</xm:f>
          </x14:formula1>
          <xm:sqref>M1:M3</xm:sqref>
        </x14:dataValidation>
        <x14:dataValidation type="list" allowBlank="1" showInputMessage="1" showErrorMessage="1" xr:uid="{98522052-0973-443B-833A-8CE3E38F14D3}">
          <x14:formula1>
            <xm:f>Abbreviations!$B$6:$B$11</xm:f>
          </x14:formula1>
          <xm:sqref>H1:H3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B514-B7FA-49AB-AD8A-A8867A72F753}">
  <sheetPr>
    <tabColor rgb="FFFF0000"/>
  </sheetPr>
  <dimension ref="B3:X43"/>
  <sheetViews>
    <sheetView zoomScaleNormal="100" workbookViewId="0">
      <selection activeCell="F23" sqref="F23"/>
    </sheetView>
  </sheetViews>
  <sheetFormatPr defaultColWidth="9.42578125" defaultRowHeight="15" x14ac:dyDescent="0.25"/>
  <cols>
    <col min="3" max="3" width="26.5703125" style="1" customWidth="1"/>
    <col min="6" max="6" width="41.5703125" style="1" customWidth="1"/>
    <col min="8" max="8" width="59.5703125" style="1" customWidth="1"/>
    <col min="9" max="9" width="7.42578125" style="1" customWidth="1"/>
    <col min="10" max="10" width="15.5703125" style="1" customWidth="1"/>
    <col min="11" max="11" width="28.42578125" style="1" bestFit="1" customWidth="1"/>
    <col min="13" max="13" width="33.42578125" style="1" customWidth="1"/>
    <col min="15" max="15" width="6" style="1" customWidth="1"/>
    <col min="20" max="20" width="18.5703125" style="1" customWidth="1"/>
    <col min="21" max="21" width="45.42578125" style="1" customWidth="1"/>
  </cols>
  <sheetData>
    <row r="3" spans="2:24" x14ac:dyDescent="0.25">
      <c r="B3" s="1" t="s">
        <v>271</v>
      </c>
      <c r="D3" t="s">
        <v>272</v>
      </c>
      <c r="E3" t="s">
        <v>273</v>
      </c>
      <c r="F3"/>
      <c r="G3" t="s">
        <v>17</v>
      </c>
      <c r="H3"/>
      <c r="I3"/>
      <c r="J3" t="s">
        <v>274</v>
      </c>
      <c r="K3"/>
      <c r="L3" t="s">
        <v>275</v>
      </c>
      <c r="M3"/>
      <c r="O3"/>
      <c r="P3" t="s">
        <v>276</v>
      </c>
      <c r="Q3" t="s">
        <v>277</v>
      </c>
      <c r="R3" t="s">
        <v>22</v>
      </c>
      <c r="T3"/>
    </row>
    <row r="4" spans="2:24" ht="21.75" customHeight="1" x14ac:dyDescent="0.25">
      <c r="B4" t="s">
        <v>259</v>
      </c>
      <c r="D4" t="s">
        <v>34</v>
      </c>
      <c r="E4" t="s">
        <v>35</v>
      </c>
      <c r="F4"/>
      <c r="G4" t="s">
        <v>278</v>
      </c>
      <c r="H4"/>
      <c r="I4"/>
      <c r="J4" t="s">
        <v>257</v>
      </c>
      <c r="K4"/>
      <c r="L4" t="s">
        <v>54</v>
      </c>
      <c r="M4"/>
      <c r="O4"/>
      <c r="P4" t="s">
        <v>42</v>
      </c>
      <c r="Q4" t="s">
        <v>111</v>
      </c>
      <c r="R4" t="s">
        <v>49</v>
      </c>
      <c r="T4"/>
      <c r="U4" t="str">
        <f>CONCATENATE(B4,"-",D4,"-",E4,"-",G4,"-",J4,"-",L4,"-",P4,"-",Q4,"-",R4)</f>
        <v>B-PER-E-6-U5-SLD-001-01-ELNS</v>
      </c>
    </row>
    <row r="6" spans="2:24" x14ac:dyDescent="0.25">
      <c r="B6" s="1" t="s">
        <v>259</v>
      </c>
      <c r="C6" s="1" t="s">
        <v>279</v>
      </c>
      <c r="E6" t="s">
        <v>56</v>
      </c>
      <c r="F6" t="s">
        <v>280</v>
      </c>
      <c r="G6">
        <v>1</v>
      </c>
      <c r="H6" s="1" t="s">
        <v>281</v>
      </c>
      <c r="J6" s="1" t="s">
        <v>282</v>
      </c>
      <c r="K6" s="1" t="s">
        <v>283</v>
      </c>
      <c r="L6" t="s">
        <v>44</v>
      </c>
      <c r="M6" t="s">
        <v>284</v>
      </c>
      <c r="O6"/>
      <c r="R6" t="s">
        <v>40</v>
      </c>
      <c r="S6" t="s">
        <v>285</v>
      </c>
      <c r="X6" s="1" t="s">
        <v>142</v>
      </c>
    </row>
    <row r="7" spans="2:24" x14ac:dyDescent="0.25">
      <c r="B7" s="1" t="s">
        <v>43</v>
      </c>
      <c r="C7" s="1" t="s">
        <v>286</v>
      </c>
      <c r="E7" t="s">
        <v>35</v>
      </c>
      <c r="F7" t="s">
        <v>287</v>
      </c>
      <c r="G7">
        <v>2</v>
      </c>
      <c r="H7" s="1" t="s">
        <v>288</v>
      </c>
      <c r="J7" s="1" t="s">
        <v>289</v>
      </c>
      <c r="K7" s="1" t="s">
        <v>290</v>
      </c>
      <c r="L7" t="s">
        <v>53</v>
      </c>
      <c r="M7" t="s">
        <v>291</v>
      </c>
      <c r="O7"/>
      <c r="R7" t="s">
        <v>49</v>
      </c>
      <c r="S7" t="s">
        <v>292</v>
      </c>
      <c r="X7" s="1" t="s">
        <v>149</v>
      </c>
    </row>
    <row r="8" spans="2:24" x14ac:dyDescent="0.25">
      <c r="B8" s="1" t="s">
        <v>113</v>
      </c>
      <c r="C8" s="1" t="s">
        <v>293</v>
      </c>
      <c r="E8" t="s">
        <v>255</v>
      </c>
      <c r="F8" t="s">
        <v>294</v>
      </c>
      <c r="G8">
        <v>3</v>
      </c>
      <c r="H8" s="1" t="s">
        <v>295</v>
      </c>
      <c r="J8" s="1" t="s">
        <v>36</v>
      </c>
      <c r="K8" s="1" t="s">
        <v>296</v>
      </c>
      <c r="L8" t="s">
        <v>297</v>
      </c>
      <c r="M8" t="s">
        <v>298</v>
      </c>
      <c r="O8"/>
      <c r="R8" t="s">
        <v>252</v>
      </c>
      <c r="S8" t="s">
        <v>299</v>
      </c>
      <c r="X8" s="1" t="s">
        <v>114</v>
      </c>
    </row>
    <row r="9" spans="2:24" x14ac:dyDescent="0.25">
      <c r="B9" s="1" t="s">
        <v>33</v>
      </c>
      <c r="C9" s="1" t="s">
        <v>300</v>
      </c>
      <c r="E9" t="s">
        <v>141</v>
      </c>
      <c r="F9" t="s">
        <v>301</v>
      </c>
      <c r="G9">
        <v>4</v>
      </c>
      <c r="H9" s="1" t="s">
        <v>302</v>
      </c>
      <c r="J9" s="1" t="s">
        <v>116</v>
      </c>
      <c r="K9" s="1" t="s">
        <v>303</v>
      </c>
      <c r="L9" t="s">
        <v>250</v>
      </c>
      <c r="M9" t="s">
        <v>304</v>
      </c>
      <c r="O9"/>
      <c r="R9" t="s">
        <v>305</v>
      </c>
      <c r="S9" t="s">
        <v>306</v>
      </c>
      <c r="X9" s="1" t="s">
        <v>41</v>
      </c>
    </row>
    <row r="10" spans="2:24" x14ac:dyDescent="0.25">
      <c r="B10" s="1" t="s">
        <v>140</v>
      </c>
      <c r="C10" s="1" t="s">
        <v>307</v>
      </c>
      <c r="E10" t="s">
        <v>249</v>
      </c>
      <c r="F10" t="s">
        <v>308</v>
      </c>
      <c r="G10">
        <v>5</v>
      </c>
      <c r="H10" s="1" t="s">
        <v>309</v>
      </c>
      <c r="J10" s="1" t="s">
        <v>257</v>
      </c>
      <c r="K10" s="1" t="s">
        <v>310</v>
      </c>
      <c r="L10" t="s">
        <v>311</v>
      </c>
      <c r="M10" t="s">
        <v>312</v>
      </c>
      <c r="O10"/>
      <c r="R10" t="s">
        <v>263</v>
      </c>
      <c r="S10" t="s">
        <v>313</v>
      </c>
      <c r="X10" s="1" t="s">
        <v>137</v>
      </c>
    </row>
    <row r="11" spans="2:24" ht="17.25" customHeight="1" x14ac:dyDescent="0.25">
      <c r="B11" s="1" t="s">
        <v>46</v>
      </c>
      <c r="C11" t="s">
        <v>314</v>
      </c>
      <c r="E11" t="s">
        <v>315</v>
      </c>
      <c r="F11" t="s">
        <v>316</v>
      </c>
      <c r="G11">
        <v>6</v>
      </c>
      <c r="H11" s="1" t="s">
        <v>317</v>
      </c>
      <c r="J11" s="1" t="s">
        <v>143</v>
      </c>
      <c r="K11" s="1" t="s">
        <v>318</v>
      </c>
      <c r="L11" t="s">
        <v>319</v>
      </c>
      <c r="M11" t="s">
        <v>320</v>
      </c>
      <c r="O11"/>
      <c r="R11" t="s">
        <v>321</v>
      </c>
      <c r="S11" t="s">
        <v>322</v>
      </c>
      <c r="X11" s="1" t="s">
        <v>323</v>
      </c>
    </row>
    <row r="12" spans="2:24" x14ac:dyDescent="0.25">
      <c r="E12" t="s">
        <v>113</v>
      </c>
      <c r="F12" t="s">
        <v>324</v>
      </c>
      <c r="G12">
        <v>7</v>
      </c>
      <c r="H12" s="1" t="s">
        <v>325</v>
      </c>
      <c r="J12" s="1" t="s">
        <v>139</v>
      </c>
      <c r="K12" s="1" t="s">
        <v>326</v>
      </c>
      <c r="L12" t="s">
        <v>45</v>
      </c>
      <c r="M12" t="s">
        <v>327</v>
      </c>
      <c r="O12"/>
      <c r="R12" t="s">
        <v>328</v>
      </c>
      <c r="X12" s="1" t="s">
        <v>329</v>
      </c>
    </row>
    <row r="13" spans="2:24" x14ac:dyDescent="0.25">
      <c r="E13" t="s">
        <v>330</v>
      </c>
      <c r="F13" t="s">
        <v>331</v>
      </c>
      <c r="G13">
        <v>8</v>
      </c>
      <c r="H13" s="1" t="s">
        <v>332</v>
      </c>
      <c r="J13" s="1" t="s">
        <v>333</v>
      </c>
      <c r="K13" s="1" t="s">
        <v>334</v>
      </c>
      <c r="L13" t="s">
        <v>57</v>
      </c>
      <c r="M13" t="s">
        <v>335</v>
      </c>
      <c r="O13"/>
      <c r="R13" t="s">
        <v>63</v>
      </c>
      <c r="X13" s="1" t="s">
        <v>146</v>
      </c>
    </row>
    <row r="14" spans="2:24" x14ac:dyDescent="0.25">
      <c r="E14" t="s">
        <v>336</v>
      </c>
      <c r="F14" t="s">
        <v>337</v>
      </c>
      <c r="G14">
        <v>9</v>
      </c>
      <c r="H14" s="1" t="s">
        <v>338</v>
      </c>
      <c r="J14" s="1" t="s">
        <v>270</v>
      </c>
      <c r="K14" s="1" t="s">
        <v>339</v>
      </c>
      <c r="L14" t="s">
        <v>62</v>
      </c>
      <c r="M14" t="s">
        <v>340</v>
      </c>
      <c r="O14"/>
      <c r="R14" t="s">
        <v>341</v>
      </c>
      <c r="S14" s="1" t="s">
        <v>342</v>
      </c>
      <c r="X14" s="1" t="s">
        <v>343</v>
      </c>
    </row>
    <row r="15" spans="2:24" x14ac:dyDescent="0.25">
      <c r="G15">
        <v>10</v>
      </c>
      <c r="H15" s="1" t="s">
        <v>344</v>
      </c>
      <c r="J15" s="1" t="s">
        <v>345</v>
      </c>
      <c r="K15" s="1" t="s">
        <v>346</v>
      </c>
      <c r="L15" t="s">
        <v>246</v>
      </c>
      <c r="M15" t="s">
        <v>347</v>
      </c>
      <c r="O15"/>
      <c r="X15" s="1" t="s">
        <v>348</v>
      </c>
    </row>
    <row r="16" spans="2:24" x14ac:dyDescent="0.25">
      <c r="G16">
        <v>11</v>
      </c>
      <c r="H16" s="1" t="s">
        <v>349</v>
      </c>
      <c r="J16" s="1" t="s">
        <v>269</v>
      </c>
      <c r="K16" s="1" t="s">
        <v>350</v>
      </c>
      <c r="L16" t="s">
        <v>351</v>
      </c>
      <c r="M16" t="s">
        <v>352</v>
      </c>
      <c r="O16"/>
    </row>
    <row r="17" spans="3:21" x14ac:dyDescent="0.25">
      <c r="G17">
        <v>12</v>
      </c>
      <c r="H17" s="1" t="s">
        <v>353</v>
      </c>
      <c r="J17" s="1" t="s">
        <v>262</v>
      </c>
      <c r="K17" s="1" t="s">
        <v>354</v>
      </c>
      <c r="L17" t="s">
        <v>355</v>
      </c>
      <c r="M17" t="s">
        <v>356</v>
      </c>
    </row>
    <row r="18" spans="3:21" x14ac:dyDescent="0.25">
      <c r="G18">
        <v>13</v>
      </c>
      <c r="H18" s="1" t="s">
        <v>357</v>
      </c>
      <c r="J18" s="1" t="s">
        <v>148</v>
      </c>
      <c r="K18" s="1" t="s">
        <v>358</v>
      </c>
      <c r="L18" t="s">
        <v>48</v>
      </c>
      <c r="M18" t="s">
        <v>359</v>
      </c>
    </row>
    <row r="19" spans="3:21" x14ac:dyDescent="0.25">
      <c r="G19">
        <v>14</v>
      </c>
      <c r="H19" s="1" t="s">
        <v>360</v>
      </c>
      <c r="J19" s="1" t="s">
        <v>265</v>
      </c>
      <c r="K19" s="107" t="s">
        <v>361</v>
      </c>
      <c r="L19" t="s">
        <v>55</v>
      </c>
      <c r="M19" t="s">
        <v>362</v>
      </c>
    </row>
    <row r="20" spans="3:21" x14ac:dyDescent="0.25">
      <c r="C20" s="77"/>
      <c r="F20" s="77"/>
      <c r="G20" t="s">
        <v>112</v>
      </c>
      <c r="H20" s="77" t="s">
        <v>363</v>
      </c>
      <c r="I20" s="77"/>
      <c r="J20" s="77" t="s">
        <v>267</v>
      </c>
      <c r="K20" s="77" t="s">
        <v>364</v>
      </c>
      <c r="L20" t="s">
        <v>365</v>
      </c>
      <c r="M20" t="s">
        <v>366</v>
      </c>
      <c r="O20" s="77"/>
      <c r="T20" s="77"/>
      <c r="U20" s="77"/>
    </row>
    <row r="21" spans="3:21" x14ac:dyDescent="0.25">
      <c r="G21">
        <v>15</v>
      </c>
      <c r="H21" s="1" t="s">
        <v>367</v>
      </c>
      <c r="J21" s="77" t="s">
        <v>268</v>
      </c>
      <c r="K21" s="77" t="s">
        <v>368</v>
      </c>
      <c r="L21" t="s">
        <v>71</v>
      </c>
      <c r="M21" t="s">
        <v>369</v>
      </c>
    </row>
    <row r="22" spans="3:21" x14ac:dyDescent="0.25">
      <c r="G22">
        <v>16</v>
      </c>
      <c r="H22" s="1" t="s">
        <v>370</v>
      </c>
      <c r="J22" s="77" t="s">
        <v>371</v>
      </c>
      <c r="K22" s="77" t="s">
        <v>372</v>
      </c>
      <c r="L22" t="s">
        <v>85</v>
      </c>
      <c r="M22" t="s">
        <v>373</v>
      </c>
    </row>
    <row r="23" spans="3:21" x14ac:dyDescent="0.25">
      <c r="G23" t="s">
        <v>112</v>
      </c>
      <c r="H23" s="1" t="s">
        <v>363</v>
      </c>
      <c r="J23" s="77"/>
      <c r="K23" s="77"/>
      <c r="L23" t="s">
        <v>251</v>
      </c>
      <c r="M23" t="s">
        <v>374</v>
      </c>
    </row>
    <row r="24" spans="3:21" x14ac:dyDescent="0.25">
      <c r="L24" t="s">
        <v>144</v>
      </c>
      <c r="M24" t="s">
        <v>375</v>
      </c>
    </row>
    <row r="25" spans="3:21" x14ac:dyDescent="0.25">
      <c r="L25" t="s">
        <v>376</v>
      </c>
      <c r="M25" t="s">
        <v>377</v>
      </c>
    </row>
    <row r="26" spans="3:21" x14ac:dyDescent="0.25">
      <c r="L26" t="s">
        <v>37</v>
      </c>
      <c r="M26" t="s">
        <v>378</v>
      </c>
    </row>
    <row r="27" spans="3:21" x14ac:dyDescent="0.25">
      <c r="L27" t="s">
        <v>76</v>
      </c>
      <c r="M27" t="s">
        <v>379</v>
      </c>
    </row>
    <row r="28" spans="3:21" x14ac:dyDescent="0.25">
      <c r="L28" t="s">
        <v>145</v>
      </c>
      <c r="M28" t="s">
        <v>380</v>
      </c>
    </row>
    <row r="29" spans="3:21" x14ac:dyDescent="0.25">
      <c r="L29" t="s">
        <v>50</v>
      </c>
      <c r="M29" t="s">
        <v>381</v>
      </c>
    </row>
    <row r="30" spans="3:21" x14ac:dyDescent="0.25">
      <c r="L30" t="s">
        <v>54</v>
      </c>
      <c r="M30" t="s">
        <v>382</v>
      </c>
    </row>
    <row r="31" spans="3:21" x14ac:dyDescent="0.25">
      <c r="L31" t="s">
        <v>47</v>
      </c>
      <c r="M31" t="s">
        <v>383</v>
      </c>
    </row>
    <row r="32" spans="3:21" x14ac:dyDescent="0.25">
      <c r="L32" t="s">
        <v>253</v>
      </c>
      <c r="M32" t="s">
        <v>384</v>
      </c>
    </row>
    <row r="33" spans="12:13" x14ac:dyDescent="0.25">
      <c r="L33" t="s">
        <v>266</v>
      </c>
      <c r="M33" t="s">
        <v>385</v>
      </c>
    </row>
    <row r="34" spans="12:13" x14ac:dyDescent="0.25">
      <c r="L34" t="s">
        <v>52</v>
      </c>
      <c r="M34" t="s">
        <v>386</v>
      </c>
    </row>
    <row r="35" spans="12:13" x14ac:dyDescent="0.25">
      <c r="L35" t="s">
        <v>254</v>
      </c>
      <c r="M35" t="s">
        <v>387</v>
      </c>
    </row>
    <row r="36" spans="12:13" x14ac:dyDescent="0.25">
      <c r="L36" t="s">
        <v>388</v>
      </c>
      <c r="M36" t="s">
        <v>389</v>
      </c>
    </row>
    <row r="37" spans="12:13" x14ac:dyDescent="0.25">
      <c r="L37" t="s">
        <v>89</v>
      </c>
      <c r="M37"/>
    </row>
    <row r="38" spans="12:13" x14ac:dyDescent="0.25">
      <c r="L38" t="s">
        <v>68</v>
      </c>
      <c r="M38" t="s">
        <v>390</v>
      </c>
    </row>
    <row r="39" spans="12:13" x14ac:dyDescent="0.25">
      <c r="L39" t="s">
        <v>264</v>
      </c>
      <c r="M39" t="s">
        <v>391</v>
      </c>
    </row>
    <row r="40" spans="12:13" x14ac:dyDescent="0.25">
      <c r="L40" t="s">
        <v>79</v>
      </c>
      <c r="M40" t="s">
        <v>261</v>
      </c>
    </row>
    <row r="41" spans="12:13" x14ac:dyDescent="0.25">
      <c r="L41" t="s">
        <v>260</v>
      </c>
      <c r="M41" t="s">
        <v>392</v>
      </c>
    </row>
    <row r="42" spans="12:13" x14ac:dyDescent="0.25">
      <c r="L42" t="s">
        <v>82</v>
      </c>
      <c r="M42" t="s">
        <v>393</v>
      </c>
    </row>
    <row r="43" spans="12:13" x14ac:dyDescent="0.25">
      <c r="L43" t="s">
        <v>110</v>
      </c>
      <c r="M43" t="s">
        <v>394</v>
      </c>
    </row>
  </sheetData>
  <phoneticPr fontId="0" type="noConversion"/>
  <pageMargins left="0.7" right="0.7" top="0.75" bottom="0.75" header="0.3" footer="0.3"/>
  <pageSetup paperSize="8" fitToWidth="0" fitToHeight="0" orientation="landscape" horizontalDpi="1200" verticalDpi="1200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5ec4e4-1008-4d6c-8b90-fd97dc163bf9" xsi:nil="true"/>
    <lcf76f155ced4ddcb4097134ff3c332f xmlns="394559c3-d598-4ab1-a141-d69b31d4e86d">
      <Terms xmlns="http://schemas.microsoft.com/office/infopath/2007/PartnerControls"/>
    </lcf76f155ced4ddcb4097134ff3c332f>
    <IconOverlay xmlns="http://schemas.microsoft.com/sharepoint/v4" xsi:nil="true"/>
    <_dlc_DocId xmlns="b65ec4e4-1008-4d6c-8b90-fd97dc163bf9">PJ3J5CSD3PJF-199882005-1988593</_dlc_DocId>
    <_dlc_DocIdUrl xmlns="b65ec4e4-1008-4d6c-8b90-fd97dc163bf9">
      <Url>https://sintaksa.sharepoint.com/sites/Projekti/_layouts/15/DocIdRedir.aspx?ID=PJ3J5CSD3PJF-199882005-1988593</Url>
      <Description>PJ3J5CSD3PJF-199882005-1988593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813B14A591134FAA75AA0E0BB9ABC5" ma:contentTypeVersion="17" ma:contentTypeDescription="Create a new document." ma:contentTypeScope="" ma:versionID="63bc975c36a65e23d5c0e58a40ace320">
  <xsd:schema xmlns:xsd="http://www.w3.org/2001/XMLSchema" xmlns:xs="http://www.w3.org/2001/XMLSchema" xmlns:p="http://schemas.microsoft.com/office/2006/metadata/properties" xmlns:ns2="b65ec4e4-1008-4d6c-8b90-fd97dc163bf9" xmlns:ns3="394559c3-d598-4ab1-a141-d69b31d4e86d" xmlns:ns4="http://schemas.microsoft.com/sharepoint/v4" targetNamespace="http://schemas.microsoft.com/office/2006/metadata/properties" ma:root="true" ma:fieldsID="a03b8379331725b3d2e00fdac94a5b72" ns2:_="" ns3:_="" ns4:_="">
    <xsd:import namespace="b65ec4e4-1008-4d6c-8b90-fd97dc163bf9"/>
    <xsd:import namespace="394559c3-d598-4ab1-a141-d69b31d4e86d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  <xsd:element ref="ns4:IconOverla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ec4e4-1008-4d6c-8b90-fd97dc163bf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afe5e4ef-8c47-4f17-ab1e-4002b9f335cf}" ma:internalName="TaxCatchAll" ma:showField="CatchAllData" ma:web="b65ec4e4-1008-4d6c-8b90-fd97dc163b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559c3-d598-4ab1-a141-d69b31d4e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e6a4ced-0b59-4f35-80f6-14f0379892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6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61F050-25F5-4B0C-BBD6-D39811E7861C}">
  <ds:schemaRefs>
    <ds:schemaRef ds:uri="http://purl.org/dc/dcmitype/"/>
    <ds:schemaRef ds:uri="526e7e8f-e116-4f24-930f-83d993d9c54d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72ad7a65-5b2b-4637-90bb-c09eef09454e"/>
    <ds:schemaRef ds:uri="http://schemas.microsoft.com/office/2006/metadata/properties"/>
    <ds:schemaRef ds:uri="http://www.w3.org/XML/1998/namespace"/>
    <ds:schemaRef ds:uri="http://purl.org/dc/elements/1.1/"/>
    <ds:schemaRef ds:uri="b65ec4e4-1008-4d6c-8b90-fd97dc163bf9"/>
    <ds:schemaRef ds:uri="394559c3-d598-4ab1-a141-d69b31d4e86d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E30E343F-E1DB-41CF-82E9-5390F441E51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928085A-5043-4FDF-9889-E7A20F3A93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940D47F-09F3-45A3-A9F8-BDFD5E710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ec4e4-1008-4d6c-8b90-fd97dc163bf9"/>
    <ds:schemaRef ds:uri="394559c3-d598-4ab1-a141-d69b31d4e86d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GENERALNE NAPOMENE</vt:lpstr>
      <vt:lpstr>GoW1</vt:lpstr>
      <vt:lpstr>GoW2</vt:lpstr>
      <vt:lpstr>GoW3</vt:lpstr>
      <vt:lpstr>GoW 4</vt:lpstr>
      <vt:lpstr>GoW 6</vt:lpstr>
      <vt:lpstr>GoW 7</vt:lpstr>
      <vt:lpstr>Abbreviations</vt:lpstr>
      <vt:lpstr>'GoW 4'!Erv</vt:lpstr>
      <vt:lpstr>'GoW 4'!Print_Area</vt:lpstr>
      <vt:lpstr>'GoW 6'!Print_Area</vt:lpstr>
      <vt:lpstr>'GoW 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Tamara Trogrlić</cp:lastModifiedBy>
  <cp:revision/>
  <dcterms:created xsi:type="dcterms:W3CDTF">2023-02-02T10:14:32Z</dcterms:created>
  <dcterms:modified xsi:type="dcterms:W3CDTF">2026-10-21T14:35:44Z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0x0101009B813B14A591134FAA75AA0E0BB9ABC5</vt:lpwstr>
  </property>
  <property fmtid="{D5CDD505-2E9C-101B-9397-08002B2CF9AE}" pid="3" name="MediaServiceImageTags">
    <vt:lpwstr/>
  </property>
  <property fmtid="{D5CDD505-2E9C-101B-9397-08002B2CF9AE}" pid="4" name="_dlc_DocIdItemGuid">
    <vt:lpwstr>1500d76c-be2b-4655-b66c-b5597f73d755</vt:lpwstr>
  </property>
</Properties>
</file>