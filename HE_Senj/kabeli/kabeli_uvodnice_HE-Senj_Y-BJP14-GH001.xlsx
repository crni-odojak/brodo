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dojak\Brodotehna\Projekti\HE_Senj\kabeli\"/>
    </mc:Choice>
  </mc:AlternateContent>
  <xr:revisionPtr revIDLastSave="0" documentId="13_ncr:1_{50A307B6-A173-496C-81FA-EDE705309ABE}" xr6:coauthVersionLast="47" xr6:coauthVersionMax="47" xr10:uidLastSave="{00000000-0000-0000-0000-000000000000}"/>
  <bookViews>
    <workbookView xWindow="-135" yWindow="-135" windowWidth="38670" windowHeight="21150" xr2:uid="{CA2EBB11-D6FA-4D7A-82F4-D8A12FCE9F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4" i="1" l="1"/>
  <c r="P4" i="1" s="1"/>
  <c r="N5" i="1"/>
  <c r="P5" i="1" s="1"/>
  <c r="N3" i="1"/>
  <c r="P3" i="1" s="1"/>
</calcChain>
</file>

<file path=xl/sharedStrings.xml><?xml version="1.0" encoding="utf-8"?>
<sst xmlns="http://schemas.openxmlformats.org/spreadsheetml/2006/main" count="96" uniqueCount="41">
  <si>
    <t>KABEL</t>
  </si>
  <si>
    <t>UVODNICA</t>
  </si>
  <si>
    <t>NAPOMENA</t>
  </si>
  <si>
    <t>DT</t>
  </si>
  <si>
    <t>Ormar 1</t>
  </si>
  <si>
    <t>Ormar 2</t>
  </si>
  <si>
    <t>Tip</t>
  </si>
  <si>
    <t>Žile x Presjek</t>
  </si>
  <si>
    <t>Vanjski promjer</t>
  </si>
  <si>
    <t>Nar. Br.</t>
  </si>
  <si>
    <t>Navoj</t>
  </si>
  <si>
    <t>YBJP14/W034</t>
  </si>
  <si>
    <t>Y BJP14 Y CDP01</t>
  </si>
  <si>
    <t>Y BJP14 GH001</t>
  </si>
  <si>
    <t>N2XCH</t>
  </si>
  <si>
    <t>2 x 2.5/2.5 mm²</t>
  </si>
  <si>
    <t>M25 x 1.5</t>
  </si>
  <si>
    <t>YBJP14GH001/W201</t>
  </si>
  <si>
    <t>HSLCH</t>
  </si>
  <si>
    <t>3 x 1.5 mm²</t>
  </si>
  <si>
    <t>M16 x 1.5</t>
  </si>
  <si>
    <t>YBJP14GH001/W202</t>
  </si>
  <si>
    <t>YBJP14GH001/W203</t>
  </si>
  <si>
    <t>YBJP14GH001/W204</t>
  </si>
  <si>
    <t>YBJP14GH001/W301</t>
  </si>
  <si>
    <t>BAZEN VODE RASHLADE</t>
  </si>
  <si>
    <t>HSLCH-JZ</t>
  </si>
  <si>
    <t>YBJP14GH001/W302</t>
  </si>
  <si>
    <t>YBJP14GH001/W401</t>
  </si>
  <si>
    <t>YBJP14GH001/W402</t>
  </si>
  <si>
    <t>YCDP01/W203</t>
  </si>
  <si>
    <t>YCDP01/W208</t>
  </si>
  <si>
    <t>5 x 1.5 mm²</t>
  </si>
  <si>
    <t>YCDP01/W301</t>
  </si>
  <si>
    <t>YCDP01/W401</t>
  </si>
  <si>
    <t>7 x 1.5 mm²</t>
  </si>
  <si>
    <t>M20 x 1.5</t>
  </si>
  <si>
    <t>UVODNICE</t>
  </si>
  <si>
    <t>korištene</t>
  </si>
  <si>
    <t>rezerva</t>
  </si>
  <si>
    <t>ukupno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</si>
</sst>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3" xfId="0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vertical="center"/>
    </xf>
    <xf numFmtId="49" fontId="2" fillId="0" borderId="9" xfId="0" applyNumberFormat="1" applyFont="1" applyBorder="1"/>
    <xf numFmtId="0" fontId="0" fillId="0" borderId="0" xfId="0" applyAlignment="1">
      <alignment vertical="center"/>
    </xf>
    <xf numFmtId="0" fontId="0" fillId="0" borderId="11" xfId="0" applyBorder="1" applyAlignment="1">
      <alignment vertic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vertical="center"/>
    </xf>
    <xf numFmtId="0" fontId="0" fillId="0" borderId="10" xfId="0" applyFont="1" applyBorder="1" applyAlignment="1">
      <alignment horizontal="center" vertical="center"/>
    </xf>
    <xf numFmtId="0" fontId="0" fillId="0" borderId="1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08CF8-795D-41A9-B0B8-5CF4BC4AC7B0}">
  <dimension ref="A1:P15"/>
  <sheetViews>
    <sheetView tabSelected="1" zoomScale="122" zoomScaleNormal="122" workbookViewId="0">
      <selection sqref="A1:F1"/>
    </sheetView>
  </sheetViews>
  <sheetFormatPr defaultRowHeight="15" x14ac:dyDescent="0.25"/>
  <cols>
    <col min="1" max="3" width="26.7109375" customWidth="1"/>
    <col min="4" max="6" width="19" customWidth="1"/>
    <col min="8" max="9" width="13.140625" customWidth="1"/>
    <col min="11" max="11" width="35.28515625" customWidth="1"/>
  </cols>
  <sheetData>
    <row r="1" spans="1:16" x14ac:dyDescent="0.25">
      <c r="A1" s="13" t="s">
        <v>0</v>
      </c>
      <c r="B1" s="14"/>
      <c r="C1" s="14"/>
      <c r="D1" s="14"/>
      <c r="E1" s="14"/>
      <c r="F1" s="15"/>
      <c r="G1" s="1"/>
      <c r="H1" s="14" t="s">
        <v>1</v>
      </c>
      <c r="I1" s="15"/>
      <c r="J1" s="2"/>
      <c r="K1" s="16" t="s">
        <v>2</v>
      </c>
      <c r="M1" s="18" t="s">
        <v>37</v>
      </c>
      <c r="N1" s="18"/>
      <c r="O1" s="18"/>
      <c r="P1" s="18"/>
    </row>
    <row r="2" spans="1:16" ht="15.75" thickBot="1" x14ac:dyDescent="0.3">
      <c r="A2" s="3" t="s">
        <v>3</v>
      </c>
      <c r="B2" s="4" t="s">
        <v>4</v>
      </c>
      <c r="C2" s="4" t="s">
        <v>5</v>
      </c>
      <c r="D2" s="4" t="s">
        <v>6</v>
      </c>
      <c r="E2" s="4" t="s">
        <v>7</v>
      </c>
      <c r="F2" s="5" t="s">
        <v>8</v>
      </c>
      <c r="G2" s="6"/>
      <c r="H2" s="4" t="s">
        <v>9</v>
      </c>
      <c r="I2" s="5" t="s">
        <v>10</v>
      </c>
      <c r="J2" s="7"/>
      <c r="K2" s="17"/>
      <c r="M2" s="12"/>
      <c r="N2" s="12" t="s">
        <v>38</v>
      </c>
      <c r="O2" s="12" t="s">
        <v>39</v>
      </c>
      <c r="P2" s="11" t="s">
        <v>40</v>
      </c>
    </row>
    <row r="3" spans="1:16" x14ac:dyDescent="0.25">
      <c r="A3" s="8" t="s">
        <v>11</v>
      </c>
      <c r="B3" s="19" t="s">
        <v>12</v>
      </c>
      <c r="C3" s="19" t="s">
        <v>13</v>
      </c>
      <c r="D3" s="20" t="s">
        <v>14</v>
      </c>
      <c r="E3" s="20" t="s">
        <v>15</v>
      </c>
      <c r="F3" s="21">
        <v>12</v>
      </c>
      <c r="G3" s="22"/>
      <c r="H3" s="20">
        <v>2411831</v>
      </c>
      <c r="I3" s="21" t="s">
        <v>16</v>
      </c>
      <c r="J3" s="9"/>
      <c r="K3" s="10"/>
      <c r="M3" t="s">
        <v>20</v>
      </c>
      <c r="N3">
        <f>COUNTIF($I$3:$I$15,M3)</f>
        <v>9</v>
      </c>
      <c r="O3">
        <v>2</v>
      </c>
      <c r="P3">
        <f>N3+O3</f>
        <v>11</v>
      </c>
    </row>
    <row r="4" spans="1:16" x14ac:dyDescent="0.25">
      <c r="A4" s="8" t="s">
        <v>17</v>
      </c>
      <c r="B4" s="19" t="s">
        <v>13</v>
      </c>
      <c r="C4" s="19" t="s">
        <v>25</v>
      </c>
      <c r="D4" s="20" t="s">
        <v>18</v>
      </c>
      <c r="E4" s="20" t="s">
        <v>19</v>
      </c>
      <c r="F4" s="21">
        <v>7.5</v>
      </c>
      <c r="G4" s="22"/>
      <c r="H4" s="20">
        <v>2411811</v>
      </c>
      <c r="I4" s="21" t="s">
        <v>20</v>
      </c>
      <c r="J4" s="9"/>
      <c r="K4" s="10"/>
      <c r="M4" t="s">
        <v>36</v>
      </c>
      <c r="N4">
        <f t="shared" ref="N4:N5" si="0">COUNTIF($I$3:$I$15,M4)</f>
        <v>1</v>
      </c>
      <c r="O4">
        <v>1</v>
      </c>
      <c r="P4">
        <f t="shared" ref="P4:P5" si="1">N4+O4</f>
        <v>2</v>
      </c>
    </row>
    <row r="5" spans="1:16" x14ac:dyDescent="0.25">
      <c r="A5" s="8" t="s">
        <v>21</v>
      </c>
      <c r="B5" s="19" t="s">
        <v>13</v>
      </c>
      <c r="C5" s="19" t="s">
        <v>25</v>
      </c>
      <c r="D5" s="20" t="s">
        <v>18</v>
      </c>
      <c r="E5" s="20" t="s">
        <v>19</v>
      </c>
      <c r="F5" s="21">
        <v>7.5</v>
      </c>
      <c r="G5" s="22"/>
      <c r="H5" s="20">
        <v>2411811</v>
      </c>
      <c r="I5" s="21" t="s">
        <v>20</v>
      </c>
      <c r="J5" s="9"/>
      <c r="K5" s="10"/>
      <c r="M5" t="s">
        <v>16</v>
      </c>
      <c r="N5">
        <f t="shared" si="0"/>
        <v>3</v>
      </c>
      <c r="O5">
        <v>1</v>
      </c>
      <c r="P5">
        <f t="shared" si="1"/>
        <v>4</v>
      </c>
    </row>
    <row r="6" spans="1:16" x14ac:dyDescent="0.25">
      <c r="A6" s="8" t="s">
        <v>22</v>
      </c>
      <c r="B6" s="19" t="s">
        <v>13</v>
      </c>
      <c r="C6" s="19" t="s">
        <v>25</v>
      </c>
      <c r="D6" s="20" t="s">
        <v>18</v>
      </c>
      <c r="E6" s="20" t="s">
        <v>19</v>
      </c>
      <c r="F6" s="21">
        <v>7.5</v>
      </c>
      <c r="G6" s="22"/>
      <c r="H6" s="20">
        <v>2411811</v>
      </c>
      <c r="I6" s="21" t="s">
        <v>20</v>
      </c>
      <c r="J6" s="9"/>
      <c r="K6" s="10"/>
    </row>
    <row r="7" spans="1:16" x14ac:dyDescent="0.25">
      <c r="A7" s="8" t="s">
        <v>23</v>
      </c>
      <c r="B7" s="19" t="s">
        <v>13</v>
      </c>
      <c r="C7" s="19" t="s">
        <v>25</v>
      </c>
      <c r="D7" s="20" t="s">
        <v>18</v>
      </c>
      <c r="E7" s="20" t="s">
        <v>19</v>
      </c>
      <c r="F7" s="21">
        <v>7.5</v>
      </c>
      <c r="G7" s="22"/>
      <c r="H7" s="20">
        <v>2411811</v>
      </c>
      <c r="I7" s="21" t="s">
        <v>20</v>
      </c>
      <c r="J7" s="9"/>
      <c r="K7" s="10"/>
    </row>
    <row r="8" spans="1:16" x14ac:dyDescent="0.25">
      <c r="A8" s="8" t="s">
        <v>24</v>
      </c>
      <c r="B8" s="19" t="s">
        <v>13</v>
      </c>
      <c r="C8" s="19" t="s">
        <v>25</v>
      </c>
      <c r="D8" s="20" t="s">
        <v>26</v>
      </c>
      <c r="E8" s="20" t="s">
        <v>19</v>
      </c>
      <c r="F8" s="21">
        <v>7.5</v>
      </c>
      <c r="G8" s="22"/>
      <c r="H8" s="20">
        <v>2411811</v>
      </c>
      <c r="I8" s="21" t="s">
        <v>20</v>
      </c>
      <c r="J8" s="9"/>
      <c r="K8" s="10"/>
    </row>
    <row r="9" spans="1:16" x14ac:dyDescent="0.25">
      <c r="A9" s="8" t="s">
        <v>27</v>
      </c>
      <c r="B9" s="19" t="s">
        <v>13</v>
      </c>
      <c r="C9" s="19" t="s">
        <v>25</v>
      </c>
      <c r="D9" s="20" t="s">
        <v>26</v>
      </c>
      <c r="E9" s="20" t="s">
        <v>19</v>
      </c>
      <c r="F9" s="21">
        <v>7.5</v>
      </c>
      <c r="G9" s="22"/>
      <c r="H9" s="20">
        <v>2411811</v>
      </c>
      <c r="I9" s="21" t="s">
        <v>20</v>
      </c>
      <c r="J9" s="9"/>
      <c r="K9" s="10"/>
    </row>
    <row r="10" spans="1:16" x14ac:dyDescent="0.25">
      <c r="A10" s="8" t="s">
        <v>28</v>
      </c>
      <c r="B10" s="19" t="s">
        <v>13</v>
      </c>
      <c r="C10" s="19" t="s">
        <v>25</v>
      </c>
      <c r="D10" s="20" t="s">
        <v>26</v>
      </c>
      <c r="E10" s="20" t="s">
        <v>19</v>
      </c>
      <c r="F10" s="21">
        <v>7.5</v>
      </c>
      <c r="G10" s="22"/>
      <c r="H10" s="20">
        <v>2411811</v>
      </c>
      <c r="I10" s="21" t="s">
        <v>20</v>
      </c>
      <c r="J10" s="9"/>
      <c r="K10" s="10"/>
    </row>
    <row r="11" spans="1:16" x14ac:dyDescent="0.25">
      <c r="A11" s="8" t="s">
        <v>29</v>
      </c>
      <c r="B11" s="19" t="s">
        <v>13</v>
      </c>
      <c r="C11" s="19" t="s">
        <v>25</v>
      </c>
      <c r="D11" s="20" t="s">
        <v>26</v>
      </c>
      <c r="E11" s="20" t="s">
        <v>19</v>
      </c>
      <c r="F11" s="21">
        <v>7.5</v>
      </c>
      <c r="G11" s="22"/>
      <c r="H11" s="20">
        <v>2411811</v>
      </c>
      <c r="I11" s="21" t="s">
        <v>20</v>
      </c>
      <c r="J11" s="9"/>
      <c r="K11" s="10"/>
    </row>
    <row r="12" spans="1:16" x14ac:dyDescent="0.25">
      <c r="A12" s="8" t="s">
        <v>30</v>
      </c>
      <c r="B12" s="19" t="s">
        <v>12</v>
      </c>
      <c r="C12" s="19" t="s">
        <v>13</v>
      </c>
      <c r="D12" s="20" t="s">
        <v>14</v>
      </c>
      <c r="E12" s="20" t="s">
        <v>15</v>
      </c>
      <c r="F12" s="21">
        <v>12</v>
      </c>
      <c r="G12" s="22"/>
      <c r="H12" s="20">
        <v>2411831</v>
      </c>
      <c r="I12" s="21" t="s">
        <v>16</v>
      </c>
      <c r="J12" s="9"/>
      <c r="K12" s="10"/>
    </row>
    <row r="13" spans="1:16" x14ac:dyDescent="0.25">
      <c r="A13" s="8" t="s">
        <v>31</v>
      </c>
      <c r="B13" s="19" t="s">
        <v>12</v>
      </c>
      <c r="C13" s="19" t="s">
        <v>13</v>
      </c>
      <c r="D13" s="20" t="s">
        <v>18</v>
      </c>
      <c r="E13" s="20" t="s">
        <v>32</v>
      </c>
      <c r="F13" s="21">
        <v>8.9</v>
      </c>
      <c r="G13" s="22"/>
      <c r="H13" s="20">
        <v>2411811</v>
      </c>
      <c r="I13" s="21" t="s">
        <v>20</v>
      </c>
      <c r="J13" s="9"/>
      <c r="K13" s="10"/>
    </row>
    <row r="14" spans="1:16" x14ac:dyDescent="0.25">
      <c r="A14" s="8" t="s">
        <v>33</v>
      </c>
      <c r="B14" s="19" t="s">
        <v>12</v>
      </c>
      <c r="C14" s="19" t="s">
        <v>13</v>
      </c>
      <c r="D14" s="20" t="s">
        <v>14</v>
      </c>
      <c r="E14" s="20" t="s">
        <v>15</v>
      </c>
      <c r="F14" s="21">
        <v>12</v>
      </c>
      <c r="G14" s="22"/>
      <c r="H14" s="20">
        <v>2411831</v>
      </c>
      <c r="I14" s="21" t="s">
        <v>16</v>
      </c>
      <c r="J14" s="9"/>
      <c r="K14" s="10"/>
    </row>
    <row r="15" spans="1:16" x14ac:dyDescent="0.25">
      <c r="A15" s="8" t="s">
        <v>34</v>
      </c>
      <c r="B15" s="19" t="s">
        <v>12</v>
      </c>
      <c r="C15" s="19" t="s">
        <v>13</v>
      </c>
      <c r="D15" s="20" t="s">
        <v>18</v>
      </c>
      <c r="E15" s="20" t="s">
        <v>35</v>
      </c>
      <c r="F15" s="21">
        <v>11.3</v>
      </c>
      <c r="G15" s="22"/>
      <c r="H15" s="20">
        <v>2411821</v>
      </c>
      <c r="I15" s="21" t="s">
        <v>36</v>
      </c>
      <c r="J15" s="9"/>
      <c r="K15" s="10"/>
    </row>
  </sheetData>
  <mergeCells count="4">
    <mergeCell ref="A1:F1"/>
    <mergeCell ref="H1:I1"/>
    <mergeCell ref="K1:K2"/>
    <mergeCell ref="M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 Švarc</dc:creator>
  <cp:lastModifiedBy>Fran Švarc</cp:lastModifiedBy>
  <dcterms:created xsi:type="dcterms:W3CDTF">2026-08-27T11:02:47Z</dcterms:created>
  <dcterms:modified xsi:type="dcterms:W3CDTF">2026-08-27T13:36:54Z</dcterms:modified>
</cp:coreProperties>
</file>