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30228"/>
  <workbookPr dateCompatibility="0" defaultThemeVersion="202300"/>
  <mc:AlternateContent xmlns:mc="http://schemas.openxmlformats.org/markup-compatibility/2006">
    <mc:Choice Requires="x15">
      <x15ac:absPath xmlns:x15ac="http://schemas.microsoft.com/office/spreadsheetml/2010/11/ac" url="D:\Projekti\2025\HE Senj\2026-08-11 Ažuriranje shema\HE_Senj_PLCoverview_oprema\"/>
    </mc:Choice>
  </mc:AlternateContent>
  <xr:revisionPtr revIDLastSave="0" documentId="13_ncr:9_{D2C0E722-5792-4836-80FF-DC8BED4D0B3E}" xr6:coauthVersionLast="47" xr6:coauthVersionMax="47" xr10:uidLastSave="{00000000-0000-0000-0000-000000000000}"/>
  <bookViews>
    <workbookView xWindow="-38520" yWindow="-120" windowWidth="38640" windowHeight="21120" activeTab="1" xr2:uid="{324E8A42-1211-42FF-BECF-D2BB17870C58}"/>
  </bookViews>
  <sheets>
    <sheet name="Zadaci" sheetId="1" r:id="rId1"/>
    <sheet name="Specifikacija_opreme_-_HEP-v2" sheetId="2" r:id="rId2"/>
  </sheets>
  <definedNames>
    <definedName name="_xlnm._FilterDatabase" localSheetId="1" hidden="1">'Specifikacija_opreme_-_HEP-v2'!$B$1:$F$116</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J125" i="2" l="1"/>
  <c r="J123" i="2"/>
  <c r="J122" i="2"/>
  <c r="J121" i="2"/>
  <c r="J120" i="2"/>
  <c r="J119" i="2"/>
  <c r="J118" i="2"/>
  <c r="J117" i="2"/>
  <c r="J116"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3" i="2"/>
  <c r="J32" i="2"/>
  <c r="J31" i="2"/>
  <c r="J30" i="2"/>
  <c r="J29" i="2"/>
  <c r="J28" i="2"/>
  <c r="J27" i="2"/>
  <c r="J26" i="2"/>
  <c r="J25" i="2"/>
  <c r="J24" i="2"/>
  <c r="J23" i="2"/>
  <c r="J22" i="2"/>
  <c r="J21" i="2"/>
  <c r="J20" i="2"/>
  <c r="J19" i="2"/>
  <c r="J18" i="2"/>
  <c r="J17" i="2"/>
  <c r="J16" i="2"/>
  <c r="J15" i="2"/>
  <c r="J14" i="2"/>
  <c r="J13" i="2"/>
  <c r="J12" i="2"/>
  <c r="J11" i="2"/>
  <c r="J10" i="2"/>
  <c r="J9" i="2"/>
  <c r="J8" i="2"/>
  <c r="J7" i="2"/>
  <c r="J6" i="2"/>
  <c r="J5" i="2"/>
  <c r="J4" i="2"/>
  <c r="J3" i="2"/>
  <c r="J2" i="2"/>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
  </authors>
  <commentList>
    <comment ref="D113" authorId="0" shapeId="1025" xr:uid="{C8BB19DC-EE89-4F88-A3A7-D88407000A4D}">
      <text>
        <r>
          <rPr>
            <sz val="11"/>
            <color rgb="FF000000"/>
            <rFont val="Calibri"/>
            <family val="2"/>
          </rPr>
          <t>Comment:
    Schrack?</t>
        </r>
      </text>
      <mc:AlternateContent xmlns:mc="http://schemas.openxmlformats.org/markup-compatibility/2006">
        <mc:Choice Requires="v"/>
        <mc:Fallback>
          <commentPr defaultSize="0" autoFill="0" autoLine="0">
            <anchor>
              <from>
                <xdr:col>7</xdr:col>
                <xdr:colOff>561975</xdr:colOff>
                <xdr:row>154</xdr:row>
                <xdr:rowOff>95250</xdr:rowOff>
              </from>
              <to>
                <xdr:col>8</xdr:col>
                <xdr:colOff>533400</xdr:colOff>
                <xdr:row>159</xdr:row>
                <xdr:rowOff>95250</xdr:rowOff>
              </to>
            </anchor>
          </commentPr>
        </mc:Fallback>
      </mc:AlternateContent>
    </comment>
  </commentList>
</comments>
</file>

<file path=xl/sharedStrings.xml><?xml version="1.0" encoding="utf-8"?>
<sst xmlns="http://purl.oclc.org/ooxml/spreadsheetml/main" count="710" uniqueCount="336">
  <si>
    <t>Br zadatka</t>
  </si>
  <si>
    <t>Zadatak</t>
  </si>
  <si>
    <t>U HE Senj projektu, prema Master projektu, napraviti PLC overview stranice koje uključuju stranice za HMI, PLC CPU, sve PLC kartice (količinu vidjeti na MA stranicama) i ethernet switch. To ne znači da se uzimaju partovi iz MP-a, već samo izgled overview stranica. U HE Senj je već definirana PLC oprema.</t>
  </si>
  <si>
    <t>Iz projekta HE Senj izbaciti summarized parts listu i usporediti kataloške brojeve i količine s opremom u "Specifikacija opreme - HEP-v2" sheetu i izbaciti sve razlike. Ako neke opreme ima više u shemama (ili ima kataloških brojeva kojih nema u sheetu) nego u sheetu, znači da je moramo naručiti. Ako neke opreme ima manje u shemama, znači da ćemo ju vjerojatno vraćati na lager. 
Najbolje je to napraviti tako da se samo doda stupac u "Specifikacija opreme - HEP-v2" koji daje informaciju o količinama iz shema (ako u shemama postoji kataloški broj koji nije na tom popisu, dodati ga u novi red) i dodati još jedan stupac razlike u količinama.
NAPOMENA: Opremu poput kratkospojnika ili graničnika za stezaljke još uvijek ne specificiramo u shemama, pa će ti takve stvari izgledati kao da ih trebamo dodatno naručiti. Popiši ih svejedno, ja ću ih provjeriti.</t>
  </si>
  <si>
    <t>Oznaka</t>
  </si>
  <si>
    <t>Ormar Y BJP14 + Y CDP01</t>
  </si>
  <si>
    <t>Narudžbeni broj</t>
  </si>
  <si>
    <t>Proizvođač</t>
  </si>
  <si>
    <t>Količina</t>
  </si>
  <si>
    <t>Tip količine</t>
  </si>
  <si>
    <t>NARUČENO</t>
  </si>
  <si>
    <t>KOMENTAR</t>
  </si>
  <si>
    <t>Količina iz shema</t>
  </si>
  <si>
    <t>Razlika količina</t>
  </si>
  <si>
    <t>Ormar samostojeći VX25, š×v×d: 800×2000×800 mm, IP 55, s prednjim i stražnjim vratima, s 2 montažne ploče</t>
  </si>
  <si>
    <t>Rittal</t>
  </si>
  <si>
    <t>set</t>
  </si>
  <si>
    <t>DA</t>
  </si>
  <si>
    <t>Međuploča montažna, za ormare visine 2000 mm</t>
  </si>
  <si>
    <t>kom</t>
  </si>
  <si>
    <t>Kutnik spojni za raspodjelu vlačnih sila tijekom transporta  ormara, pak=4</t>
  </si>
  <si>
    <t>Podnožje prednje/ stražnje VX25, š×v: 800×100 mm, crno, pak=2</t>
  </si>
  <si>
    <t>Unutarnji spojni nosač za spajanje ormara, VX25/VX25, materijal: pocinčani čelični lim, pak=6</t>
  </si>
  <si>
    <t>Stranica bočna VX25, v×d: 2000×800mm, pak=2</t>
  </si>
  <si>
    <t>Stranica podnožja bočna, čelični lim, VX25, v×d: 100×800 mm, pak=2</t>
  </si>
  <si>
    <t>Šina perforirana DIN, 35/ 7,5 mm, L=2000 mm, ZN vrh: NS 35/ 7,5</t>
  </si>
  <si>
    <t>Spojnik ormara Vanjski, VX25/VX25, pak=6</t>
  </si>
  <si>
    <t>Pokrov za spoj polja ormara TS8/VX25 dubine 800 mm</t>
  </si>
  <si>
    <t>Montažni nosač za pričvršćivanje prekidača s upravljanjem vratima na okvir VX, VX IT</t>
  </si>
  <si>
    <t>Kuke transportne VX25, M12, pak=4</t>
  </si>
  <si>
    <t>Ručica COMFORT VX25, bez umetka, RAL 7035, za polucilindar umetke</t>
  </si>
  <si>
    <t>Sekcija za ulaz kabela VX25, Centralna za ormar širine 800 mm, pak=2</t>
  </si>
  <si>
    <t>Džep za nacrte metalni, š×v×d: 655×210×90 mm, za montažu vijcima na okvir vrata</t>
  </si>
  <si>
    <t>-S151, -S152, -S153, -S154</t>
  </si>
  <si>
    <t>Prekidač za vrata za LED sistemsku rasvjetu, sa kabelom 0,8 m</t>
  </si>
  <si>
    <t>-R101, -R102</t>
  </si>
  <si>
    <t>Grijač PTC TopTherm, 130..150 W, 110-240V AC/DC, Izvedba bez ventilatora</t>
  </si>
  <si>
    <t>-B101</t>
  </si>
  <si>
    <t>Unutarnji termostat za kućište +5...+60°C, 24-230V AC, 24-60V DC</t>
  </si>
  <si>
    <t>Kabel međuspojni za LED rasvjetu (narančasti) UL, 100...240 V AC, 3-pol, 1m</t>
  </si>
  <si>
    <t>Kabel za napajanje LED rasvjete (narančasti), 100...240 V AC, 3-pol, 3m</t>
  </si>
  <si>
    <t>2500500K</t>
  </si>
  <si>
    <t>-E101, -E102</t>
  </si>
  <si>
    <t>Rasvjeta LED, 100...240V AC, 900 lm, L=437 mm, bez utičnice</t>
  </si>
  <si>
    <t>u summarized parts listi -E101…-E104</t>
  </si>
  <si>
    <t>Komplet za montažu s magnetom za LED sustavnu svjetiljku, za lijepljenje na stražnju stranu svjetala bez grla</t>
  </si>
  <si>
    <t>-B102</t>
  </si>
  <si>
    <t>Higrostat 50...100%, 24-230V AC / 24 - 48V DC</t>
  </si>
  <si>
    <t>-X101, -X102</t>
  </si>
  <si>
    <t>Utičnica 2P+PE 10/16A, 250V AC (DIN standard) za montažu na DIN nosač</t>
  </si>
  <si>
    <t>A9A15310</t>
  </si>
  <si>
    <t>Schneider Electric</t>
  </si>
  <si>
    <t>nema -X102 u EPLANu</t>
  </si>
  <si>
    <t>-U111</t>
  </si>
  <si>
    <t>SCALANCE XC206-2SFP upravljivi Layer 2 IE preklopnik; certificiran prema IEC 62443-4-2; 6x 10/100 MBit/s RJ45 portova; 2x 100/1000 Mbit/s SFP; 1x konzolni port; LED za dijagnostiku; redundantno napajanje; temperaturni raspon od -40 °C do +70 °C; montaža: DIN šina/S7 montažna šina/zid Značajke uredskih redundancijskih funkcija (RSTP, VLAN,...); PROFINET IO uređaj; Ethernet/IP kompatibilan; C-utičnica;</t>
  </si>
  <si>
    <t>6GK5206-2BS00-2AC2</t>
  </si>
  <si>
    <t>Siemens</t>
  </si>
  <si>
    <t>C-utikač, izmjenjivi medij za pohranu podataka Za jednostavnu zamjenu uređaja u slučaju kvara, za snimanje konfiguracijskih ili inženjerskih i aplikacijskih podataka, može se koristiti u sljedećim SIMATIC NET proizvodima s C-utikačem: SCALANCE XC-200, XP-200, XM-400, XR-500, M-800, W-700, SC-600 i S615.</t>
  </si>
  <si>
    <t>6GK1900-0AB10</t>
  </si>
  <si>
    <t>SCALANCE X pribor; Primopredajnik SFP991-1; 1x 100 Mbps LC port, optički; višemodno staklo do maks. 5 km (s OM2++ vlaknom)</t>
  </si>
  <si>
    <t>6GK5991-1AD00-8AA0</t>
  </si>
  <si>
    <t>-A101</t>
  </si>
  <si>
    <t>SIMATIC S7-1500, CPU 1513-1 PN, centralna procesorska jedinica s radnom memorijom od 600 KB za program i 2,5 MB za podatke, 1. sučelje: PROFINET IRT s 2-portnim preklopnikom, performanse od 6 ns bita, potrebna SIMATIC memorijska kartica</t>
  </si>
  <si>
    <t>6ES7513-1AM03-0AB0</t>
  </si>
  <si>
    <t>SIMATIC S7, memorijske kartice za S7-1x00 CPU/SINAMICS, 3, 3V Flash, 12 MB</t>
  </si>
  <si>
    <t>6ES7954-8LE04-0AA0</t>
  </si>
  <si>
    <t>u summarized parts listi -A101</t>
  </si>
  <si>
    <t>-A111...-A113</t>
  </si>
  <si>
    <t>SIMATIC S7-1500, digitalni ulazni modul DI 32x24 V DC HF, 32 kanala u grupama od 16; od kojih se 2 ulaza mogu koristiti kao brojači; kašnjenje ulaza 0,05..20 ms tip ulaza 3 (IEC 61131); dijagnostika; hardverski prekidi: prednji konektor (vijčani terminali ili utični) naručuje se zasebno</t>
  </si>
  <si>
    <t>6ES7521-1BL00-0AB0</t>
  </si>
  <si>
    <t>-A121…-A122</t>
  </si>
  <si>
    <t>SIMATIC S7-1500, digitalni izlazni modul DQ 32x24V DC/0,5A HF; 32 kanala u grupama od 8; 4 A po grupi; dijagnostika jednog kanala; zamjenska vrijednost, brojač ciklusa preklapanja za priključene aktuatore. Modul podržava sigurnosno orijentirano isključivanje grupa opterećenja do SIL2 prema EN IEC 62061:2021 i kategorije 3 / PL d prema EN ISO 13849-1:2015. Prednji konektor (vijčani ili utični) naručuje se zasebno.</t>
  </si>
  <si>
    <t>6ES7522-1BL01-0AB0</t>
  </si>
  <si>
    <t>-A131…-A135</t>
  </si>
  <si>
    <t>SIMATIC S7-1500 analogni ulazni modul AI 8xU/I/RTD/TC ST, 16-bitna rezolucija, točnost 0,3%, 8 kanala u grupama od 8; 4 kanala za RTD mjerenje, zajednički napon 10 V; Dijagnostika; Hardverski prekidi; Isporuka uključuje ulazni element, nosač zaštitnog oklopa i priključak zaštitnog oklopa: Prednji konektor (vijčani ili utični) naručuje se zasebno.</t>
  </si>
  <si>
    <t>6ES7531-7KF00-0AB0</t>
  </si>
  <si>
    <t>u summarized parts listi su još i -A136, -A137</t>
  </si>
  <si>
    <t>Industrijski Ethernet FastConnect RJ45 utikač 180 2x 2, RJ45 utični konektor (10/100 Mbit/s) s robusnim metalnim kućištem i FC sustavom spajanja, za IE FC TP kabel 2x 2; izlaz kabela od 180° 1 pakiranje = 1 jedinica.</t>
  </si>
  <si>
    <t>6GK1901-1BB10-2AA0</t>
  </si>
  <si>
    <t>IE FC TP standardni kabel GP 2x2 (PROFINET tip A), CAT5E, bus kabel s 4 žice, oklopljen, posebna konfiguracija za brzu montažu na IE FC RJ45 utikač 2x2, 100 m.</t>
  </si>
  <si>
    <t>6XV1840-2AT10</t>
  </si>
  <si>
    <t>SIMATIC S7-1500, montažna šina 530 mm (cca. 20,9 inča); uklj. vijak za uzemljenje, integrirana DIN šina za montažu dodatne opreme kao što su terminali, automatski prekidači i releji</t>
  </si>
  <si>
    <t>6ES7590-1AF30-0AA0</t>
  </si>
  <si>
    <t>u summarized parts listi je -A101</t>
  </si>
  <si>
    <t>SIMATIC S7-1500, Prednji konektor Sustav spajanja vijčanim tipom, 40-polni za module širine 35 mm uklj. 4 potencijalna mosta i kabelske vezice</t>
  </si>
  <si>
    <t>6ES7592-1AM00-0XB0</t>
  </si>
  <si>
    <t>-A100</t>
  </si>
  <si>
    <t>SIMATIC HMI MTP1500, Unified Comfort Panel, upravljanje dodirom, 15,6" TFT zaslon širokog zaslona, 16 milijuna boja, PROFINET sučelje, konfigurabilno od WinCC Unified Comfort V16, sadrži softver otvorenog koda koji se pruža besplatno, pogledajte priloženi DVD</t>
  </si>
  <si>
    <t>6AV2128-3QB06-0AX1</t>
  </si>
  <si>
    <t>-U101, -U102</t>
  </si>
  <si>
    <t xml:space="preserve"> SITOP PSU8200 20 A stabilizirano napajanje ulaz: 120-230 V AC 110-220 V DC izlaz: 24 V DC/20 A</t>
  </si>
  <si>
    <t>6EP1336-3BA10</t>
  </si>
  <si>
    <t>-V101</t>
  </si>
  <si>
    <t>SITOP RED1200 redundantni modul Ulaz/izlaz: 24/48 V DC/40 A Pogodan za odvajanje dva SITOP napajanja s maks. izlaznom strujom od 20 A svaki</t>
  </si>
  <si>
    <t>6EP4347-7RB00-0AX0</t>
  </si>
  <si>
    <t>-F201, -F202</t>
  </si>
  <si>
    <t>SITOP SEL1400 10 A selektivni modul 8-kanalni s graničnom karakteristikom ulaz: 24 V DC/60 A izlaz: 24 V DC/8x 10 A podesivi prag 2-10 A s nadzornim sučeljem</t>
  </si>
  <si>
    <t>6EP4438-7EB00-3DX0</t>
  </si>
  <si>
    <t>-U151…-U162</t>
  </si>
  <si>
    <t>ACT20M-AI-AO-ES Analogno izolacijsko pojačalo, Konfigurabilno, bez napajanja senzora, Točnost &lt;0,2 % mjernog raspona, Ulaz: I / U, Izlaz: I / U</t>
  </si>
  <si>
    <t>Weidmüller</t>
  </si>
  <si>
    <t>u summarized parts listi -U155 -U157</t>
  </si>
  <si>
    <t>ACT20M-AI-AO-S Analogno izolacijsko pojačalo, Konfigurabilno, bez napajanja senzora, Točnost &lt;0,2 % mjernog raspona, Ulaz: I / U, Izlaz: I / U</t>
  </si>
  <si>
    <t>NE</t>
  </si>
  <si>
    <r>
      <rPr>
        <b/>
        <sz val="11"/>
        <color rgb="FF000000"/>
        <rFont val="Aptos Narrow"/>
        <family val="2"/>
      </rPr>
      <t>NARUČITI</t>
    </r>
    <r>
      <rPr>
        <sz val="11"/>
        <color rgb="FF000000"/>
        <rFont val="Calibri"/>
        <family val="2"/>
      </rPr>
      <t>; 
u summarized parts listi -U151...-U154 -U158...-U160</t>
    </r>
  </si>
  <si>
    <t>MF 5/7.5 MC NE WS MultiFit, Oznaka za terminale, 5 x 7,5 mm, Razmak u mm (P): 7,50 Adels RKW, Phoenix, temperaturni raspon od -40 °C do +100 °C, bijela boja</t>
  </si>
  <si>
    <t>-1K01…-1K98</t>
  </si>
  <si>
    <t>TRS 230VUC 2CO TERMSERIES, Relejni modul, 87.8 x  89.6 x 12.8  mm, Broj kontakata: 2, CO kontakt AgNi, Nazivni upravljački napon: 230 V UC ±5 %, Trajna struja: 8 A, Vijčani priključak, Dostupna tipka za testiranje: Ne</t>
  </si>
  <si>
    <t>u summarized parts listi -1K01...-1K08 -1K11...-1K18 -1K21...-1K24 -K401 -K402</t>
  </si>
  <si>
    <t>TCC 12.8/26 BL TERMSERIES poprečni spojni most TCC 12.8/26 BL; 26-polni; razmak 12,8 mm; nazivni napon 300 V; nazivna struja 17,5 A; mogućnost rezanja na željenu duljinu; izoliran i zaštićen od dodira; plava boja; montaža uticanjem</t>
  </si>
  <si>
    <t>-2K01…2K48</t>
  </si>
  <si>
    <t>TRS 24VDC 1CO TERMSERIES, Relejni modul, Broj kontakata: 1, CO kontakt AgNi, Nazivni upravljački napon: 24 V DC ±20 %, Trajna struja: 6 A, Vijčani priključak, zaštitna dioda, Dostupna tipka za testiranje: Ne</t>
  </si>
  <si>
    <t>u summarized parts listi -2K01...-2K08 -2K11 -2K14...-2K18 -2K21...-2K28 -2K31...-2K38 -2K41...-2K48 -2K51...-2K55</t>
  </si>
  <si>
    <t>-2K12, -2K13</t>
  </si>
  <si>
    <t>Pomoćni (neblokirajući) relej,  zavojnica 24 V DC, preklopna struja 10 A, 3 preklopna kontakta (3PDT/3 Form C), 3 pola, jednopolni AgNi kontakti</t>
  </si>
  <si>
    <t xml:space="preserve">700-HA33Z24-3-4 </t>
  </si>
  <si>
    <t>ALLEN BRADLEY</t>
  </si>
  <si>
    <t>nema nar. br. u summarized parts listi; 
u summarized parts listi -2K12 -2K13 -K101 -K102 -K102.1 -K103 -K103.1 -K104 -K105</t>
  </si>
  <si>
    <t>-1K101…-1K198</t>
  </si>
  <si>
    <t>TRS 24VDC 2CO TERMSERIES, Relejni modul, Broj kontakata: 2, CO kontakt AgNi, Nazivni upravljački napon: 24 V DC ±20 %, Trajna struja: 8 A, Vijčani priključak, zaštitna dioda, Dostupna tipka za testiranje: Ne</t>
  </si>
  <si>
    <t>u summarized parts listi -1K101...-1K108 -1K111...-1K118 -1K121...-1K128 -1K131...-1K138 -1K141...-1K148 -1K151...-1K157</t>
  </si>
  <si>
    <t>TW TXS/TXZ R3.2 TERMSERIES pregradna ploča TW TXS/TXZ R3.2; debljina 3,2 mm; za montažu na DIN šinu TS 35; narančasta boja; nezapaljivo kućište prema UL94 V-0</t>
  </si>
  <si>
    <t>TCC 6.4/51 BL TERMSERIES poprečni spojni most TCC 6.4/51 BL; 51-polni; razmak (raster) 6,4 mm; nazivni napon 300 V; nazivna struja 17,5 A; mogućnost rezanja na željenu duljinu; izoliran i zaštićen od dodira; plava boja; montaža uticanjem</t>
  </si>
  <si>
    <t>-X100, - X200, itd.</t>
  </si>
  <si>
    <t>WDU 4 - Prolazni terminalni blok, Vijčani priključak, tamnobež, 4 mm², 32 A, 800 V, Broj priključaka: 2</t>
  </si>
  <si>
    <t>WEW 35/2 - Završna konzola, tamno bež, TS 35, HB, Wemid, Širina: 8 mm, 100 °C</t>
  </si>
  <si>
    <t>ZQV 4N/6 RD - Križni konektor (terminalni), Utikač, crveni, 32 A, Broj polova: 6, Razmak u mm (P): 6,10, Izolirano: Da, Širina: 181,7 mm</t>
  </si>
  <si>
    <t>ZQV 4N/10 RD - Križni konektor (terminalni), Utikač, crveni, 32 A, Broj polova: 10, Razmak u mm (P): 6,10, Izolirano: Da, Širina: 181,7 mm</t>
  </si>
  <si>
    <t>ZQV 4N/30 RD - Križni konektor (terminalni), Utikač, crveni, 32 A, Broj polova: 30, Razmak u mm (P): 6,10, Izolirano: Da, Širina: 181,7 mm</t>
  </si>
  <si>
    <t xml:space="preserve"> WAP 2.5-10 - Završna ploča za terminale, tamno bež, Visina: 56 mm, Širina: 1,5 mm, V-0, Wemid, Pričvršćivanje: Ne</t>
  </si>
  <si>
    <t xml:space="preserve"> WDU 16 - Prolazni terminalni blok, Vijčani priključak, tamnobež, 16 mm², 76 A, 1000 V, Broj priključaka: 2</t>
  </si>
  <si>
    <t xml:space="preserve"> WEW 35/1 - Završna konzola, tamnobež, TS 35, V-2, Wemid, Širina: 12 mm, 100 °C</t>
  </si>
  <si>
    <t>WAP 16+35 WTW 2.5-10 - Završna i pregradna ploča za terminale, tamno bež, Visina: 56 mm, Širina: 1,5 mm, V-0, Wemid</t>
  </si>
  <si>
    <t>EMG 90-DIO 32M Modul za ispitivanje lampi, 2 diode  sa zajedničkom katodom: sa 16 parova, sa zajedničkim okidanjem, maks. radni napon 250 V AC; vršni reverzni napon 1300 V;</t>
  </si>
  <si>
    <t>Phoenix Contact</t>
  </si>
  <si>
    <t>u summarized parts listi je -V111</t>
  </si>
  <si>
    <t>LED sijalica: BIJELA; BA9s podnožje, nazivni napon/struja: 24Vdc/15mA</t>
  </si>
  <si>
    <t>10-2512.1149</t>
  </si>
  <si>
    <t>EAO</t>
  </si>
  <si>
    <t>NO/NC modul - kontakti: 1NC + 1NO; Au/Ag; vijčani priključak</t>
  </si>
  <si>
    <t>704.911.5-1</t>
  </si>
  <si>
    <t>2NC modul - kontakti: 2NC; Au/Ag; vijčani priključak</t>
  </si>
  <si>
    <t>704.911.4-1</t>
  </si>
  <si>
    <t>2NO modul - kontakti: 2NC; Au/Ag; vijčani priključak</t>
  </si>
  <si>
    <t>704.911.3-1</t>
  </si>
  <si>
    <t>-S111, -S211, -S311, -S411, -S511, -S611, -S911</t>
  </si>
  <si>
    <t>Sklopka grebenasta, preklopka s “0” položajem, Broj polova: 3, Broj elemenata: 3, Oblik ugradnje: ugradna</t>
  </si>
  <si>
    <t>GN20-53-U</t>
  </si>
  <si>
    <t>Končar</t>
  </si>
  <si>
    <t>-H4, -H5, -H6, -H7, -H102, -H202, -H302, -H402, -H502, -H602, -H701, -H702, -H703, H801, -H802</t>
  </si>
  <si>
    <t>Svjetleće tijelo, leća: CRVENA, prednji okvir: sivi; 35×35mm, podnožje za sijalicu sa vijčanim priključkom</t>
  </si>
  <si>
    <t>nije upisan part u EPLANu; 
ne postoje -H6, -H7, -H701, -H702, -H703, H801, -H802</t>
  </si>
  <si>
    <t>-H1, -H2, -H3, -H401, -H501, -H601</t>
  </si>
  <si>
    <t>Svjetleće tijelo, leća: ZELENA, prednji okvir: sivi; 35×35mm, podnožje za sijalicu sa vijčanim priključkom</t>
  </si>
  <si>
    <t>704.202.508</t>
  </si>
  <si>
    <t>nije upisan part u EPLANu</t>
  </si>
  <si>
    <t>-H8, -H101, -H201, -H301, -H404, -H504, -H604</t>
  </si>
  <si>
    <t>Svjetleće tijelo, leća: PROZIRNA, prednji okvir: sivi; 35×35mm, podnožje za sijalicu sa vijčanim priključkom</t>
  </si>
  <si>
    <t>704.202.708</t>
  </si>
  <si>
    <t>nije upisan part u EPLANu; 
ne postoje -H8, -H404, -H504, -H604</t>
  </si>
  <si>
    <t>-H403, H503, -H603</t>
  </si>
  <si>
    <t>Svjetleće tijelo, leća: ŽUTA, prednji okvir: sivi; 35×35mm, podnožje za sijalicu sa vijčanim priključkom</t>
  </si>
  <si>
    <t>704.202.408</t>
  </si>
  <si>
    <t>-S110, -S101, -S201, -S301</t>
  </si>
  <si>
    <t>Svjetleće tipkalo, leća: CRVENA, prednji okvir: crni; 35×35mm, podnožje za sijalicu sa vijčanim priključkom</t>
  </si>
  <si>
    <t>704.229.200</t>
  </si>
  <si>
    <t>ne postoji -S110;
nema nar. br. u summarized parts listi</t>
  </si>
  <si>
    <t>-S103, -S203, -S303</t>
  </si>
  <si>
    <t>Svjetleće tipkalo, leća: ZELENA, prednji okvir: crni; 35×35mm, podnožje za sijalicu sa vijčanim priključkom</t>
  </si>
  <si>
    <t>704.229.500</t>
  </si>
  <si>
    <t>nema nar. br. u summarized parts listi</t>
  </si>
  <si>
    <t>-S102, -S202, -S302</t>
  </si>
  <si>
    <t>Svjetleće tipkalo, leća: PROZIRNA, prednji okvir: crni; 35×35mm, podnožje za sijalicu sa vijčanim priključkom</t>
  </si>
  <si>
    <t>704.229.700</t>
  </si>
  <si>
    <t>Tipkalo prozirno: PROZIRNA, prednji okvir: crni; 35×35mm, podnožje za sijalicu sa vijčanim priključkom</t>
  </si>
  <si>
    <t>-S301</t>
  </si>
  <si>
    <t>Tipkalo za isklop u nuždi, gljivasta glava: crvena, Ø40mm, prednji okvir: aluminijski, reset: zakret u smjeru kazaljke na satu</t>
  </si>
  <si>
    <t>704.075.2</t>
  </si>
  <si>
    <t>E-stop zaštitni prsten, plastičan, Ø83 mm, boja: žuta</t>
  </si>
  <si>
    <t>704.927.9</t>
  </si>
  <si>
    <t>-K411</t>
  </si>
  <si>
    <t>Digitalno podesivi nadzorni relej za ispad faze, redoslijed faza, asimetriju, frekvenciju, nadzor prenapona i podnapona 3x 90-690 V AC, 15-70 Hz 2 preklopna kontakta vijčani priključak</t>
  </si>
  <si>
    <t>3UG5616-1CR20</t>
  </si>
  <si>
    <t>-K3.1, -K3.2,…-K5.1, -K5.2</t>
  </si>
  <si>
    <t>Sklopnik TeSys D - 3P (3 NO) - AC-3 - &lt;= 440 V 9 A - Zavojnica 220 V DC, namjena: upravljanje motorom / ohmski teret</t>
  </si>
  <si>
    <t>LC1D09MD</t>
  </si>
  <si>
    <t>Komplet za reverzni sklopnik , 3P, 32 A, sastav opreme: električna i mehanička blokada, set priključaka za napajanje</t>
  </si>
  <si>
    <t>LAD9R1V</t>
  </si>
  <si>
    <t>koristi se stavka iznad</t>
  </si>
  <si>
    <t>-FU1</t>
  </si>
  <si>
    <t>Odvodnik prenapona za TNC sustav, DG MD TNS 275 FM, DEHNGuard Modular</t>
  </si>
  <si>
    <t>Dehn</t>
  </si>
  <si>
    <t>-S1</t>
  </si>
  <si>
    <t>Sklopka preklopna motorizirana - 4P - 125A - sa uređajima za automatsko prebacivanje - napajanje 230/400 V AC - tip: ATyS t M</t>
  </si>
  <si>
    <t>Socomec</t>
  </si>
  <si>
    <t>Kratkospojnik za “Change-over” sklopku 4P, 40...125A</t>
  </si>
  <si>
    <t>Pokrov kontakata za 4P sklopku 40...160A</t>
  </si>
  <si>
    <t>Stopica za priključak upravljačkog napona 2 komada</t>
  </si>
  <si>
    <t>Blok pomoćnik kontakata 1R + 1M, za signalizaciju položaja sklopke trostruki preklopni kontakt (I - 0 - 2)</t>
  </si>
  <si>
    <t>-F2</t>
  </si>
  <si>
    <t>iC60L - minijaturni prekidač - 3P - 3 A - C krivulja</t>
  </si>
  <si>
    <t>A9F94303</t>
  </si>
  <si>
    <t>Pomoćni kontakt, Acti9 A9A, iOF/SD+OF, 2 C/O, 100mA do 6A, 24VAC do 415VAC, 24VDC do 130VDC, gornji i donji priključak</t>
  </si>
  <si>
    <t>A9A26909</t>
  </si>
  <si>
    <t>u summarized parts listi -F2 -F6...-F13 -F31...-F34 -F36...-F38</t>
  </si>
  <si>
    <t>-F3, -F4, -F5</t>
  </si>
  <si>
    <t>TeSys GV2-termo-magnetski-prekidač-1...1,6 A-priključci vijčanim stezaljkama</t>
  </si>
  <si>
    <t>GV2ME06AP</t>
  </si>
  <si>
    <t>TeSys GV blok pomoćnih kontakata, za motorne prekidače GV2 i GV3, pomoćni kontakt - 1 NO + 1 NC, Nazivni radni napon: 24...240 V AC, 24...60 V DC</t>
  </si>
  <si>
    <t>GVAE11</t>
  </si>
  <si>
    <t>-F6, -F7, -F8, -F9, -F10, -F13</t>
  </si>
  <si>
    <t>iC60L, minijaturni prekidač (MCB), 3P, Nazivna struja 2 A, C krivulja isključenja</t>
  </si>
  <si>
    <t>A9F94302</t>
  </si>
  <si>
    <t>-F12</t>
  </si>
  <si>
    <t>iC60L, minijaturni prekidač (MCB), 3P, Nazivna struja 6 A, C krivulja isključenja</t>
  </si>
  <si>
    <t>A9F94306</t>
  </si>
  <si>
    <t>-F11</t>
  </si>
  <si>
    <t>iC60L, minijaturni prekidač (MCB), 3P, Nazivna struja 10 A, C krivulja isključenja</t>
  </si>
  <si>
    <t>A9F94310</t>
  </si>
  <si>
    <t>-F31, -F32, -F33, -F34, -F36, -F37, -F38</t>
  </si>
  <si>
    <t>iC60L,  minijaturni prekidač (MCB), P, Nazivna struja 6 A, C krivulja isključenja</t>
  </si>
  <si>
    <t>A9F94106</t>
  </si>
  <si>
    <t>-F35 -F39</t>
  </si>
  <si>
    <t>Auxiliary contact, Acti9, iSD+OF, 2 C/O, 2mA to 100mA, 24VAC to 250VAC, 24VDC to 220VDC, top and bottom connection</t>
  </si>
  <si>
    <t>A9A26919</t>
  </si>
  <si>
    <t>dodano</t>
  </si>
  <si>
    <t>-F35, -F39</t>
  </si>
  <si>
    <t>FID, 13 A/C, 30 mA, Acti9 iDPN N Vigi kombinirana zaštitna sklopka, 1P + N, 300 mA klasa A, C krivulja, 6000A</t>
  </si>
  <si>
    <t>A9D32613</t>
  </si>
  <si>
    <t>Pomoćni kontakt, Acti9, OF/SD+OF, 2 C/O, 100mA do 6A, 24VAC do 415VAC, 24VDC do 130VDC, gornji i donji priključak</t>
  </si>
  <si>
    <t>A9N26909</t>
  </si>
  <si>
    <t>u summarized parts listi -F101...-F106</t>
  </si>
  <si>
    <t>-F101,…-F106</t>
  </si>
  <si>
    <t>Acti9, minijaturni prekidač (MCB), C60H-DC, 2P, 6A, C krivulja, 6kA (IEC/EN 60947-2)</t>
  </si>
  <si>
    <t>A9N61526</t>
  </si>
  <si>
    <t>-S11, -S12</t>
  </si>
  <si>
    <t>Rastavna sklopka, ComPacT NSX100NA, 3 pola, fiksna, termička struja 100A,Vrsta upravljanja: ručica</t>
  </si>
  <si>
    <t>C103100S</t>
  </si>
  <si>
    <t>Pomoćni kontakt - za signalizaciju stanja (1OF) ili okidanja (1SD) ili prorade zaštite (1SDE) ili prorade diferencijalne zaštite (1SDV) za prekidače NSX</t>
  </si>
  <si>
    <t>-V11, -V12</t>
  </si>
  <si>
    <t>Diodni modul za 220 VDC dovod</t>
  </si>
  <si>
    <t>SKKE162</t>
  </si>
  <si>
    <t>SEMIKRON</t>
  </si>
  <si>
    <t xml:space="preserve"> Zajedničko hladilo za dvije diode</t>
  </si>
  <si>
    <t>KL-295(P3)/180</t>
  </si>
  <si>
    <t>-P101</t>
  </si>
  <si>
    <t>Voltmetar - tip: kao FQ 0307, - mjerni sustav: pomično željezo, - dimenzije: 72×72 mm, - priključak: 400/230V, 50Hz (izravno), - skala: 90° baždarena linearno u mjernom području: 0…400V.</t>
  </si>
  <si>
    <t>AN25DDC400</t>
  </si>
  <si>
    <t>IME</t>
  </si>
  <si>
    <t>ne postoji -P101 u EPLANu nego samo -V1</t>
  </si>
  <si>
    <t>-V1</t>
  </si>
  <si>
    <t>voltmetar 0 - 400 V
Part number: IME.AN25DDC400</t>
  </si>
  <si>
    <t>dodano; 
nema nar. br. u summarized parts listi</t>
  </si>
  <si>
    <t>-P201, -P202</t>
  </si>
  <si>
    <t>MCR-SL-DUI - Digitalni zaslon za mjerenje i prikaz standardnih signala, 5-fig. Zaslon, Konfiguracijska: tipkovnica</t>
  </si>
  <si>
    <t>-H110, -H111</t>
  </si>
  <si>
    <t>Indikator položaja sklopke za daljinsku indikaciju položaja kontakata s maskom rastavljača</t>
  </si>
  <si>
    <t>1280B IL224</t>
  </si>
  <si>
    <t xml:space="preserve"> GOSSEN MUELLER &amp; WEIGERT</t>
  </si>
  <si>
    <t>HEP mora poslati alternativu!</t>
  </si>
  <si>
    <t>-K401…-K405</t>
  </si>
  <si>
    <t>Pomoćni (neblokirajući) relej,  zavojnica 240 V AC, preklopna struja 10 A, 3 preklopna kontakta (3PDT/3 Form C), 3 pola, jednopolni AgNi kontakti</t>
  </si>
  <si>
    <t xml:space="preserve"> 700-HA33A2-3-4L</t>
  </si>
  <si>
    <t>ne postoje -K403…-K405 u EPLANu, -K401 i -K402 su WEI.1123540000</t>
  </si>
  <si>
    <t>-K401…-K405, -K101…-K104, -2K12, -2K13</t>
  </si>
  <si>
    <t>Rockwell Automation 700-HN serija pričvrsnih kopči za podnožja 700-HN100, 700-HN204, 700-HN101, 700-HN205 s relejima 700-HA, Učvršćuje relej u podnožju</t>
  </si>
  <si>
    <t>u summarized parts listi -2K12 -2K13 -K101 -K102 -K102.1 -K103 -K103.1 -K104 -K105</t>
  </si>
  <si>
    <t>Rockwell Automation podnožje releja 700-HN205; 11-pinsko podnožje; za cijevne releje serije 700-H; vijčani priključak; zaštićeni priključci sigurni od dodira (Touch-Safe); s utorom za vremenski modul</t>
  </si>
  <si>
    <t>700-HN205</t>
  </si>
  <si>
    <t>-K101, -K102, -K103, -K104</t>
  </si>
  <si>
    <t>Pomoćni (neblokirajući) relej,  zavojnica 220 V DC, preklopna struja 10 A, 3 preklopna kontakta (3PDT/3 Form C), 3 pola, jednopolni AgNi kontakti</t>
  </si>
  <si>
    <t>700-HA33Z2-3</t>
  </si>
  <si>
    <t xml:space="preserve">Provjeriti količine s EPLANOM;
ne postoji nar. br. u EPLANu </t>
  </si>
  <si>
    <t>-K102.1, -2K12, -2K13</t>
  </si>
  <si>
    <t>Timer modul za 700-HA relej</t>
  </si>
  <si>
    <t>700-HT3</t>
  </si>
  <si>
    <t>-X1</t>
  </si>
  <si>
    <t>Distriblok, Glavna grana, 4-polna, 125A, ulaz 2x25mm², izlaz 5x6mm² 4-polna, Ulaz 2 x 10-25mm² (10-16mm² s ferulom), Izlazi 5 x 2,5-6mm² (2,5-4mm² s ferulom)</t>
  </si>
  <si>
    <t>IKBC4016-A</t>
  </si>
  <si>
    <t>Schrack</t>
  </si>
  <si>
    <t>-X500, -X501, -X502</t>
  </si>
  <si>
    <t>Distributor za 24 VDC- 1-polni distribucijski blok, za bakrene vodiče, priključne stezaljke: ulazne 2 x 25mm², izlazne 6 x (1.5 – 10mm²), montaža na DIN nosač ili na montažnu ploču, nazivna struja IEC: 100A, 54x29x50mm (VxŠxD)</t>
  </si>
  <si>
    <t>IKB01025N</t>
  </si>
  <si>
    <t>u summarized parts listi su još i -X505, -X550, -X551; 
nar. br. ima još - na kraju</t>
  </si>
  <si>
    <t>-X110, -X111</t>
  </si>
  <si>
    <t>Distributor za 220 VDC razvod - 1-polni distribucijski blok, za bakrene vodiče, priključne stezaljke: dovod 1 x 10-35mm² (10-25mm² s kabelskim završetkom), odvodi 1 x 6 - 16mm² (6-10mm² s kabelskim završetkom) i 6 x 2,5 - 16mm² (2,5-10mm² s kabelskim završetkom), montaža na DIN nosač ili na montažnu ploču, nazivna struja IEC: 125A, 76x29x47.5mm (VxŠxD)</t>
  </si>
  <si>
    <t>IKBC1035--</t>
  </si>
  <si>
    <t>Zidni ormarić, 500x500x300 mm s montažnom pločom, čelični lim, kompaktno kućište AX s integriranim lokatorima kućišta u krovu, podnožju i bočnoj strani</t>
  </si>
  <si>
    <t>AX 1350000</t>
  </si>
  <si>
    <t>-X1, -X2</t>
  </si>
  <si>
    <t>Zidni nosač za AX čelični lim, KX čelični lim, AX IT, EL, Dijelovi: Zidni nosač, poklopac, Dijelovi za montažu, Udaljenost od zida: 40 mm</t>
  </si>
  <si>
    <t>AX 2503020</t>
  </si>
  <si>
    <t>-R101</t>
  </si>
  <si>
    <t>Grijač 50W, 230V, 50Hz s priključnim kabelom</t>
  </si>
  <si>
    <t>3105.340</t>
  </si>
  <si>
    <t>NARUČITI</t>
  </si>
  <si>
    <t>Termostat, mjerni opseg: 5-55 °C</t>
  </si>
  <si>
    <t>3110.000</t>
  </si>
  <si>
    <t>Higrostat, mjerni opseg: 50-100 %</t>
  </si>
  <si>
    <t>3118.000</t>
  </si>
  <si>
    <t>-E101</t>
  </si>
  <si>
    <t>Rasvjetna armatura 400 lm, 230 Vac, širine 262 mm s preklopkom</t>
  </si>
  <si>
    <t>2500.100</t>
  </si>
  <si>
    <t>-S101</t>
  </si>
  <si>
    <t>Krajnja sklopka s priključnim kabelom duljine 800mm</t>
  </si>
  <si>
    <t>2500.460.</t>
  </si>
  <si>
    <t xml:space="preserve">"Low Harmonic" frekvencijski pretvarač kao jedinica unutar tvornički ožičenog i ispitanog samostojećeg ormara stupnja zaštite IP23 s ugrađenim filtrima koji ograničavaju ukupni faktor distorzije THD(i) na max. 2% i na taj način ispunjava zahtjeve prema normi IEC 61000-3-12 od THD(i) &lt;5%, a cos ϕ &gt; 0,99. 
- tip: kao ATV Process 680
- narudžbeni broj: kao ATV680C13Q4X1
- dimenzije: 600×2350×664 mm (Š×V×D)
- napajanje: 380...415 -10% +6%
- nazivna snaga motora crpke: 132 kW (normal duty) / 110 kW (heavy duty)
- kontinuirana izlazna struja: 250 A (normal duty) / 211 A (heavy duty)
- temperaturno radno područje: od 0°C do +50°C
- integrirani brzi osigurač za zaštitu opreme: 315A aR
- protok zraka ventilatora za energetski dio: 1160m3/h
- protok zraka ventilatora za upravljački dio: 140m3/h
- ugrađene stezaljke za prihvat kabela presjeka do 150 mm2
- RFI filter za C3 okolinu prema normi HRN EN 61800-3
- integrirani linijski sklopnik i mrežna prigušnica
- ostali uređaji na vratima uključuju:
- grafički panel za parametriranje i programiranje
- crvena, zelena i žuta lampica
- tipkalo gljiva za odvajanje frekvencijskog pretvarača od mreže prema SIL 3 Stop Category 0
- preklopka lokalno-daljinski
</t>
  </si>
  <si>
    <t>ATV680C13Q4X1</t>
  </si>
  <si>
    <t xml:space="preserve">Koristiti te umjesto stavke gore za STOP;
ne postoji nar. br. u EPLANu </t>
  </si>
  <si>
    <t>704.202.208</t>
  </si>
  <si>
    <t>PK: Ucrtati drugu utičnicu</t>
  </si>
  <si>
    <t>Komentari za sheme</t>
  </si>
  <si>
    <t>PK: Ja moram provjeriti koliko je stvarno naručeno</t>
  </si>
  <si>
    <t>SIMATIC S7-1500, analog output module AQ 4xU/I ST, 16-bit resolution accuracy 0.3%. 4 channels in groups of 4, diagnostics; substitute value; the module supports the safety-oriented shutdown of load groups up to SIL2 according to EN IEC 62061:2021 and Category 2 / PL c according to EN ISO 13849-1:2015. delivery including infeed element, shielding bracket and shield terminal: front connector (screw terminals or push-in) to be ordered separately</t>
  </si>
  <si>
    <t>6ES7532-5HD00-0AB0</t>
  </si>
  <si>
    <t>-A141</t>
  </si>
  <si>
    <t>PK: Dodati u sheme - na MA stranicu i Z stranicu</t>
  </si>
  <si>
    <t>PK: Naručiti 7</t>
  </si>
  <si>
    <t>PK: Ažurirati količine nakon ažuriranja shema</t>
  </si>
  <si>
    <t>PK: Provjeriti točan broj stezaljki u shemama</t>
  </si>
  <si>
    <t>PK: U shemi promijeniti na -V101</t>
  </si>
  <si>
    <t>PK: Popraviti da postoji po jedan main function po DT-u</t>
  </si>
  <si>
    <t>PK: Riješiti signali</t>
  </si>
  <si>
    <t>PK: Zamijeniti kataloški broj za 704.209.700</t>
  </si>
  <si>
    <t>PK: Popraviti technical characteristics da piše 220 VDC umjesto 230 VAC</t>
  </si>
  <si>
    <t>PK: Dodati u part od sklopnika - K3.1, K4.1 i K5.1</t>
  </si>
  <si>
    <t>PK: Dodati u part -S11, -S12</t>
  </si>
  <si>
    <t>PK: Dodati kataloški broj u jednu od dioda</t>
  </si>
  <si>
    <t>PK: Ovo je -P101</t>
  </si>
  <si>
    <t>PK: Ovo ne treba biti u shemama</t>
  </si>
  <si>
    <t>PK: Ja moram pronaći alternativu</t>
  </si>
  <si>
    <t>PK: Staviti part na sve špule od releja koji se napajaju s 230 VAC. Napomena - svi bi trebali biti na D stranicama. 
Dodatna napomena za AB: Svaki od AB releja ima u sebi i 700-HN205 i 700-HN157</t>
  </si>
  <si>
    <r>
      <t>700</t>
    </r>
    <r>
      <rPr>
        <sz val="11"/>
        <color rgb="FF000000"/>
        <rFont val="Calibri"/>
        <family val="2"/>
      </rPr>
      <t>-HN157</t>
    </r>
  </si>
  <si>
    <t>PK: Stranica shema 121 na sve releje</t>
  </si>
  <si>
    <t>PK: Stranica shema 121 na releje K102.1 i K103.1 te str 74 na releje -2K12 i -2K13</t>
  </si>
  <si>
    <t>PK: Dodati "-" kao sufiks. Ja moram provjeriti naručene količine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</si>
</sst>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font>
    <font>
      <sz val="11"/>
      <color rgb="FF000000"/>
      <name val="Calibri"/>
      <family val="2"/>
    </font>
    <font>
      <sz val="11"/>
      <color rgb="FF9C0006"/>
      <name val="Calibri"/>
      <family val="2"/>
    </font>
    <font>
      <sz val="11"/>
      <color rgb="FF000000"/>
      <name val="Aptos Narrow"/>
      <family val="2"/>
    </font>
    <font>
      <sz val="11"/>
      <color rgb="FF000000"/>
      <name val="Carlito"/>
    </font>
    <font>
      <b/>
      <sz val="11"/>
      <color rgb="FF000000"/>
      <name val="Calibri"/>
      <family val="2"/>
    </font>
    <font>
      <b/>
      <sz val="11"/>
      <color rgb="FF000000"/>
      <name val="Aptos Narrow"/>
      <family val="2"/>
    </font>
    <font>
      <sz val="11"/>
      <color rgb="FF000000"/>
      <name val="Calibri"/>
      <family val="2"/>
      <charset val="238"/>
    </font>
  </fonts>
  <fills count="8">
    <fill>
      <patternFill patternType="none"/>
    </fill>
    <fill>
      <patternFill patternType="gray125"/>
    </fill>
    <fill>
      <patternFill patternType="solid">
        <fgColor rgb="FFBDD7EE"/>
        <bgColor rgb="FFBDD7EE"/>
      </patternFill>
    </fill>
    <fill>
      <patternFill patternType="solid">
        <fgColor rgb="FFFFC7CE"/>
        <bgColor rgb="FFFFC7CE"/>
      </patternFill>
    </fill>
    <fill>
      <patternFill patternType="solid">
        <fgColor rgb="FFFF0000"/>
        <bgColor rgb="FFFF0000"/>
      </patternFill>
    </fill>
    <fill>
      <patternFill patternType="solid">
        <fgColor rgb="FFFFFF00"/>
        <bgColor rgb="FFFFFF00"/>
      </patternFill>
    </fill>
    <fill>
      <patternFill patternType="solid">
        <fgColor rgb="FFFFFF00"/>
        <bgColor indexed="64"/>
      </patternFill>
    </fill>
    <fill>
      <patternFill patternType="solid">
        <fgColor rgb="FFFF0000"/>
        <bgColor indexed="64"/>
      </patternFill>
    </fill>
  </fills>
  <borders count="9">
    <border>
      <start/>
      <end/>
      <top/>
      <bottom/>
      <diagonal/>
    </border>
    <border>
      <start style="medium">
        <color rgb="FF000000"/>
      </start>
      <end style="thin">
        <color rgb="FF000000"/>
      </end>
      <top style="medium">
        <color rgb="FF000000"/>
      </top>
      <bottom style="medium">
        <color rgb="FF000000"/>
      </bottom>
      <diagonal/>
    </border>
    <border>
      <start style="thin">
        <color rgb="FF000000"/>
      </start>
      <end style="thin">
        <color rgb="FF000000"/>
      </end>
      <top style="medium">
        <color rgb="FF000000"/>
      </top>
      <bottom style="medium">
        <color rgb="FF000000"/>
      </bottom>
      <diagonal/>
    </border>
    <border>
      <start style="thin">
        <color rgb="FF000000"/>
      </start>
      <end style="medium">
        <color rgb="FF000000"/>
      </end>
      <top style="medium">
        <color rgb="FF000000"/>
      </top>
      <bottom style="medium">
        <color rgb="FF000000"/>
      </bottom>
      <diagonal/>
    </border>
    <border>
      <start style="thin">
        <color rgb="FF000000"/>
      </start>
      <end style="thin">
        <color rgb="FF000000"/>
      </end>
      <top/>
      <bottom style="thin">
        <color rgb="FF000000"/>
      </bottom>
      <diagonal/>
    </border>
    <border>
      <start style="thin">
        <color rgb="FF000000"/>
      </start>
      <end style="thin">
        <color rgb="FF000000"/>
      </end>
      <top style="thin">
        <color rgb="FF000000"/>
      </top>
      <bottom style="thin">
        <color rgb="FF000000"/>
      </bottom>
      <diagonal/>
    </border>
    <border>
      <start style="thin">
        <color rgb="FF000000"/>
      </start>
      <end style="thin">
        <color rgb="FF000000"/>
      </end>
      <top style="thin">
        <color rgb="FF000000"/>
      </top>
      <bottom/>
      <diagonal/>
    </border>
    <border>
      <start style="thin">
        <color rgb="FF000000"/>
      </start>
      <end style="thin">
        <color rgb="FF000000"/>
      </end>
      <top/>
      <bottom/>
      <diagonal/>
    </border>
    <border>
      <start style="thin">
        <color rgb="FF000000"/>
      </start>
      <end/>
      <top/>
      <bottom/>
      <diagonal/>
    </border>
  </borders>
  <cellStyleXfs count="8">
    <xf numFmtId="0" fontId="0" fillId="0" borderId="0"/>
    <xf numFmtId="0" fontId="1" fillId="2" borderId="0" applyNumberFormat="0" applyFon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49" fontId="3" fillId="0" borderId="0" applyBorder="0" applyProtection="0">
      <alignment vertical="top" wrapText="1"/>
    </xf>
    <xf numFmtId="0" fontId="4" fillId="0" borderId="0" applyNumberFormat="0" applyBorder="0" applyProtection="0"/>
    <xf numFmtId="0" fontId="1" fillId="0" borderId="0" applyNumberFormat="0" applyFont="0" applyBorder="0" applyProtection="0"/>
  </cellStyleXfs>
  <cellXfs count="31">
    <xf numFmtId="0" fontId="0" fillId="0" borderId="0" xfId="0"/>
    <xf numFmtId="0" fontId="0" fillId="0" borderId="0" xfId="0" applyAlignment="1">
      <alignment wrapText="1"/>
    </xf>
    <xf numFmtId="0" fontId="5" fillId="0" borderId="1" xfId="0" applyFont="1" applyBorder="1" applyAlignment="1">
      <alignment wrapText="1"/>
    </xf>
    <xf numFmtId="0" fontId="5" fillId="0" borderId="2" xfId="0" applyFont="1" applyBorder="1" applyAlignment="1">
      <alignment wrapText="1"/>
    </xf>
    <xf numFmtId="0" fontId="5" fillId="0" borderId="2" xfId="0" applyFont="1" applyBorder="1"/>
    <xf numFmtId="0" fontId="5" fillId="0" borderId="3" xfId="0" applyFont="1" applyBorder="1" applyAlignment="1">
      <alignment wrapText="1"/>
    </xf>
    <xf numFmtId="0" fontId="0" fillId="0" borderId="4" xfId="0" applyBorder="1" applyAlignment="1">
      <alignment wrapText="1"/>
    </xf>
    <xf numFmtId="0" fontId="0" fillId="0" borderId="4" xfId="0" applyBorder="1" applyAlignment="1">
      <alignment horizontal="right" wrapText="1"/>
    </xf>
    <xf numFmtId="0" fontId="0" fillId="0" borderId="4" xfId="0" applyBorder="1"/>
    <xf numFmtId="0" fontId="0" fillId="0" borderId="5" xfId="0" applyBorder="1" applyAlignment="1">
      <alignment wrapText="1"/>
    </xf>
    <xf numFmtId="0" fontId="0" fillId="0" borderId="5" xfId="0" applyBorder="1" applyAlignment="1">
      <alignment horizontal="right" wrapText="1"/>
    </xf>
    <xf numFmtId="0" fontId="0" fillId="0" borderId="5" xfId="0" applyBorder="1"/>
    <xf numFmtId="0" fontId="0" fillId="4" borderId="5" xfId="0" applyFill="1" applyBorder="1"/>
    <xf numFmtId="0" fontId="0" fillId="5" borderId="5" xfId="0" applyFill="1" applyBorder="1"/>
    <xf numFmtId="3" fontId="0" fillId="0" borderId="5" xfId="0" applyNumberFormat="1" applyBorder="1" applyAlignment="1">
      <alignment horizontal="right" wrapText="1"/>
    </xf>
    <xf numFmtId="0" fontId="0" fillId="5" borderId="5" xfId="0" applyFill="1" applyBorder="1" applyAlignment="1">
      <alignment wrapText="1"/>
    </xf>
    <xf numFmtId="0" fontId="0" fillId="0" borderId="5" xfId="0" applyBorder="1" applyAlignment="1">
      <alignment horizontal="left" wrapText="1"/>
    </xf>
    <xf numFmtId="0" fontId="0" fillId="0" borderId="6" xfId="0" applyBorder="1"/>
    <xf numFmtId="0" fontId="0" fillId="6" borderId="5" xfId="0" applyFill="1" applyBorder="1" applyAlignment="1">
      <alignment wrapText="1"/>
    </xf>
    <xf numFmtId="0" fontId="0" fillId="0" borderId="5" xfId="0" applyBorder="1" applyAlignment="1">
      <alignment horizontal="left"/>
    </xf>
    <xf numFmtId="0" fontId="0" fillId="0" borderId="5" xfId="0" applyBorder="1"/>
    <xf numFmtId="0" fontId="0" fillId="0" borderId="5" xfId="0" applyBorder="1" applyAlignment="1">
      <alignment horizontal="right" wrapText="1"/>
    </xf>
    <xf numFmtId="0" fontId="0" fillId="0" borderId="5" xfId="0" applyBorder="1" applyAlignment="1">
      <alignment horizontal="left" vertical="top" wrapText="1"/>
    </xf>
    <xf numFmtId="0" fontId="0" fillId="0" borderId="5" xfId="0" applyBorder="1" applyAlignment="1">
      <alignment horizontal="right"/>
    </xf>
    <xf numFmtId="0" fontId="0" fillId="0" borderId="7" xfId="0" applyFill="1" applyBorder="1"/>
    <xf numFmtId="0" fontId="5" fillId="0" borderId="8" xfId="0" applyFont="1" applyFill="1" applyBorder="1"/>
    <xf numFmtId="0" fontId="0" fillId="0" borderId="5" xfId="0" quotePrefix="1" applyBorder="1" applyAlignment="1">
      <alignment wrapText="1"/>
    </xf>
    <xf numFmtId="0" fontId="0" fillId="7" borderId="5" xfId="0" applyFill="1" applyBorder="1" applyAlignment="1">
      <alignment wrapText="1"/>
    </xf>
    <xf numFmtId="0" fontId="0" fillId="0" borderId="5" xfId="0" applyFill="1" applyBorder="1" applyAlignment="1">
      <alignment wrapText="1"/>
    </xf>
    <xf numFmtId="0" fontId="7" fillId="0" borderId="5" xfId="0" applyFont="1" applyBorder="1" applyAlignment="1">
      <alignment horizontal="right" wrapText="1"/>
    </xf>
    <xf numFmtId="0" fontId="0" fillId="0" borderId="7" xfId="0" applyFill="1" applyBorder="1" applyAlignment="1">
      <alignment wrapText="1"/>
    </xf>
  </cellXfs>
  <cellStyles count="8">
    <cellStyle name="40% - Accent1 3 2" xfId="1" xr:uid="{222F9BCB-D27A-412B-A74C-613EC62AF50A}"/>
    <cellStyle name="cf1" xfId="2" xr:uid="{54248B18-6E67-40DC-A6F6-C25F5815B94F}"/>
    <cellStyle name="cf2" xfId="3" xr:uid="{054CFDE7-787D-4501-BDB9-B0A0F5413F8A}"/>
    <cellStyle name="cf3" xfId="4" xr:uid="{DB55E99D-B714-474C-B9EB-450368BA8106}"/>
    <cellStyle name="ColStyle3" xfId="5" xr:uid="{F2DAC5EA-D14E-477E-B90F-4F365988442E}"/>
    <cellStyle name="Normal" xfId="0" builtinId="0" customBuiltin="1"/>
    <cellStyle name="Normal 2" xfId="6" xr:uid="{E19DF288-7D14-4C51-AC68-B5DE90415F70}"/>
    <cellStyle name="Normal 2 5" xfId="7" xr:uid="{CE5137AD-0C1F-4639-9579-8CD0BF4D72B1}"/>
  </cellStyles>
  <dxfs count="1">
    <dxf>
      <font>
        <color rgb="FF9C0006"/>
        <family val="2"/>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theme" Target="theme/them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calcChain" Target="calcChain.xml"/><Relationship Id="rId5" Type="http://purl.oclc.org/ooxml/officeDocument/relationships/sharedStrings" Target="sharedStrings.xml"/><Relationship Id="rId4" Type="http://purl.oclc.org/ooxml/officeDocument/relationships/styles" Target="style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561975</xdr:colOff>
          <xdr:row>154</xdr:row>
          <xdr:rowOff>95250</xdr:rowOff>
        </xdr:from>
        <xdr:to>
          <xdr:col>8</xdr:col>
          <xdr:colOff>533400</xdr:colOff>
          <xdr:row>159</xdr:row>
          <xdr:rowOff>95250</xdr:rowOff>
        </xdr:to>
        <xdr:sp macro="" textlink="">
          <xdr:nvSpPr>
            <xdr:cNvPr id="1025" name="Comment 1" hidden="1">
              <a:extLst>
                <a:ext uri="{FF2B5EF4-FFF2-40B4-BE49-F238E27FC236}">
                  <a16:creationId xmlns:a16="http://schemas.microsoft.com/office/drawing/2014/main" id="{41734DB4-A77B-DC5A-CBFD-8CBE9FD67F65}"/>
                </a:ext>
              </a:extLst>
            </xdr:cNvPr>
            <xdr:cNvSpPr txBox="1">
              <a:spLocks noChangeArrowheads="1"/>
            </xdr:cNvSpPr>
          </xdr:nvSpPr>
          <xdr:spPr bwMode="auto">
            <a:xfrm>
              <a:off x="12944475" y="72999600"/>
              <a:ext cx="1781175" cy="952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txBody>
            <a:bodyPr vertOverflow="clip" wrap="square" lIns="36576" tIns="36576" rIns="0" bIns="0" anchor="t" upright="1"/>
            <a:lstStyle/>
            <a:p>
              <a:pPr algn="l" rtl="0">
                <a:defRPr sz="1000"/>
              </a:pPr>
              <a:r>
                <a:rPr lang="en-US" sz="1100" b="0" i="0" u="none" strike="noStrike" baseline="0%">
                  <a:solidFill>
                    <a:srgbClr val="000000"/>
                  </a:solidFill>
                  <a:latin typeface="Calibri"/>
                  <a:ea typeface="Calibri"/>
                  <a:cs typeface="Calibri"/>
                </a:rPr>
                <a:t>Comment:</a:t>
              </a:r>
            </a:p>
            <a:p>
              <a:pPr algn="l" rtl="0">
                <a:defRPr sz="1000"/>
              </a:pPr>
              <a:r>
                <a:rPr lang="en-US" sz="1100" b="0" i="0" u="none" strike="noStrike" baseline="0%">
                  <a:solidFill>
                    <a:srgbClr val="000000"/>
                  </a:solidFill>
                  <a:latin typeface="Calibri"/>
                  <a:ea typeface="Calibri"/>
                  <a:cs typeface="Calibri"/>
                </a:rPr>
                <a:t>    Schrack?</a:t>
              </a:r>
            </a:p>
          </xdr:txBody>
        </xdr:sp>
        <xdr:clientData/>
      </xdr:twoCellAnchor>
    </mc:Fallback>
  </mc:AlternateContent>
</xdr:wsDr>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C89D7-F039-449C-80CB-745BA4392DCD}">
  <dimension ref="A1:B3"/>
  <sheetViews>
    <sheetView workbookViewId="0"/>
  </sheetViews>
  <sheetFormatPr defaultRowHeight="15"/>
  <cols>
    <col min="1" max="1" width="9.5703125" bestFit="1" customWidth="1"/>
    <col min="2" max="2" width="121.5703125" customWidth="1"/>
    <col min="3" max="3" width="8.85546875" customWidth="1"/>
  </cols>
  <sheetData>
    <row r="1" spans="1:2">
      <c r="A1" t="s">
        <v>0</v>
      </c>
      <c r="B1" t="s">
        <v>1</v>
      </c>
    </row>
    <row r="2" spans="1:2" ht="45">
      <c r="A2">
        <v>1</v>
      </c>
      <c r="B2" s="1" t="s">
        <v>2</v>
      </c>
    </row>
    <row r="3" spans="1:2" ht="135">
      <c r="A3">
        <v>2</v>
      </c>
      <c r="B3" s="1" t="s">
        <v>3</v>
      </c>
    </row>
  </sheetData>
  <pageMargins left="0.70000000000000007" right="0.70000000000000007" top="0.75" bottom="0.75" header="0.30000000000000004" footer="0.30000000000000004"/>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1F9D3-C3E8-4198-906E-F1EBBAF01A10}">
  <dimension ref="A1:K126"/>
  <sheetViews>
    <sheetView tabSelected="1" topLeftCell="A51" zoomScale="140" zoomScaleNormal="140" workbookViewId="0">
      <selection activeCell="H53" sqref="H53"/>
    </sheetView>
  </sheetViews>
  <sheetFormatPr defaultRowHeight="15"/>
  <cols>
    <col min="1" max="1" width="39" style="1" customWidth="1"/>
    <col min="2" max="2" width="63" style="1" bestFit="1" customWidth="1"/>
    <col min="3" max="3" width="23.28515625" style="1" customWidth="1"/>
    <col min="4" max="4" width="26.7109375" bestFit="1" customWidth="1"/>
    <col min="5" max="5" width="10" bestFit="1" customWidth="1"/>
    <col min="6" max="6" width="13" bestFit="1" customWidth="1"/>
    <col min="7" max="7" width="10.7109375" bestFit="1" customWidth="1"/>
    <col min="8" max="8" width="27.140625" style="1" bestFit="1" customWidth="1"/>
    <col min="9" max="9" width="15.7109375" bestFit="1" customWidth="1"/>
    <col min="10" max="10" width="14.140625" bestFit="1" customWidth="1"/>
    <col min="11" max="11" width="46.42578125" bestFit="1" customWidth="1"/>
  </cols>
  <sheetData>
    <row r="1" spans="1:11" ht="23.45" customHeight="1" thickBot="1">
      <c r="A1" s="2" t="s">
        <v>4</v>
      </c>
      <c r="B1" s="3" t="s">
        <v>5</v>
      </c>
      <c r="C1" s="3" t="s">
        <v>6</v>
      </c>
      <c r="D1" s="4" t="s">
        <v>7</v>
      </c>
      <c r="E1" s="4" t="s">
        <v>8</v>
      </c>
      <c r="F1" s="4" t="s">
        <v>9</v>
      </c>
      <c r="G1" s="4" t="s">
        <v>10</v>
      </c>
      <c r="H1" s="3" t="s">
        <v>11</v>
      </c>
      <c r="I1" s="4" t="s">
        <v>12</v>
      </c>
      <c r="J1" s="5" t="s">
        <v>13</v>
      </c>
      <c r="K1" s="25" t="s">
        <v>311</v>
      </c>
    </row>
    <row r="2" spans="1:11" ht="30.6" customHeight="1">
      <c r="A2" s="6"/>
      <c r="B2" s="6" t="s">
        <v>14</v>
      </c>
      <c r="C2" s="7">
        <v>8808071</v>
      </c>
      <c r="D2" s="8" t="s">
        <v>15</v>
      </c>
      <c r="E2" s="8">
        <v>2</v>
      </c>
      <c r="F2" s="8" t="s">
        <v>16</v>
      </c>
      <c r="G2" s="8" t="s">
        <v>17</v>
      </c>
      <c r="H2" s="6"/>
      <c r="I2" s="8"/>
      <c r="J2" s="7" t="str">
        <f t="shared" ref="J2:J34" si="0">IF(ISBLANK(I2),"",E2-I2)</f>
        <v/>
      </c>
    </row>
    <row r="3" spans="1:11" ht="30.6" customHeight="1">
      <c r="A3" s="9"/>
      <c r="B3" s="9" t="s">
        <v>18</v>
      </c>
      <c r="C3" s="10">
        <v>4591700</v>
      </c>
      <c r="D3" s="11" t="s">
        <v>15</v>
      </c>
      <c r="E3" s="11">
        <v>2</v>
      </c>
      <c r="F3" s="11" t="s">
        <v>19</v>
      </c>
      <c r="G3" s="11" t="s">
        <v>17</v>
      </c>
      <c r="H3" s="9"/>
      <c r="I3" s="11"/>
      <c r="J3" s="7" t="str">
        <f t="shared" si="0"/>
        <v/>
      </c>
    </row>
    <row r="4" spans="1:11" ht="30.6" customHeight="1">
      <c r="A4" s="9"/>
      <c r="B4" s="9" t="s">
        <v>20</v>
      </c>
      <c r="C4" s="10">
        <v>4540000</v>
      </c>
      <c r="D4" s="11" t="s">
        <v>15</v>
      </c>
      <c r="E4" s="11">
        <v>1</v>
      </c>
      <c r="F4" s="11" t="s">
        <v>16</v>
      </c>
      <c r="G4" s="11" t="s">
        <v>17</v>
      </c>
      <c r="H4" s="9"/>
      <c r="I4" s="11"/>
      <c r="J4" s="7" t="str">
        <f t="shared" si="0"/>
        <v/>
      </c>
    </row>
    <row r="5" spans="1:11" ht="30.6" customHeight="1">
      <c r="A5" s="9"/>
      <c r="B5" s="9" t="s">
        <v>21</v>
      </c>
      <c r="C5" s="10">
        <v>8660003</v>
      </c>
      <c r="D5" s="11" t="s">
        <v>15</v>
      </c>
      <c r="E5" s="11">
        <v>2</v>
      </c>
      <c r="F5" s="11" t="s">
        <v>16</v>
      </c>
      <c r="G5" s="11" t="s">
        <v>17</v>
      </c>
      <c r="H5" s="9"/>
      <c r="I5" s="11"/>
      <c r="J5" s="7" t="str">
        <f t="shared" si="0"/>
        <v/>
      </c>
    </row>
    <row r="6" spans="1:11" ht="30.6" customHeight="1">
      <c r="A6" s="9"/>
      <c r="B6" s="9" t="s">
        <v>22</v>
      </c>
      <c r="C6" s="10">
        <v>8617500</v>
      </c>
      <c r="D6" s="11" t="s">
        <v>15</v>
      </c>
      <c r="E6" s="11">
        <v>1</v>
      </c>
      <c r="F6" s="11" t="s">
        <v>16</v>
      </c>
      <c r="G6" s="11" t="s">
        <v>17</v>
      </c>
      <c r="H6" s="9"/>
      <c r="I6" s="11"/>
      <c r="J6" s="7" t="str">
        <f t="shared" si="0"/>
        <v/>
      </c>
    </row>
    <row r="7" spans="1:11" ht="30.6" customHeight="1">
      <c r="A7" s="9"/>
      <c r="B7" s="9" t="s">
        <v>23</v>
      </c>
      <c r="C7" s="10">
        <v>8108245</v>
      </c>
      <c r="D7" s="11" t="s">
        <v>15</v>
      </c>
      <c r="E7" s="11">
        <v>1</v>
      </c>
      <c r="F7" s="11" t="s">
        <v>16</v>
      </c>
      <c r="G7" s="11" t="s">
        <v>17</v>
      </c>
      <c r="H7" s="9"/>
      <c r="I7" s="11"/>
      <c r="J7" s="7" t="str">
        <f t="shared" si="0"/>
        <v/>
      </c>
    </row>
    <row r="8" spans="1:11" ht="30.6" customHeight="1">
      <c r="A8" s="9"/>
      <c r="B8" s="9" t="s">
        <v>24</v>
      </c>
      <c r="C8" s="10">
        <v>8660034</v>
      </c>
      <c r="D8" s="11" t="s">
        <v>15</v>
      </c>
      <c r="E8" s="11">
        <v>2</v>
      </c>
      <c r="F8" s="11" t="s">
        <v>16</v>
      </c>
      <c r="G8" s="11" t="s">
        <v>17</v>
      </c>
      <c r="H8" s="9"/>
      <c r="I8" s="11"/>
      <c r="J8" s="7" t="str">
        <f t="shared" si="0"/>
        <v/>
      </c>
    </row>
    <row r="9" spans="1:11" ht="30.6" customHeight="1">
      <c r="A9" s="9"/>
      <c r="B9" s="9" t="s">
        <v>25</v>
      </c>
      <c r="C9" s="10">
        <v>1206421</v>
      </c>
      <c r="D9" s="11" t="s">
        <v>15</v>
      </c>
      <c r="E9" s="11">
        <v>2</v>
      </c>
      <c r="F9" s="11" t="s">
        <v>19</v>
      </c>
      <c r="G9" s="11" t="s">
        <v>17</v>
      </c>
      <c r="H9" s="9"/>
      <c r="I9" s="11"/>
      <c r="J9" s="7" t="str">
        <f t="shared" si="0"/>
        <v/>
      </c>
    </row>
    <row r="10" spans="1:11" ht="30.6" customHeight="1">
      <c r="A10" s="9"/>
      <c r="B10" s="9" t="s">
        <v>26</v>
      </c>
      <c r="C10" s="10">
        <v>8617502</v>
      </c>
      <c r="D10" s="11" t="s">
        <v>15</v>
      </c>
      <c r="E10" s="11">
        <v>1</v>
      </c>
      <c r="F10" s="11" t="s">
        <v>16</v>
      </c>
      <c r="G10" s="11" t="s">
        <v>17</v>
      </c>
      <c r="H10" s="9"/>
      <c r="I10" s="11"/>
      <c r="J10" s="7" t="str">
        <f t="shared" si="0"/>
        <v/>
      </c>
    </row>
    <row r="11" spans="1:11" ht="30.6" customHeight="1">
      <c r="A11" s="9"/>
      <c r="B11" s="9" t="s">
        <v>27</v>
      </c>
      <c r="C11" s="10">
        <v>8800885</v>
      </c>
      <c r="D11" s="11" t="s">
        <v>15</v>
      </c>
      <c r="E11" s="11">
        <v>1</v>
      </c>
      <c r="F11" s="11" t="s">
        <v>19</v>
      </c>
      <c r="G11" s="11" t="s">
        <v>17</v>
      </c>
      <c r="H11" s="9"/>
      <c r="I11" s="11"/>
      <c r="J11" s="7" t="str">
        <f t="shared" si="0"/>
        <v/>
      </c>
    </row>
    <row r="12" spans="1:11" ht="30.6" customHeight="1">
      <c r="A12" s="9"/>
      <c r="B12" s="9" t="s">
        <v>28</v>
      </c>
      <c r="C12" s="10">
        <v>5302351</v>
      </c>
      <c r="D12" s="11" t="s">
        <v>15</v>
      </c>
      <c r="E12" s="11">
        <v>4</v>
      </c>
      <c r="F12" s="11" t="s">
        <v>19</v>
      </c>
      <c r="G12" s="11" t="s">
        <v>17</v>
      </c>
      <c r="H12" s="9"/>
      <c r="I12" s="11"/>
      <c r="J12" s="7" t="str">
        <f t="shared" si="0"/>
        <v/>
      </c>
    </row>
    <row r="13" spans="1:11" ht="30.6" customHeight="1">
      <c r="A13" s="9"/>
      <c r="B13" s="9" t="s">
        <v>29</v>
      </c>
      <c r="C13" s="10">
        <v>4568000</v>
      </c>
      <c r="D13" s="11" t="s">
        <v>15</v>
      </c>
      <c r="E13" s="11">
        <v>2</v>
      </c>
      <c r="F13" s="11" t="s">
        <v>16</v>
      </c>
      <c r="G13" s="11" t="s">
        <v>17</v>
      </c>
      <c r="H13" s="9"/>
      <c r="I13" s="11"/>
      <c r="J13" s="7" t="str">
        <f t="shared" si="0"/>
        <v/>
      </c>
    </row>
    <row r="14" spans="1:11" ht="30.6" customHeight="1">
      <c r="A14" s="9"/>
      <c r="B14" s="9" t="s">
        <v>30</v>
      </c>
      <c r="C14" s="10">
        <v>8618200</v>
      </c>
      <c r="D14" s="11" t="s">
        <v>15</v>
      </c>
      <c r="E14" s="11">
        <v>4</v>
      </c>
      <c r="F14" s="11" t="s">
        <v>19</v>
      </c>
      <c r="G14" s="11" t="s">
        <v>17</v>
      </c>
      <c r="H14" s="9"/>
      <c r="I14" s="11"/>
      <c r="J14" s="7" t="str">
        <f t="shared" si="0"/>
        <v/>
      </c>
    </row>
    <row r="15" spans="1:11" ht="30.6" customHeight="1">
      <c r="A15" s="9"/>
      <c r="B15" s="9" t="s">
        <v>31</v>
      </c>
      <c r="C15" s="10">
        <v>8618801</v>
      </c>
      <c r="D15" s="11" t="s">
        <v>15</v>
      </c>
      <c r="E15" s="11">
        <v>4</v>
      </c>
      <c r="F15" s="11" t="s">
        <v>16</v>
      </c>
      <c r="G15" s="11" t="s">
        <v>17</v>
      </c>
      <c r="H15" s="9"/>
      <c r="I15" s="11"/>
      <c r="J15" s="7" t="str">
        <f t="shared" si="0"/>
        <v/>
      </c>
    </row>
    <row r="16" spans="1:11" ht="30.6" customHeight="1">
      <c r="A16" s="9"/>
      <c r="B16" s="9" t="s">
        <v>32</v>
      </c>
      <c r="C16" s="10">
        <v>4118000</v>
      </c>
      <c r="D16" s="11" t="s">
        <v>15</v>
      </c>
      <c r="E16" s="11">
        <v>2</v>
      </c>
      <c r="F16" s="11" t="s">
        <v>19</v>
      </c>
      <c r="G16" s="11" t="s">
        <v>17</v>
      </c>
      <c r="H16" s="9"/>
      <c r="I16" s="11"/>
      <c r="J16" s="7" t="str">
        <f t="shared" si="0"/>
        <v/>
      </c>
    </row>
    <row r="17" spans="1:11" ht="30.6" customHeight="1">
      <c r="A17" s="9" t="s">
        <v>33</v>
      </c>
      <c r="B17" s="9" t="s">
        <v>34</v>
      </c>
      <c r="C17" s="10">
        <v>2500460</v>
      </c>
      <c r="D17" s="11" t="s">
        <v>15</v>
      </c>
      <c r="E17" s="11">
        <v>4</v>
      </c>
      <c r="F17" s="11" t="s">
        <v>19</v>
      </c>
      <c r="G17" s="11" t="s">
        <v>17</v>
      </c>
      <c r="H17" s="9"/>
      <c r="I17" s="11">
        <v>4</v>
      </c>
      <c r="J17" s="7">
        <f t="shared" si="0"/>
        <v>0</v>
      </c>
    </row>
    <row r="18" spans="1:11" ht="30.6" customHeight="1">
      <c r="A18" s="9" t="s">
        <v>35</v>
      </c>
      <c r="B18" s="9" t="s">
        <v>36</v>
      </c>
      <c r="C18" s="10">
        <v>3105370</v>
      </c>
      <c r="D18" s="11" t="s">
        <v>15</v>
      </c>
      <c r="E18" s="11">
        <v>2</v>
      </c>
      <c r="F18" s="11" t="s">
        <v>19</v>
      </c>
      <c r="G18" s="11" t="s">
        <v>17</v>
      </c>
      <c r="H18" s="9"/>
      <c r="I18" s="11">
        <v>2</v>
      </c>
      <c r="J18" s="7">
        <f t="shared" si="0"/>
        <v>0</v>
      </c>
    </row>
    <row r="19" spans="1:11" ht="30.6" customHeight="1">
      <c r="A19" s="9" t="s">
        <v>37</v>
      </c>
      <c r="B19" s="9" t="s">
        <v>38</v>
      </c>
      <c r="C19" s="10">
        <v>3110000</v>
      </c>
      <c r="D19" s="11" t="s">
        <v>15</v>
      </c>
      <c r="E19" s="11">
        <v>1</v>
      </c>
      <c r="F19" s="11" t="s">
        <v>19</v>
      </c>
      <c r="G19" s="11" t="s">
        <v>17</v>
      </c>
      <c r="H19" s="9"/>
      <c r="I19" s="11">
        <v>1</v>
      </c>
      <c r="J19" s="7">
        <f t="shared" si="0"/>
        <v>0</v>
      </c>
    </row>
    <row r="20" spans="1:11" ht="30.6" customHeight="1">
      <c r="A20" s="9"/>
      <c r="B20" s="9" t="s">
        <v>39</v>
      </c>
      <c r="C20" s="10">
        <v>2500530</v>
      </c>
      <c r="D20" s="11" t="s">
        <v>15</v>
      </c>
      <c r="E20" s="11">
        <v>2</v>
      </c>
      <c r="F20" s="11" t="s">
        <v>19</v>
      </c>
      <c r="G20" s="11" t="s">
        <v>17</v>
      </c>
      <c r="H20" s="9"/>
      <c r="I20" s="11"/>
      <c r="J20" s="7" t="str">
        <f t="shared" si="0"/>
        <v/>
      </c>
    </row>
    <row r="21" spans="1:11" ht="30.6" customHeight="1">
      <c r="A21" s="9"/>
      <c r="B21" s="9" t="s">
        <v>40</v>
      </c>
      <c r="C21" s="10" t="s">
        <v>41</v>
      </c>
      <c r="D21" s="11" t="s">
        <v>15</v>
      </c>
      <c r="E21" s="11">
        <v>2</v>
      </c>
      <c r="F21" s="11" t="s">
        <v>19</v>
      </c>
      <c r="G21" s="11" t="s">
        <v>17</v>
      </c>
      <c r="H21" s="9"/>
      <c r="I21" s="11"/>
      <c r="J21" s="7" t="str">
        <f t="shared" si="0"/>
        <v/>
      </c>
    </row>
    <row r="22" spans="1:11" ht="30.6" customHeight="1">
      <c r="A22" s="9" t="s">
        <v>42</v>
      </c>
      <c r="B22" s="9" t="s">
        <v>43</v>
      </c>
      <c r="C22" s="10">
        <v>2500200</v>
      </c>
      <c r="D22" s="11" t="s">
        <v>15</v>
      </c>
      <c r="E22" s="11">
        <v>2</v>
      </c>
      <c r="F22" s="11" t="s">
        <v>19</v>
      </c>
      <c r="G22" s="11" t="s">
        <v>17</v>
      </c>
      <c r="H22" s="9" t="s">
        <v>44</v>
      </c>
      <c r="I22" s="11">
        <v>4</v>
      </c>
      <c r="J22" s="7">
        <f t="shared" si="0"/>
        <v>-2</v>
      </c>
      <c r="K22" s="24" t="s">
        <v>312</v>
      </c>
    </row>
    <row r="23" spans="1:11" ht="30.6" customHeight="1">
      <c r="A23" s="9"/>
      <c r="B23" s="9" t="s">
        <v>45</v>
      </c>
      <c r="C23" s="10">
        <v>2500490</v>
      </c>
      <c r="D23" s="11" t="s">
        <v>15</v>
      </c>
      <c r="E23" s="11">
        <v>4</v>
      </c>
      <c r="F23" s="11" t="s">
        <v>19</v>
      </c>
      <c r="G23" s="11" t="s">
        <v>17</v>
      </c>
      <c r="H23" s="9"/>
      <c r="I23" s="11"/>
      <c r="J23" s="7" t="str">
        <f t="shared" si="0"/>
        <v/>
      </c>
    </row>
    <row r="24" spans="1:11" ht="30.6" customHeight="1">
      <c r="A24" s="9" t="s">
        <v>46</v>
      </c>
      <c r="B24" s="9" t="s">
        <v>47</v>
      </c>
      <c r="C24" s="10">
        <v>3118000</v>
      </c>
      <c r="D24" s="11" t="s">
        <v>15</v>
      </c>
      <c r="E24" s="11">
        <v>1</v>
      </c>
      <c r="F24" s="11" t="s">
        <v>19</v>
      </c>
      <c r="G24" s="11" t="s">
        <v>17</v>
      </c>
      <c r="H24" s="9"/>
      <c r="I24" s="11">
        <v>1</v>
      </c>
      <c r="J24" s="7">
        <f t="shared" si="0"/>
        <v>0</v>
      </c>
    </row>
    <row r="25" spans="1:11" ht="30.6" customHeight="1">
      <c r="A25" s="9" t="s">
        <v>48</v>
      </c>
      <c r="B25" s="9" t="s">
        <v>49</v>
      </c>
      <c r="C25" s="10" t="s">
        <v>50</v>
      </c>
      <c r="D25" s="11" t="s">
        <v>51</v>
      </c>
      <c r="E25" s="11">
        <v>2</v>
      </c>
      <c r="F25" s="11" t="s">
        <v>19</v>
      </c>
      <c r="G25" s="11" t="s">
        <v>17</v>
      </c>
      <c r="H25" s="9" t="s">
        <v>52</v>
      </c>
      <c r="I25" s="11">
        <v>1</v>
      </c>
      <c r="J25" s="7">
        <f t="shared" si="0"/>
        <v>1</v>
      </c>
      <c r="K25" s="24" t="s">
        <v>310</v>
      </c>
    </row>
    <row r="26" spans="1:11" ht="94.15" customHeight="1">
      <c r="A26" s="9" t="s">
        <v>53</v>
      </c>
      <c r="B26" s="9" t="s">
        <v>54</v>
      </c>
      <c r="C26" s="10" t="s">
        <v>55</v>
      </c>
      <c r="D26" s="11" t="s">
        <v>56</v>
      </c>
      <c r="E26" s="11">
        <v>1</v>
      </c>
      <c r="F26" s="11" t="s">
        <v>19</v>
      </c>
      <c r="G26" s="11" t="s">
        <v>17</v>
      </c>
      <c r="H26" s="9"/>
      <c r="I26" s="11">
        <v>1</v>
      </c>
      <c r="J26" s="7">
        <f t="shared" si="0"/>
        <v>0</v>
      </c>
    </row>
    <row r="27" spans="1:11" ht="79.900000000000006" customHeight="1">
      <c r="A27" s="9"/>
      <c r="B27" s="9" t="s">
        <v>57</v>
      </c>
      <c r="C27" s="10" t="s">
        <v>58</v>
      </c>
      <c r="D27" s="11" t="s">
        <v>56</v>
      </c>
      <c r="E27" s="11">
        <v>1</v>
      </c>
      <c r="F27" s="11" t="s">
        <v>19</v>
      </c>
      <c r="G27" s="11" t="s">
        <v>17</v>
      </c>
      <c r="H27" s="9"/>
      <c r="I27" s="11"/>
      <c r="J27" s="7" t="str">
        <f t="shared" si="0"/>
        <v/>
      </c>
    </row>
    <row r="28" spans="1:11" ht="40.9" customHeight="1">
      <c r="A28" s="9"/>
      <c r="B28" s="9" t="s">
        <v>59</v>
      </c>
      <c r="C28" s="10" t="s">
        <v>60</v>
      </c>
      <c r="D28" s="11" t="s">
        <v>56</v>
      </c>
      <c r="E28" s="11">
        <v>2</v>
      </c>
      <c r="F28" s="11" t="s">
        <v>19</v>
      </c>
      <c r="G28" s="11" t="s">
        <v>17</v>
      </c>
      <c r="H28" s="9"/>
      <c r="I28" s="11"/>
      <c r="J28" s="7" t="str">
        <f t="shared" si="0"/>
        <v/>
      </c>
    </row>
    <row r="29" spans="1:11" ht="72" customHeight="1">
      <c r="A29" s="9" t="s">
        <v>61</v>
      </c>
      <c r="B29" s="9" t="s">
        <v>62</v>
      </c>
      <c r="C29" s="10" t="s">
        <v>63</v>
      </c>
      <c r="D29" s="11" t="s">
        <v>56</v>
      </c>
      <c r="E29" s="11">
        <v>1</v>
      </c>
      <c r="F29" s="11" t="s">
        <v>19</v>
      </c>
      <c r="G29" s="11" t="s">
        <v>17</v>
      </c>
      <c r="H29" s="9"/>
      <c r="I29" s="11">
        <v>1</v>
      </c>
      <c r="J29" s="7">
        <f t="shared" si="0"/>
        <v>0</v>
      </c>
    </row>
    <row r="30" spans="1:11" ht="34.15" customHeight="1">
      <c r="A30" s="9"/>
      <c r="B30" s="9" t="s">
        <v>64</v>
      </c>
      <c r="C30" s="10" t="s">
        <v>65</v>
      </c>
      <c r="D30" s="11" t="s">
        <v>56</v>
      </c>
      <c r="E30" s="11">
        <v>1</v>
      </c>
      <c r="F30" s="11" t="s">
        <v>19</v>
      </c>
      <c r="G30" s="11" t="s">
        <v>17</v>
      </c>
      <c r="H30" s="9" t="s">
        <v>66</v>
      </c>
      <c r="I30" s="11">
        <v>1</v>
      </c>
      <c r="J30" s="7">
        <f t="shared" si="0"/>
        <v>0</v>
      </c>
    </row>
    <row r="31" spans="1:11" ht="72" customHeight="1">
      <c r="A31" s="9" t="s">
        <v>67</v>
      </c>
      <c r="B31" s="9" t="s">
        <v>68</v>
      </c>
      <c r="C31" s="10" t="s">
        <v>69</v>
      </c>
      <c r="D31" s="11" t="s">
        <v>56</v>
      </c>
      <c r="E31" s="11">
        <v>3</v>
      </c>
      <c r="F31" s="11" t="s">
        <v>19</v>
      </c>
      <c r="G31" s="11" t="s">
        <v>17</v>
      </c>
      <c r="H31" s="9"/>
      <c r="I31" s="11">
        <v>3</v>
      </c>
      <c r="J31" s="7">
        <f t="shared" si="0"/>
        <v>0</v>
      </c>
    </row>
    <row r="32" spans="1:11" ht="112.15" customHeight="1">
      <c r="A32" s="9" t="s">
        <v>70</v>
      </c>
      <c r="B32" s="9" t="s">
        <v>71</v>
      </c>
      <c r="C32" s="10" t="s">
        <v>72</v>
      </c>
      <c r="D32" s="11" t="s">
        <v>56</v>
      </c>
      <c r="E32" s="11">
        <v>2</v>
      </c>
      <c r="F32" s="11" t="s">
        <v>19</v>
      </c>
      <c r="G32" s="11" t="s">
        <v>17</v>
      </c>
      <c r="H32" s="9"/>
      <c r="I32" s="11">
        <v>2</v>
      </c>
      <c r="J32" s="7">
        <f t="shared" si="0"/>
        <v>0</v>
      </c>
    </row>
    <row r="33" spans="1:11" ht="88.9" customHeight="1">
      <c r="A33" s="9" t="s">
        <v>73</v>
      </c>
      <c r="B33" s="9" t="s">
        <v>74</v>
      </c>
      <c r="C33" s="10" t="s">
        <v>75</v>
      </c>
      <c r="D33" s="11" t="s">
        <v>56</v>
      </c>
      <c r="E33" s="11">
        <v>5</v>
      </c>
      <c r="F33" s="11" t="s">
        <v>19</v>
      </c>
      <c r="G33" s="11" t="s">
        <v>17</v>
      </c>
      <c r="H33" s="9" t="s">
        <v>76</v>
      </c>
      <c r="I33" s="11">
        <v>7</v>
      </c>
      <c r="J33" s="7">
        <f t="shared" si="0"/>
        <v>-2</v>
      </c>
    </row>
    <row r="34" spans="1:11" ht="88.9" customHeight="1">
      <c r="A34" s="26" t="s">
        <v>315</v>
      </c>
      <c r="B34" s="9" t="s">
        <v>313</v>
      </c>
      <c r="C34" s="10" t="s">
        <v>314</v>
      </c>
      <c r="D34" s="11" t="s">
        <v>56</v>
      </c>
      <c r="E34" s="11">
        <v>1</v>
      </c>
      <c r="F34" s="11" t="s">
        <v>19</v>
      </c>
      <c r="G34" s="11" t="s">
        <v>17</v>
      </c>
      <c r="H34" s="9"/>
      <c r="I34" s="11">
        <v>1</v>
      </c>
      <c r="J34" s="11">
        <v>1</v>
      </c>
      <c r="K34" t="s">
        <v>316</v>
      </c>
    </row>
    <row r="35" spans="1:11" ht="60">
      <c r="A35" s="9"/>
      <c r="B35" s="9" t="s">
        <v>77</v>
      </c>
      <c r="C35" s="10" t="s">
        <v>78</v>
      </c>
      <c r="D35" s="11" t="s">
        <v>56</v>
      </c>
      <c r="E35" s="11">
        <v>4</v>
      </c>
      <c r="F35" s="11" t="s">
        <v>19</v>
      </c>
      <c r="G35" s="11" t="s">
        <v>17</v>
      </c>
      <c r="H35" s="9"/>
      <c r="I35" s="11"/>
      <c r="J35" s="7" t="str">
        <f t="shared" ref="J35:J66" si="1">IF(ISBLANK(I35),"",E35-I35)</f>
        <v/>
      </c>
    </row>
    <row r="36" spans="1:11" ht="45">
      <c r="A36" s="9"/>
      <c r="B36" s="9" t="s">
        <v>79</v>
      </c>
      <c r="C36" s="10" t="s">
        <v>80</v>
      </c>
      <c r="D36" s="11" t="s">
        <v>56</v>
      </c>
      <c r="E36" s="11">
        <v>1</v>
      </c>
      <c r="F36" s="11" t="s">
        <v>16</v>
      </c>
      <c r="G36" s="11" t="s">
        <v>17</v>
      </c>
      <c r="H36" s="9"/>
      <c r="I36" s="11"/>
      <c r="J36" s="7" t="str">
        <f t="shared" si="1"/>
        <v/>
      </c>
    </row>
    <row r="37" spans="1:11" ht="45">
      <c r="A37" s="9"/>
      <c r="B37" s="9" t="s">
        <v>81</v>
      </c>
      <c r="C37" s="10" t="s">
        <v>82</v>
      </c>
      <c r="D37" s="11" t="s">
        <v>56</v>
      </c>
      <c r="E37" s="11">
        <v>1</v>
      </c>
      <c r="F37" s="11" t="s">
        <v>19</v>
      </c>
      <c r="G37" s="11" t="s">
        <v>17</v>
      </c>
      <c r="H37" s="9" t="s">
        <v>83</v>
      </c>
      <c r="I37" s="11">
        <v>1</v>
      </c>
      <c r="J37" s="7">
        <f t="shared" si="1"/>
        <v>0</v>
      </c>
    </row>
    <row r="38" spans="1:11" ht="45">
      <c r="A38" s="9"/>
      <c r="B38" s="9" t="s">
        <v>84</v>
      </c>
      <c r="C38" s="10" t="s">
        <v>85</v>
      </c>
      <c r="D38" s="11" t="s">
        <v>56</v>
      </c>
      <c r="E38" s="11">
        <v>10</v>
      </c>
      <c r="F38" s="11" t="s">
        <v>19</v>
      </c>
      <c r="G38" s="11" t="s">
        <v>17</v>
      </c>
      <c r="H38" s="9"/>
      <c r="I38" s="11"/>
      <c r="J38" s="7" t="str">
        <f t="shared" si="1"/>
        <v/>
      </c>
    </row>
    <row r="39" spans="1:11" ht="60">
      <c r="A39" s="9" t="s">
        <v>86</v>
      </c>
      <c r="B39" s="9" t="s">
        <v>87</v>
      </c>
      <c r="C39" s="10" t="s">
        <v>88</v>
      </c>
      <c r="D39" s="11" t="s">
        <v>56</v>
      </c>
      <c r="E39" s="11">
        <v>1</v>
      </c>
      <c r="F39" s="11" t="s">
        <v>19</v>
      </c>
      <c r="G39" s="11" t="s">
        <v>17</v>
      </c>
      <c r="H39" s="9"/>
      <c r="I39" s="11">
        <v>1</v>
      </c>
      <c r="J39" s="7">
        <f t="shared" si="1"/>
        <v>0</v>
      </c>
    </row>
    <row r="40" spans="1:11" ht="30">
      <c r="A40" s="9" t="s">
        <v>89</v>
      </c>
      <c r="B40" s="9" t="s">
        <v>90</v>
      </c>
      <c r="C40" s="10" t="s">
        <v>91</v>
      </c>
      <c r="D40" s="11" t="s">
        <v>56</v>
      </c>
      <c r="E40" s="11">
        <v>2</v>
      </c>
      <c r="F40" s="11" t="s">
        <v>19</v>
      </c>
      <c r="G40" s="11" t="s">
        <v>17</v>
      </c>
      <c r="H40" s="9"/>
      <c r="I40" s="11">
        <v>2</v>
      </c>
      <c r="J40" s="7">
        <f t="shared" si="1"/>
        <v>0</v>
      </c>
    </row>
    <row r="41" spans="1:11" ht="45">
      <c r="A41" s="9" t="s">
        <v>92</v>
      </c>
      <c r="B41" s="9" t="s">
        <v>93</v>
      </c>
      <c r="C41" s="10" t="s">
        <v>94</v>
      </c>
      <c r="D41" s="11" t="s">
        <v>56</v>
      </c>
      <c r="E41" s="11">
        <v>1</v>
      </c>
      <c r="F41" s="11" t="s">
        <v>19</v>
      </c>
      <c r="G41" s="11" t="s">
        <v>17</v>
      </c>
      <c r="H41" s="9"/>
      <c r="I41" s="11">
        <v>1</v>
      </c>
      <c r="J41" s="7">
        <f t="shared" si="1"/>
        <v>0</v>
      </c>
    </row>
    <row r="42" spans="1:11" ht="45">
      <c r="A42" s="9" t="s">
        <v>95</v>
      </c>
      <c r="B42" s="9" t="s">
        <v>96</v>
      </c>
      <c r="C42" s="10" t="s">
        <v>97</v>
      </c>
      <c r="D42" s="11" t="s">
        <v>56</v>
      </c>
      <c r="E42" s="11">
        <v>2</v>
      </c>
      <c r="F42" s="11" t="s">
        <v>19</v>
      </c>
      <c r="G42" s="11" t="s">
        <v>17</v>
      </c>
      <c r="H42" s="9"/>
      <c r="I42" s="11">
        <v>2</v>
      </c>
      <c r="J42" s="7">
        <f t="shared" si="1"/>
        <v>0</v>
      </c>
    </row>
    <row r="43" spans="1:11" ht="45">
      <c r="A43" s="9" t="s">
        <v>98</v>
      </c>
      <c r="B43" s="9" t="s">
        <v>99</v>
      </c>
      <c r="C43" s="10">
        <v>1176010000</v>
      </c>
      <c r="D43" s="11" t="s">
        <v>100</v>
      </c>
      <c r="E43" s="11">
        <v>3</v>
      </c>
      <c r="F43" s="11" t="s">
        <v>19</v>
      </c>
      <c r="G43" s="11" t="s">
        <v>17</v>
      </c>
      <c r="H43" s="9" t="s">
        <v>101</v>
      </c>
      <c r="I43" s="11">
        <v>3</v>
      </c>
      <c r="J43" s="7">
        <f t="shared" si="1"/>
        <v>0</v>
      </c>
    </row>
    <row r="44" spans="1:11" ht="45">
      <c r="A44" s="9" t="s">
        <v>98</v>
      </c>
      <c r="B44" s="9" t="s">
        <v>102</v>
      </c>
      <c r="C44" s="10">
        <v>1176000000</v>
      </c>
      <c r="D44" s="11" t="s">
        <v>100</v>
      </c>
      <c r="E44" s="11">
        <v>5</v>
      </c>
      <c r="F44" s="11" t="s">
        <v>19</v>
      </c>
      <c r="G44" s="12" t="s">
        <v>103</v>
      </c>
      <c r="H44" s="9" t="s">
        <v>104</v>
      </c>
      <c r="I44" s="11">
        <v>7</v>
      </c>
      <c r="J44" s="7">
        <f t="shared" si="1"/>
        <v>-2</v>
      </c>
      <c r="K44" t="s">
        <v>317</v>
      </c>
    </row>
    <row r="45" spans="1:11" ht="45">
      <c r="A45" s="9"/>
      <c r="B45" s="9" t="s">
        <v>105</v>
      </c>
      <c r="C45" s="10">
        <v>1877680000</v>
      </c>
      <c r="D45" s="11" t="s">
        <v>100</v>
      </c>
      <c r="E45" s="11">
        <v>1</v>
      </c>
      <c r="F45" s="11" t="s">
        <v>16</v>
      </c>
      <c r="G45" s="11" t="s">
        <v>17</v>
      </c>
      <c r="H45" s="9"/>
      <c r="I45" s="11"/>
      <c r="J45" s="7" t="str">
        <f t="shared" si="1"/>
        <v/>
      </c>
    </row>
    <row r="46" spans="1:11" ht="60">
      <c r="A46" s="9" t="s">
        <v>106</v>
      </c>
      <c r="B46" s="9" t="s">
        <v>107</v>
      </c>
      <c r="C46" s="10">
        <v>1123540000</v>
      </c>
      <c r="D46" s="11" t="s">
        <v>100</v>
      </c>
      <c r="E46" s="11">
        <v>41</v>
      </c>
      <c r="F46" s="11" t="s">
        <v>19</v>
      </c>
      <c r="G46" s="13" t="s">
        <v>17</v>
      </c>
      <c r="H46" s="9" t="s">
        <v>108</v>
      </c>
      <c r="I46" s="11">
        <v>22</v>
      </c>
      <c r="J46" s="7">
        <f t="shared" si="1"/>
        <v>19</v>
      </c>
      <c r="K46" t="s">
        <v>318</v>
      </c>
    </row>
    <row r="47" spans="1:11" ht="60">
      <c r="A47" s="9"/>
      <c r="B47" s="9" t="s">
        <v>109</v>
      </c>
      <c r="C47" s="10">
        <v>2556460000</v>
      </c>
      <c r="D47" s="11" t="s">
        <v>100</v>
      </c>
      <c r="E47" s="11">
        <v>1</v>
      </c>
      <c r="F47" s="11" t="s">
        <v>16</v>
      </c>
      <c r="G47" s="11" t="s">
        <v>17</v>
      </c>
      <c r="H47" s="9"/>
      <c r="I47" s="11"/>
      <c r="J47" s="7" t="str">
        <f t="shared" si="1"/>
        <v/>
      </c>
    </row>
    <row r="48" spans="1:11" ht="75">
      <c r="A48" s="9" t="s">
        <v>110</v>
      </c>
      <c r="B48" s="9" t="s">
        <v>111</v>
      </c>
      <c r="C48" s="10">
        <v>1122770000</v>
      </c>
      <c r="D48" s="11" t="s">
        <v>100</v>
      </c>
      <c r="E48" s="11">
        <v>40</v>
      </c>
      <c r="F48" s="11" t="s">
        <v>19</v>
      </c>
      <c r="G48" s="13" t="s">
        <v>17</v>
      </c>
      <c r="H48" s="9" t="s">
        <v>112</v>
      </c>
      <c r="I48" s="11">
        <v>43</v>
      </c>
      <c r="J48" s="7">
        <f t="shared" si="1"/>
        <v>-3</v>
      </c>
      <c r="K48" t="s">
        <v>318</v>
      </c>
    </row>
    <row r="49" spans="1:11" ht="90">
      <c r="A49" s="9" t="s">
        <v>113</v>
      </c>
      <c r="B49" s="9" t="s">
        <v>114</v>
      </c>
      <c r="C49" s="10" t="s">
        <v>115</v>
      </c>
      <c r="D49" s="11" t="s">
        <v>116</v>
      </c>
      <c r="E49" s="11">
        <v>2</v>
      </c>
      <c r="F49" s="11" t="s">
        <v>19</v>
      </c>
      <c r="G49" s="13" t="s">
        <v>17</v>
      </c>
      <c r="H49" s="9" t="s">
        <v>117</v>
      </c>
      <c r="I49" s="11">
        <v>9</v>
      </c>
      <c r="J49" s="7">
        <f t="shared" si="1"/>
        <v>-7</v>
      </c>
      <c r="K49" t="s">
        <v>312</v>
      </c>
    </row>
    <row r="50" spans="1:11" ht="75">
      <c r="A50" s="9" t="s">
        <v>118</v>
      </c>
      <c r="B50" s="9" t="s">
        <v>119</v>
      </c>
      <c r="C50" s="10">
        <v>1123490000</v>
      </c>
      <c r="D50" s="11" t="s">
        <v>100</v>
      </c>
      <c r="E50" s="11">
        <v>30</v>
      </c>
      <c r="F50" s="11" t="s">
        <v>19</v>
      </c>
      <c r="G50" s="13" t="s">
        <v>17</v>
      </c>
      <c r="H50" s="9" t="s">
        <v>120</v>
      </c>
      <c r="I50" s="11">
        <v>47</v>
      </c>
      <c r="J50" s="7">
        <f t="shared" si="1"/>
        <v>-17</v>
      </c>
      <c r="K50" t="s">
        <v>312</v>
      </c>
    </row>
    <row r="51" spans="1:11" ht="45">
      <c r="A51" s="9"/>
      <c r="B51" s="9" t="s">
        <v>121</v>
      </c>
      <c r="C51" s="10">
        <v>1240800000</v>
      </c>
      <c r="D51" s="11" t="s">
        <v>100</v>
      </c>
      <c r="E51" s="11">
        <v>1</v>
      </c>
      <c r="F51" s="11" t="s">
        <v>16</v>
      </c>
      <c r="G51" s="11" t="s">
        <v>17</v>
      </c>
      <c r="H51" s="9"/>
      <c r="I51" s="11"/>
      <c r="J51" s="7" t="str">
        <f t="shared" si="1"/>
        <v/>
      </c>
    </row>
    <row r="52" spans="1:11" ht="60">
      <c r="A52" s="9"/>
      <c r="B52" s="9" t="s">
        <v>122</v>
      </c>
      <c r="C52" s="10">
        <v>2556450000</v>
      </c>
      <c r="D52" s="11" t="s">
        <v>100</v>
      </c>
      <c r="E52" s="11">
        <v>1</v>
      </c>
      <c r="F52" s="11" t="s">
        <v>16</v>
      </c>
      <c r="G52" s="11" t="s">
        <v>17</v>
      </c>
      <c r="H52" s="9"/>
      <c r="I52" s="11"/>
      <c r="J52" s="7" t="str">
        <f t="shared" si="1"/>
        <v/>
      </c>
    </row>
    <row r="53" spans="1:11" ht="30">
      <c r="A53" s="9" t="s">
        <v>123</v>
      </c>
      <c r="B53" s="9" t="s">
        <v>124</v>
      </c>
      <c r="C53" s="10">
        <v>1020100000</v>
      </c>
      <c r="D53" s="11" t="s">
        <v>100</v>
      </c>
      <c r="E53" s="11">
        <v>6</v>
      </c>
      <c r="F53" s="11" t="s">
        <v>16</v>
      </c>
      <c r="G53" s="11" t="s">
        <v>17</v>
      </c>
      <c r="H53" s="9"/>
      <c r="I53" s="11"/>
      <c r="J53" s="7" t="str">
        <f t="shared" si="1"/>
        <v/>
      </c>
      <c r="K53" t="s">
        <v>319</v>
      </c>
    </row>
    <row r="54" spans="1:11" ht="30">
      <c r="A54" s="9"/>
      <c r="B54" s="9" t="s">
        <v>125</v>
      </c>
      <c r="C54" s="10">
        <v>1061200000</v>
      </c>
      <c r="D54" s="11" t="s">
        <v>100</v>
      </c>
      <c r="E54" s="11">
        <v>2</v>
      </c>
      <c r="F54" s="11" t="s">
        <v>16</v>
      </c>
      <c r="G54" s="11" t="s">
        <v>17</v>
      </c>
      <c r="H54" s="9"/>
      <c r="I54" s="11"/>
      <c r="J54" s="7" t="str">
        <f t="shared" si="1"/>
        <v/>
      </c>
    </row>
    <row r="55" spans="1:11" ht="30">
      <c r="A55" s="9"/>
      <c r="B55" s="9" t="s">
        <v>126</v>
      </c>
      <c r="C55" s="10">
        <v>2460780000</v>
      </c>
      <c r="D55" s="11" t="s">
        <v>100</v>
      </c>
      <c r="E55" s="11">
        <v>1</v>
      </c>
      <c r="F55" s="11" t="s">
        <v>16</v>
      </c>
      <c r="G55" s="11" t="s">
        <v>17</v>
      </c>
      <c r="H55" s="9"/>
      <c r="I55" s="11"/>
      <c r="J55" s="7" t="str">
        <f t="shared" si="1"/>
        <v/>
      </c>
    </row>
    <row r="56" spans="1:11" ht="45">
      <c r="A56" s="9"/>
      <c r="B56" s="9" t="s">
        <v>127</v>
      </c>
      <c r="C56" s="10">
        <v>2460740000</v>
      </c>
      <c r="D56" s="11" t="s">
        <v>100</v>
      </c>
      <c r="E56" s="11">
        <v>3</v>
      </c>
      <c r="F56" s="11" t="s">
        <v>16</v>
      </c>
      <c r="G56" s="11" t="s">
        <v>17</v>
      </c>
      <c r="H56" s="9"/>
      <c r="I56" s="11"/>
      <c r="J56" s="7" t="str">
        <f t="shared" si="1"/>
        <v/>
      </c>
    </row>
    <row r="57" spans="1:11" ht="45">
      <c r="A57" s="9"/>
      <c r="B57" s="9" t="s">
        <v>128</v>
      </c>
      <c r="C57" s="10">
        <v>2561600000</v>
      </c>
      <c r="D57" s="11" t="s">
        <v>100</v>
      </c>
      <c r="E57" s="11">
        <v>3</v>
      </c>
      <c r="F57" s="11" t="s">
        <v>16</v>
      </c>
      <c r="G57" s="11" t="s">
        <v>17</v>
      </c>
      <c r="H57" s="9"/>
      <c r="I57" s="11"/>
      <c r="J57" s="7" t="str">
        <f t="shared" si="1"/>
        <v/>
      </c>
    </row>
    <row r="58" spans="1:11" ht="30">
      <c r="A58" s="9"/>
      <c r="B58" s="9" t="s">
        <v>129</v>
      </c>
      <c r="C58" s="10">
        <v>1050000000</v>
      </c>
      <c r="D58" s="11" t="s">
        <v>100</v>
      </c>
      <c r="E58" s="11">
        <v>2</v>
      </c>
      <c r="F58" s="11" t="s">
        <v>16</v>
      </c>
      <c r="G58" s="11" t="s">
        <v>17</v>
      </c>
      <c r="H58" s="9"/>
      <c r="I58" s="11"/>
      <c r="J58" s="7" t="str">
        <f t="shared" si="1"/>
        <v/>
      </c>
    </row>
    <row r="59" spans="1:11" ht="30">
      <c r="A59" s="9"/>
      <c r="B59" s="9" t="s">
        <v>130</v>
      </c>
      <c r="C59" s="10">
        <v>1020400000</v>
      </c>
      <c r="D59" s="11" t="s">
        <v>100</v>
      </c>
      <c r="E59" s="11">
        <v>1</v>
      </c>
      <c r="F59" s="11" t="s">
        <v>16</v>
      </c>
      <c r="G59" s="11" t="s">
        <v>17</v>
      </c>
      <c r="H59" s="9"/>
      <c r="I59" s="11"/>
      <c r="J59" s="7" t="str">
        <f t="shared" si="1"/>
        <v/>
      </c>
    </row>
    <row r="60" spans="1:11" ht="30">
      <c r="A60" s="9"/>
      <c r="B60" s="9" t="s">
        <v>131</v>
      </c>
      <c r="C60" s="10">
        <v>1059000000</v>
      </c>
      <c r="D60" s="11" t="s">
        <v>100</v>
      </c>
      <c r="E60" s="11">
        <v>1</v>
      </c>
      <c r="F60" s="11" t="s">
        <v>16</v>
      </c>
      <c r="G60" s="11" t="s">
        <v>17</v>
      </c>
      <c r="H60" s="9"/>
      <c r="I60" s="11"/>
      <c r="J60" s="7" t="str">
        <f t="shared" si="1"/>
        <v/>
      </c>
    </row>
    <row r="61" spans="1:11" ht="30">
      <c r="A61" s="9"/>
      <c r="B61" s="9" t="s">
        <v>132</v>
      </c>
      <c r="C61" s="10">
        <v>1050100000</v>
      </c>
      <c r="D61" s="11" t="s">
        <v>100</v>
      </c>
      <c r="E61" s="11">
        <v>1</v>
      </c>
      <c r="F61" s="11" t="s">
        <v>16</v>
      </c>
      <c r="G61" s="11" t="s">
        <v>17</v>
      </c>
      <c r="H61" s="9"/>
      <c r="I61" s="11"/>
      <c r="J61" s="7" t="str">
        <f t="shared" si="1"/>
        <v/>
      </c>
    </row>
    <row r="62" spans="1:11" ht="45">
      <c r="A62" s="9" t="s">
        <v>92</v>
      </c>
      <c r="B62" s="9" t="s">
        <v>133</v>
      </c>
      <c r="C62" s="10">
        <v>2954934</v>
      </c>
      <c r="D62" s="11" t="s">
        <v>134</v>
      </c>
      <c r="E62" s="11">
        <v>1</v>
      </c>
      <c r="F62" s="11" t="s">
        <v>19</v>
      </c>
      <c r="G62" s="11" t="s">
        <v>17</v>
      </c>
      <c r="H62" s="9" t="s">
        <v>135</v>
      </c>
      <c r="I62" s="11">
        <v>1</v>
      </c>
      <c r="J62" s="7">
        <f t="shared" si="1"/>
        <v>0</v>
      </c>
      <c r="K62" s="24" t="s">
        <v>320</v>
      </c>
    </row>
    <row r="63" spans="1:11" ht="26.45" customHeight="1">
      <c r="A63" s="9"/>
      <c r="B63" s="9" t="s">
        <v>136</v>
      </c>
      <c r="C63" s="10" t="s">
        <v>137</v>
      </c>
      <c r="D63" s="11" t="s">
        <v>138</v>
      </c>
      <c r="E63" s="11">
        <v>41</v>
      </c>
      <c r="F63" s="11" t="s">
        <v>19</v>
      </c>
      <c r="G63" s="11" t="s">
        <v>17</v>
      </c>
      <c r="H63" s="9"/>
      <c r="I63" s="11"/>
      <c r="J63" s="7" t="str">
        <f t="shared" si="1"/>
        <v/>
      </c>
    </row>
    <row r="64" spans="1:11" ht="26.45" customHeight="1">
      <c r="A64" s="9"/>
      <c r="B64" s="9" t="s">
        <v>139</v>
      </c>
      <c r="C64" s="10" t="s">
        <v>140</v>
      </c>
      <c r="D64" s="11" t="s">
        <v>138</v>
      </c>
      <c r="E64" s="11">
        <v>11</v>
      </c>
      <c r="F64" s="11" t="s">
        <v>19</v>
      </c>
      <c r="G64" s="11" t="s">
        <v>17</v>
      </c>
      <c r="H64" s="9"/>
      <c r="I64" s="11"/>
      <c r="J64" s="7" t="str">
        <f t="shared" si="1"/>
        <v/>
      </c>
    </row>
    <row r="65" spans="1:11" ht="26.45" customHeight="1">
      <c r="A65" s="9"/>
      <c r="B65" s="9" t="s">
        <v>141</v>
      </c>
      <c r="C65" s="10" t="s">
        <v>142</v>
      </c>
      <c r="D65" s="11" t="s">
        <v>138</v>
      </c>
      <c r="E65" s="11">
        <v>1</v>
      </c>
      <c r="F65" s="11" t="s">
        <v>19</v>
      </c>
      <c r="G65" s="11" t="s">
        <v>17</v>
      </c>
      <c r="H65" s="9"/>
      <c r="I65" s="11"/>
      <c r="J65" s="7" t="str">
        <f t="shared" si="1"/>
        <v/>
      </c>
    </row>
    <row r="66" spans="1:11" ht="26.45" customHeight="1">
      <c r="A66" s="9"/>
      <c r="B66" s="9" t="s">
        <v>143</v>
      </c>
      <c r="C66" s="10" t="s">
        <v>144</v>
      </c>
      <c r="D66" s="11" t="s">
        <v>138</v>
      </c>
      <c r="E66" s="11">
        <v>1</v>
      </c>
      <c r="F66" s="11" t="s">
        <v>19</v>
      </c>
      <c r="G66" s="11" t="s">
        <v>17</v>
      </c>
      <c r="H66" s="9"/>
      <c r="I66" s="11"/>
      <c r="J66" s="7" t="str">
        <f t="shared" si="1"/>
        <v/>
      </c>
    </row>
    <row r="67" spans="1:11" ht="44.45" customHeight="1">
      <c r="A67" s="9" t="s">
        <v>145</v>
      </c>
      <c r="B67" s="9" t="s">
        <v>146</v>
      </c>
      <c r="C67" s="10" t="s">
        <v>147</v>
      </c>
      <c r="D67" s="11" t="s">
        <v>148</v>
      </c>
      <c r="E67" s="11">
        <v>7</v>
      </c>
      <c r="F67" s="11" t="s">
        <v>19</v>
      </c>
      <c r="G67" s="11" t="s">
        <v>17</v>
      </c>
      <c r="H67" s="9"/>
      <c r="I67" s="11">
        <v>12</v>
      </c>
      <c r="J67" s="7">
        <f t="shared" ref="J67:J98" si="2">IF(ISBLANK(I67),"",E67-I67)</f>
        <v>-5</v>
      </c>
      <c r="K67" t="s">
        <v>321</v>
      </c>
    </row>
    <row r="68" spans="1:11" ht="44.45" customHeight="1">
      <c r="A68" s="9" t="s">
        <v>149</v>
      </c>
      <c r="B68" s="9" t="s">
        <v>150</v>
      </c>
      <c r="C68" s="14" t="s">
        <v>309</v>
      </c>
      <c r="D68" s="11" t="s">
        <v>138</v>
      </c>
      <c r="E68" s="11">
        <v>15</v>
      </c>
      <c r="F68" s="11" t="s">
        <v>19</v>
      </c>
      <c r="G68" s="11" t="s">
        <v>17</v>
      </c>
      <c r="H68" s="15" t="s">
        <v>151</v>
      </c>
      <c r="I68" s="11"/>
      <c r="J68" s="7" t="str">
        <f t="shared" si="2"/>
        <v/>
      </c>
      <c r="K68" s="24" t="s">
        <v>322</v>
      </c>
    </row>
    <row r="69" spans="1:11" ht="44.45" customHeight="1">
      <c r="A69" s="9" t="s">
        <v>152</v>
      </c>
      <c r="B69" s="9" t="s">
        <v>153</v>
      </c>
      <c r="C69" s="14" t="s">
        <v>154</v>
      </c>
      <c r="D69" s="11" t="s">
        <v>138</v>
      </c>
      <c r="E69" s="11">
        <v>6</v>
      </c>
      <c r="F69" s="11" t="s">
        <v>19</v>
      </c>
      <c r="G69" s="11" t="s">
        <v>17</v>
      </c>
      <c r="H69" s="15" t="s">
        <v>155</v>
      </c>
      <c r="I69" s="11"/>
      <c r="J69" s="7" t="str">
        <f t="shared" si="2"/>
        <v/>
      </c>
    </row>
    <row r="70" spans="1:11" ht="44.45" customHeight="1">
      <c r="A70" s="9" t="s">
        <v>156</v>
      </c>
      <c r="B70" s="9" t="s">
        <v>157</v>
      </c>
      <c r="C70" s="14" t="s">
        <v>158</v>
      </c>
      <c r="D70" s="11" t="s">
        <v>138</v>
      </c>
      <c r="E70" s="11">
        <v>6</v>
      </c>
      <c r="F70" s="11" t="s">
        <v>19</v>
      </c>
      <c r="G70" s="11" t="s">
        <v>17</v>
      </c>
      <c r="H70" s="15" t="s">
        <v>159</v>
      </c>
      <c r="I70" s="11"/>
      <c r="J70" s="7" t="str">
        <f t="shared" si="2"/>
        <v/>
      </c>
    </row>
    <row r="71" spans="1:11" ht="44.45" customHeight="1">
      <c r="A71" s="9" t="s">
        <v>160</v>
      </c>
      <c r="B71" s="9" t="s">
        <v>161</v>
      </c>
      <c r="C71" s="14" t="s">
        <v>162</v>
      </c>
      <c r="D71" s="11" t="s">
        <v>138</v>
      </c>
      <c r="E71" s="11">
        <v>3</v>
      </c>
      <c r="F71" s="11" t="s">
        <v>19</v>
      </c>
      <c r="G71" s="11" t="s">
        <v>17</v>
      </c>
      <c r="H71" s="15" t="s">
        <v>155</v>
      </c>
      <c r="I71" s="11"/>
      <c r="J71" s="7" t="str">
        <f t="shared" si="2"/>
        <v/>
      </c>
    </row>
    <row r="72" spans="1:11" ht="44.45" customHeight="1">
      <c r="A72" s="9" t="s">
        <v>163</v>
      </c>
      <c r="B72" s="9" t="s">
        <v>164</v>
      </c>
      <c r="C72" s="14" t="s">
        <v>165</v>
      </c>
      <c r="D72" s="11" t="s">
        <v>138</v>
      </c>
      <c r="E72" s="11">
        <v>4</v>
      </c>
      <c r="F72" s="11" t="s">
        <v>19</v>
      </c>
      <c r="G72" s="11" t="s">
        <v>17</v>
      </c>
      <c r="H72" s="9" t="s">
        <v>166</v>
      </c>
      <c r="I72" s="11">
        <v>4</v>
      </c>
      <c r="J72" s="7">
        <f t="shared" si="2"/>
        <v>0</v>
      </c>
    </row>
    <row r="73" spans="1:11" ht="44.45" customHeight="1">
      <c r="A73" s="9" t="s">
        <v>167</v>
      </c>
      <c r="B73" s="9" t="s">
        <v>168</v>
      </c>
      <c r="C73" s="14" t="s">
        <v>169</v>
      </c>
      <c r="D73" s="11" t="s">
        <v>138</v>
      </c>
      <c r="E73" s="11">
        <v>3</v>
      </c>
      <c r="F73" s="11" t="s">
        <v>19</v>
      </c>
      <c r="G73" s="11" t="s">
        <v>17</v>
      </c>
      <c r="H73" s="9" t="s">
        <v>170</v>
      </c>
      <c r="I73" s="11">
        <v>3</v>
      </c>
      <c r="J73" s="7">
        <f t="shared" si="2"/>
        <v>0</v>
      </c>
    </row>
    <row r="74" spans="1:11" ht="44.45" customHeight="1">
      <c r="A74" s="9" t="s">
        <v>171</v>
      </c>
      <c r="B74" s="9" t="s">
        <v>172</v>
      </c>
      <c r="C74" s="14" t="s">
        <v>173</v>
      </c>
      <c r="D74" s="11" t="s">
        <v>138</v>
      </c>
      <c r="E74" s="11">
        <v>3</v>
      </c>
      <c r="F74" s="11" t="s">
        <v>19</v>
      </c>
      <c r="G74" s="11" t="s">
        <v>17</v>
      </c>
      <c r="H74" s="9" t="s">
        <v>170</v>
      </c>
      <c r="I74" s="11">
        <v>3</v>
      </c>
      <c r="J74" s="7">
        <f t="shared" si="2"/>
        <v>0</v>
      </c>
      <c r="K74" s="24" t="s">
        <v>323</v>
      </c>
    </row>
    <row r="75" spans="1:11" ht="45">
      <c r="A75" s="9" t="s">
        <v>171</v>
      </c>
      <c r="B75" s="9" t="s">
        <v>174</v>
      </c>
      <c r="C75" s="14">
        <v>704209700</v>
      </c>
      <c r="D75" s="11" t="s">
        <v>138</v>
      </c>
      <c r="E75" s="11">
        <v>3</v>
      </c>
      <c r="F75" s="11" t="s">
        <v>19</v>
      </c>
      <c r="G75" s="11" t="s">
        <v>17</v>
      </c>
      <c r="H75" s="18" t="s">
        <v>308</v>
      </c>
      <c r="I75" s="11"/>
      <c r="J75" s="7" t="str">
        <f t="shared" si="2"/>
        <v/>
      </c>
    </row>
    <row r="76" spans="1:11" ht="30">
      <c r="A76" s="9" t="s">
        <v>175</v>
      </c>
      <c r="B76" s="9" t="s">
        <v>176</v>
      </c>
      <c r="C76" s="14" t="s">
        <v>177</v>
      </c>
      <c r="D76" s="11" t="s">
        <v>138</v>
      </c>
      <c r="E76" s="11">
        <v>1</v>
      </c>
      <c r="F76" s="11" t="s">
        <v>19</v>
      </c>
      <c r="G76" s="11" t="s">
        <v>17</v>
      </c>
      <c r="H76" s="9"/>
      <c r="I76" s="11">
        <v>1</v>
      </c>
      <c r="J76" s="7">
        <f t="shared" si="2"/>
        <v>0</v>
      </c>
    </row>
    <row r="77" spans="1:11">
      <c r="A77" s="9" t="s">
        <v>175</v>
      </c>
      <c r="B77" s="11" t="s">
        <v>178</v>
      </c>
      <c r="C77" s="14" t="s">
        <v>179</v>
      </c>
      <c r="D77" s="11" t="s">
        <v>138</v>
      </c>
      <c r="E77" s="11">
        <v>1</v>
      </c>
      <c r="F77" s="11" t="s">
        <v>19</v>
      </c>
      <c r="G77" s="11" t="s">
        <v>17</v>
      </c>
      <c r="H77" s="9"/>
      <c r="I77" s="11">
        <v>1</v>
      </c>
      <c r="J77" s="7">
        <f t="shared" si="2"/>
        <v>0</v>
      </c>
    </row>
    <row r="78" spans="1:11" ht="45">
      <c r="A78" s="9" t="s">
        <v>180</v>
      </c>
      <c r="B78" s="9" t="s">
        <v>181</v>
      </c>
      <c r="C78" s="10" t="s">
        <v>182</v>
      </c>
      <c r="D78" s="11" t="s">
        <v>56</v>
      </c>
      <c r="E78" s="11">
        <v>1</v>
      </c>
      <c r="F78" s="11" t="s">
        <v>19</v>
      </c>
      <c r="G78" s="11" t="s">
        <v>17</v>
      </c>
      <c r="H78" s="9"/>
      <c r="I78" s="11">
        <v>1</v>
      </c>
      <c r="J78" s="7">
        <f t="shared" si="2"/>
        <v>0</v>
      </c>
    </row>
    <row r="79" spans="1:11" ht="30">
      <c r="A79" s="16" t="s">
        <v>183</v>
      </c>
      <c r="B79" s="9" t="s">
        <v>184</v>
      </c>
      <c r="C79" s="10" t="s">
        <v>185</v>
      </c>
      <c r="D79" s="11" t="s">
        <v>51</v>
      </c>
      <c r="E79" s="11">
        <v>6</v>
      </c>
      <c r="F79" s="11" t="s">
        <v>19</v>
      </c>
      <c r="G79" s="11" t="s">
        <v>17</v>
      </c>
      <c r="H79" s="9"/>
      <c r="I79" s="11">
        <v>6</v>
      </c>
      <c r="J79" s="7">
        <f t="shared" si="2"/>
        <v>0</v>
      </c>
      <c r="K79" s="1" t="s">
        <v>324</v>
      </c>
    </row>
    <row r="80" spans="1:11" ht="30">
      <c r="A80" s="16" t="s">
        <v>183</v>
      </c>
      <c r="B80" s="9" t="s">
        <v>186</v>
      </c>
      <c r="C80" s="10" t="s">
        <v>187</v>
      </c>
      <c r="D80" s="11" t="s">
        <v>51</v>
      </c>
      <c r="E80" s="11">
        <v>3</v>
      </c>
      <c r="F80" s="11" t="s">
        <v>16</v>
      </c>
      <c r="G80" s="11" t="s">
        <v>17</v>
      </c>
      <c r="H80" s="9" t="s">
        <v>188</v>
      </c>
      <c r="I80" s="11"/>
      <c r="J80" s="7" t="str">
        <f t="shared" si="2"/>
        <v/>
      </c>
      <c r="K80" s="24" t="s">
        <v>325</v>
      </c>
    </row>
    <row r="81" spans="1:11" ht="30">
      <c r="A81" s="9" t="s">
        <v>189</v>
      </c>
      <c r="B81" s="9" t="s">
        <v>190</v>
      </c>
      <c r="C81" s="10">
        <v>943405</v>
      </c>
      <c r="D81" s="11" t="s">
        <v>191</v>
      </c>
      <c r="E81" s="11">
        <v>1</v>
      </c>
      <c r="F81" s="11" t="s">
        <v>19</v>
      </c>
      <c r="G81" s="11" t="s">
        <v>17</v>
      </c>
      <c r="H81" s="9" t="s">
        <v>170</v>
      </c>
      <c r="I81" s="11">
        <v>1</v>
      </c>
      <c r="J81" s="7">
        <f t="shared" si="2"/>
        <v>0</v>
      </c>
    </row>
    <row r="82" spans="1:11" ht="30">
      <c r="A82" s="9" t="s">
        <v>192</v>
      </c>
      <c r="B82" s="9" t="s">
        <v>193</v>
      </c>
      <c r="C82" s="10">
        <v>93444012</v>
      </c>
      <c r="D82" s="11" t="s">
        <v>194</v>
      </c>
      <c r="E82" s="11">
        <v>1</v>
      </c>
      <c r="F82" s="11" t="s">
        <v>19</v>
      </c>
      <c r="G82" s="11" t="s">
        <v>17</v>
      </c>
      <c r="H82" s="9"/>
      <c r="I82" s="11">
        <v>1</v>
      </c>
      <c r="J82" s="7">
        <f t="shared" si="2"/>
        <v>0</v>
      </c>
    </row>
    <row r="83" spans="1:11">
      <c r="A83" s="9" t="s">
        <v>192</v>
      </c>
      <c r="B83" s="9" t="s">
        <v>195</v>
      </c>
      <c r="C83" s="10">
        <v>13094006</v>
      </c>
      <c r="D83" s="11" t="s">
        <v>194</v>
      </c>
      <c r="E83" s="11">
        <v>1</v>
      </c>
      <c r="F83" s="11" t="s">
        <v>19</v>
      </c>
      <c r="G83" s="11" t="s">
        <v>17</v>
      </c>
      <c r="H83" s="9"/>
      <c r="I83" s="11">
        <v>1</v>
      </c>
      <c r="J83" s="7">
        <f t="shared" si="2"/>
        <v>0</v>
      </c>
    </row>
    <row r="84" spans="1:11">
      <c r="A84" s="9" t="s">
        <v>192</v>
      </c>
      <c r="B84" s="9" t="s">
        <v>196</v>
      </c>
      <c r="C84" s="10">
        <v>22944016</v>
      </c>
      <c r="D84" s="11" t="s">
        <v>194</v>
      </c>
      <c r="E84" s="11">
        <v>1</v>
      </c>
      <c r="F84" s="11" t="s">
        <v>19</v>
      </c>
      <c r="G84" s="11" t="s">
        <v>17</v>
      </c>
      <c r="H84" s="9"/>
      <c r="I84" s="11">
        <v>1</v>
      </c>
      <c r="J84" s="7">
        <f t="shared" si="2"/>
        <v>0</v>
      </c>
    </row>
    <row r="85" spans="1:11">
      <c r="A85" s="9" t="s">
        <v>192</v>
      </c>
      <c r="B85" s="9" t="s">
        <v>197</v>
      </c>
      <c r="C85" s="10">
        <v>13994006</v>
      </c>
      <c r="D85" s="11" t="s">
        <v>194</v>
      </c>
      <c r="E85" s="11">
        <v>1</v>
      </c>
      <c r="F85" s="11" t="s">
        <v>19</v>
      </c>
      <c r="G85" s="11" t="s">
        <v>17</v>
      </c>
      <c r="H85" s="9"/>
      <c r="I85" s="11">
        <v>1</v>
      </c>
      <c r="J85" s="7">
        <f t="shared" si="2"/>
        <v>0</v>
      </c>
    </row>
    <row r="86" spans="1:11" ht="30">
      <c r="A86" s="9" t="s">
        <v>192</v>
      </c>
      <c r="B86" s="9" t="s">
        <v>198</v>
      </c>
      <c r="C86" s="10">
        <v>13091001</v>
      </c>
      <c r="D86" s="11" t="s">
        <v>194</v>
      </c>
      <c r="E86" s="11">
        <v>1</v>
      </c>
      <c r="F86" s="11" t="s">
        <v>19</v>
      </c>
      <c r="G86" s="11" t="s">
        <v>17</v>
      </c>
      <c r="H86" s="9"/>
      <c r="I86" s="11">
        <v>1</v>
      </c>
      <c r="J86" s="7">
        <f t="shared" si="2"/>
        <v>0</v>
      </c>
    </row>
    <row r="87" spans="1:11">
      <c r="A87" s="9" t="s">
        <v>199</v>
      </c>
      <c r="B87" s="9" t="s">
        <v>200</v>
      </c>
      <c r="C87" s="10" t="s">
        <v>201</v>
      </c>
      <c r="D87" s="11" t="s">
        <v>51</v>
      </c>
      <c r="E87" s="11">
        <v>1</v>
      </c>
      <c r="F87" s="11" t="s">
        <v>19</v>
      </c>
      <c r="G87" s="11" t="s">
        <v>17</v>
      </c>
      <c r="H87" s="9"/>
      <c r="I87" s="11">
        <v>1</v>
      </c>
      <c r="J87" s="7">
        <f t="shared" si="2"/>
        <v>0</v>
      </c>
    </row>
    <row r="88" spans="1:11" ht="45">
      <c r="A88" s="9"/>
      <c r="B88" s="9" t="s">
        <v>202</v>
      </c>
      <c r="C88" s="10" t="s">
        <v>203</v>
      </c>
      <c r="D88" s="11" t="s">
        <v>51</v>
      </c>
      <c r="E88" s="11">
        <v>30</v>
      </c>
      <c r="F88" s="11" t="s">
        <v>19</v>
      </c>
      <c r="G88" s="11" t="s">
        <v>17</v>
      </c>
      <c r="H88" s="9" t="s">
        <v>204</v>
      </c>
      <c r="I88" s="11">
        <v>16</v>
      </c>
      <c r="J88" s="7">
        <f t="shared" si="2"/>
        <v>14</v>
      </c>
    </row>
    <row r="89" spans="1:11" ht="30">
      <c r="A89" s="9" t="s">
        <v>205</v>
      </c>
      <c r="B89" s="9" t="s">
        <v>206</v>
      </c>
      <c r="C89" s="10" t="s">
        <v>207</v>
      </c>
      <c r="D89" s="11" t="s">
        <v>51</v>
      </c>
      <c r="E89" s="11">
        <v>3</v>
      </c>
      <c r="F89" s="11" t="s">
        <v>19</v>
      </c>
      <c r="G89" s="11" t="s">
        <v>17</v>
      </c>
      <c r="H89" s="9"/>
      <c r="I89" s="11">
        <v>3</v>
      </c>
      <c r="J89" s="7">
        <f t="shared" si="2"/>
        <v>0</v>
      </c>
    </row>
    <row r="90" spans="1:11" ht="45">
      <c r="A90" s="9" t="s">
        <v>205</v>
      </c>
      <c r="B90" s="9" t="s">
        <v>208</v>
      </c>
      <c r="C90" s="10" t="s">
        <v>209</v>
      </c>
      <c r="D90" s="11" t="s">
        <v>51</v>
      </c>
      <c r="E90" s="11">
        <v>3</v>
      </c>
      <c r="F90" s="11" t="s">
        <v>19</v>
      </c>
      <c r="G90" s="11" t="s">
        <v>17</v>
      </c>
      <c r="H90" s="9"/>
      <c r="I90" s="11">
        <v>3</v>
      </c>
      <c r="J90" s="7">
        <f t="shared" si="2"/>
        <v>0</v>
      </c>
    </row>
    <row r="91" spans="1:11" ht="30">
      <c r="A91" s="9" t="s">
        <v>210</v>
      </c>
      <c r="B91" s="9" t="s">
        <v>211</v>
      </c>
      <c r="C91" s="10" t="s">
        <v>212</v>
      </c>
      <c r="D91" s="11" t="s">
        <v>51</v>
      </c>
      <c r="E91" s="11">
        <v>6</v>
      </c>
      <c r="F91" s="11" t="s">
        <v>19</v>
      </c>
      <c r="G91" s="11" t="s">
        <v>17</v>
      </c>
      <c r="H91" s="9"/>
      <c r="I91" s="11">
        <v>6</v>
      </c>
      <c r="J91" s="7">
        <f t="shared" si="2"/>
        <v>0</v>
      </c>
    </row>
    <row r="92" spans="1:11" ht="30">
      <c r="A92" s="9" t="s">
        <v>213</v>
      </c>
      <c r="B92" s="9" t="s">
        <v>214</v>
      </c>
      <c r="C92" s="10" t="s">
        <v>215</v>
      </c>
      <c r="D92" s="11" t="s">
        <v>51</v>
      </c>
      <c r="E92" s="11">
        <v>1</v>
      </c>
      <c r="F92" s="11" t="s">
        <v>19</v>
      </c>
      <c r="G92" s="11" t="s">
        <v>17</v>
      </c>
      <c r="H92" s="9"/>
      <c r="I92" s="11">
        <v>1</v>
      </c>
      <c r="J92" s="7">
        <f t="shared" si="2"/>
        <v>0</v>
      </c>
    </row>
    <row r="93" spans="1:11" ht="30">
      <c r="A93" s="9" t="s">
        <v>216</v>
      </c>
      <c r="B93" s="9" t="s">
        <v>217</v>
      </c>
      <c r="C93" s="10" t="s">
        <v>218</v>
      </c>
      <c r="D93" s="11" t="s">
        <v>51</v>
      </c>
      <c r="E93" s="11">
        <v>1</v>
      </c>
      <c r="F93" s="11" t="s">
        <v>19</v>
      </c>
      <c r="G93" s="11" t="s">
        <v>17</v>
      </c>
      <c r="H93" s="9"/>
      <c r="I93" s="11">
        <v>1</v>
      </c>
      <c r="J93" s="7">
        <f t="shared" si="2"/>
        <v>0</v>
      </c>
    </row>
    <row r="94" spans="1:11" ht="30">
      <c r="A94" s="9" t="s">
        <v>219</v>
      </c>
      <c r="B94" s="9" t="s">
        <v>220</v>
      </c>
      <c r="C94" s="10" t="s">
        <v>221</v>
      </c>
      <c r="D94" s="11" t="s">
        <v>51</v>
      </c>
      <c r="E94" s="11">
        <v>14</v>
      </c>
      <c r="F94" s="11" t="s">
        <v>19</v>
      </c>
      <c r="G94" s="11" t="s">
        <v>17</v>
      </c>
      <c r="H94" s="9"/>
      <c r="I94" s="11">
        <v>7</v>
      </c>
      <c r="J94" s="7">
        <f t="shared" si="2"/>
        <v>7</v>
      </c>
    </row>
    <row r="95" spans="1:11" ht="30">
      <c r="A95" s="9" t="s">
        <v>222</v>
      </c>
      <c r="B95" s="9" t="s">
        <v>223</v>
      </c>
      <c r="C95" s="10" t="s">
        <v>224</v>
      </c>
      <c r="D95" s="11" t="s">
        <v>51</v>
      </c>
      <c r="E95" s="11"/>
      <c r="F95" s="9"/>
      <c r="G95" s="11"/>
      <c r="H95" s="9" t="s">
        <v>225</v>
      </c>
      <c r="I95" s="11">
        <v>2</v>
      </c>
      <c r="J95" s="7">
        <f t="shared" si="2"/>
        <v>-2</v>
      </c>
      <c r="K95" t="s">
        <v>312</v>
      </c>
    </row>
    <row r="96" spans="1:11" ht="30">
      <c r="A96" s="9" t="s">
        <v>226</v>
      </c>
      <c r="B96" s="9" t="s">
        <v>227</v>
      </c>
      <c r="C96" s="10" t="s">
        <v>228</v>
      </c>
      <c r="D96" s="11" t="s">
        <v>51</v>
      </c>
      <c r="E96" s="11">
        <v>2</v>
      </c>
      <c r="F96" s="11" t="s">
        <v>19</v>
      </c>
      <c r="G96" s="11" t="s">
        <v>17</v>
      </c>
      <c r="H96" s="9"/>
      <c r="I96" s="11">
        <v>2</v>
      </c>
      <c r="J96" s="7">
        <f t="shared" si="2"/>
        <v>0</v>
      </c>
    </row>
    <row r="97" spans="1:11" ht="30">
      <c r="A97" s="9"/>
      <c r="B97" s="9" t="s">
        <v>229</v>
      </c>
      <c r="C97" s="10" t="s">
        <v>230</v>
      </c>
      <c r="D97" s="11" t="s">
        <v>51</v>
      </c>
      <c r="E97" s="11">
        <v>8</v>
      </c>
      <c r="F97" s="11" t="s">
        <v>19</v>
      </c>
      <c r="G97" s="11" t="s">
        <v>17</v>
      </c>
      <c r="H97" s="9" t="s">
        <v>231</v>
      </c>
      <c r="I97" s="11">
        <v>6</v>
      </c>
      <c r="J97" s="7">
        <f t="shared" si="2"/>
        <v>2</v>
      </c>
    </row>
    <row r="98" spans="1:11" ht="30">
      <c r="A98" s="9" t="s">
        <v>232</v>
      </c>
      <c r="B98" s="9" t="s">
        <v>233</v>
      </c>
      <c r="C98" s="10" t="s">
        <v>234</v>
      </c>
      <c r="D98" s="11" t="s">
        <v>51</v>
      </c>
      <c r="E98" s="11">
        <v>6</v>
      </c>
      <c r="F98" s="11" t="s">
        <v>19</v>
      </c>
      <c r="G98" s="11" t="s">
        <v>17</v>
      </c>
      <c r="H98" s="9"/>
      <c r="I98" s="11">
        <v>6</v>
      </c>
      <c r="J98" s="7">
        <f t="shared" si="2"/>
        <v>0</v>
      </c>
    </row>
    <row r="99" spans="1:11" ht="30">
      <c r="A99" s="9" t="s">
        <v>235</v>
      </c>
      <c r="B99" s="9" t="s">
        <v>236</v>
      </c>
      <c r="C99" s="10" t="s">
        <v>237</v>
      </c>
      <c r="D99" s="11" t="s">
        <v>51</v>
      </c>
      <c r="E99" s="11">
        <v>2</v>
      </c>
      <c r="F99" s="11" t="s">
        <v>19</v>
      </c>
      <c r="G99" s="11" t="s">
        <v>17</v>
      </c>
      <c r="H99" s="9"/>
      <c r="I99" s="11">
        <v>2</v>
      </c>
      <c r="J99" s="7">
        <f t="shared" ref="J99:J114" si="3">IF(ISBLANK(I99),"",E99-I99)</f>
        <v>0</v>
      </c>
    </row>
    <row r="100" spans="1:11" ht="45">
      <c r="A100" s="9" t="s">
        <v>235</v>
      </c>
      <c r="B100" s="9" t="s">
        <v>238</v>
      </c>
      <c r="C100" s="10">
        <v>29450</v>
      </c>
      <c r="D100" s="11" t="s">
        <v>51</v>
      </c>
      <c r="E100" s="11">
        <v>2</v>
      </c>
      <c r="F100" s="11" t="s">
        <v>19</v>
      </c>
      <c r="G100" s="11" t="s">
        <v>17</v>
      </c>
      <c r="H100" s="9" t="s">
        <v>188</v>
      </c>
      <c r="I100" s="11"/>
      <c r="J100" s="7" t="str">
        <f t="shared" si="3"/>
        <v/>
      </c>
      <c r="K100" s="24" t="s">
        <v>326</v>
      </c>
    </row>
    <row r="101" spans="1:11">
      <c r="A101" s="9" t="s">
        <v>239</v>
      </c>
      <c r="B101" s="9" t="s">
        <v>240</v>
      </c>
      <c r="C101" s="10" t="s">
        <v>241</v>
      </c>
      <c r="D101" s="11" t="s">
        <v>242</v>
      </c>
      <c r="E101" s="11">
        <v>2</v>
      </c>
      <c r="F101" s="11" t="s">
        <v>19</v>
      </c>
      <c r="G101" s="11" t="s">
        <v>17</v>
      </c>
      <c r="H101" s="9"/>
      <c r="I101" s="11">
        <v>2</v>
      </c>
      <c r="J101" s="7">
        <f t="shared" si="3"/>
        <v>0</v>
      </c>
    </row>
    <row r="102" spans="1:11">
      <c r="A102" s="9"/>
      <c r="B102" s="9" t="s">
        <v>243</v>
      </c>
      <c r="C102" s="10" t="s">
        <v>244</v>
      </c>
      <c r="D102" s="11" t="s">
        <v>242</v>
      </c>
      <c r="E102" s="11">
        <v>1</v>
      </c>
      <c r="F102" s="11" t="s">
        <v>19</v>
      </c>
      <c r="G102" s="11" t="s">
        <v>17</v>
      </c>
      <c r="H102" s="9"/>
      <c r="I102" s="11"/>
      <c r="J102" s="7" t="str">
        <f t="shared" si="3"/>
        <v/>
      </c>
      <c r="K102" t="s">
        <v>327</v>
      </c>
    </row>
    <row r="103" spans="1:11" ht="45">
      <c r="A103" s="9" t="s">
        <v>245</v>
      </c>
      <c r="B103" s="27" t="s">
        <v>246</v>
      </c>
      <c r="C103" s="10" t="s">
        <v>247</v>
      </c>
      <c r="D103" s="11" t="s">
        <v>248</v>
      </c>
      <c r="E103" s="11">
        <v>1</v>
      </c>
      <c r="F103" s="11" t="s">
        <v>19</v>
      </c>
      <c r="G103" s="11" t="s">
        <v>17</v>
      </c>
      <c r="H103" s="15" t="s">
        <v>249</v>
      </c>
      <c r="I103" s="11"/>
      <c r="J103" s="7" t="str">
        <f t="shared" si="3"/>
        <v/>
      </c>
      <c r="K103" s="24" t="s">
        <v>329</v>
      </c>
    </row>
    <row r="104" spans="1:11" ht="45">
      <c r="A104" s="28" t="s">
        <v>250</v>
      </c>
      <c r="B104" s="9" t="s">
        <v>251</v>
      </c>
      <c r="C104" s="10" t="s">
        <v>247</v>
      </c>
      <c r="D104" s="11" t="s">
        <v>248</v>
      </c>
      <c r="E104" s="11"/>
      <c r="F104" s="11"/>
      <c r="G104" s="11"/>
      <c r="H104" s="9" t="s">
        <v>252</v>
      </c>
      <c r="I104" s="11">
        <v>1</v>
      </c>
      <c r="J104" s="7">
        <f t="shared" si="3"/>
        <v>-1</v>
      </c>
      <c r="K104" t="s">
        <v>328</v>
      </c>
    </row>
    <row r="105" spans="1:11" ht="30">
      <c r="A105" s="9" t="s">
        <v>253</v>
      </c>
      <c r="B105" s="9" t="s">
        <v>254</v>
      </c>
      <c r="C105" s="10">
        <v>2864011</v>
      </c>
      <c r="D105" s="11" t="s">
        <v>134</v>
      </c>
      <c r="E105" s="11">
        <v>2</v>
      </c>
      <c r="F105" s="11" t="s">
        <v>19</v>
      </c>
      <c r="G105" s="11" t="s">
        <v>17</v>
      </c>
      <c r="H105" s="9"/>
      <c r="I105" s="11">
        <v>2</v>
      </c>
      <c r="J105" s="7">
        <f t="shared" si="3"/>
        <v>0</v>
      </c>
    </row>
    <row r="106" spans="1:11" ht="30">
      <c r="A106" s="9" t="s">
        <v>255</v>
      </c>
      <c r="B106" s="9" t="s">
        <v>256</v>
      </c>
      <c r="C106" s="10" t="s">
        <v>257</v>
      </c>
      <c r="D106" s="11" t="s">
        <v>258</v>
      </c>
      <c r="E106" s="11">
        <v>2</v>
      </c>
      <c r="F106" s="11" t="s">
        <v>19</v>
      </c>
      <c r="G106" s="12" t="s">
        <v>103</v>
      </c>
      <c r="H106" s="9" t="s">
        <v>259</v>
      </c>
      <c r="I106" s="11"/>
      <c r="J106" s="7" t="str">
        <f t="shared" si="3"/>
        <v/>
      </c>
      <c r="K106" t="s">
        <v>330</v>
      </c>
    </row>
    <row r="107" spans="1:11" ht="90">
      <c r="A107" s="9" t="s">
        <v>260</v>
      </c>
      <c r="B107" s="9" t="s">
        <v>261</v>
      </c>
      <c r="C107" s="10" t="s">
        <v>262</v>
      </c>
      <c r="D107" s="11" t="s">
        <v>116</v>
      </c>
      <c r="E107" s="11">
        <v>5</v>
      </c>
      <c r="F107" s="11" t="s">
        <v>19</v>
      </c>
      <c r="G107" s="13" t="s">
        <v>17</v>
      </c>
      <c r="H107" s="15" t="s">
        <v>263</v>
      </c>
      <c r="I107" s="11"/>
      <c r="J107" s="7" t="str">
        <f t="shared" si="3"/>
        <v/>
      </c>
      <c r="K107" s="1" t="s">
        <v>331</v>
      </c>
    </row>
    <row r="108" spans="1:11" ht="60">
      <c r="A108" s="9" t="s">
        <v>264</v>
      </c>
      <c r="B108" s="9" t="s">
        <v>265</v>
      </c>
      <c r="C108" s="29" t="s">
        <v>332</v>
      </c>
      <c r="D108" s="11" t="s">
        <v>116</v>
      </c>
      <c r="E108" s="11">
        <v>13</v>
      </c>
      <c r="F108" s="11" t="s">
        <v>19</v>
      </c>
      <c r="G108" s="13" t="s">
        <v>17</v>
      </c>
      <c r="H108" s="9" t="s">
        <v>266</v>
      </c>
      <c r="I108" s="11">
        <v>9</v>
      </c>
      <c r="J108" s="7">
        <f t="shared" si="3"/>
        <v>4</v>
      </c>
    </row>
    <row r="109" spans="1:11" ht="60">
      <c r="A109" s="9" t="s">
        <v>264</v>
      </c>
      <c r="B109" s="9" t="s">
        <v>267</v>
      </c>
      <c r="C109" s="10" t="s">
        <v>268</v>
      </c>
      <c r="D109" s="11" t="s">
        <v>116</v>
      </c>
      <c r="E109" s="11">
        <v>13</v>
      </c>
      <c r="F109" s="11" t="s">
        <v>19</v>
      </c>
      <c r="G109" s="13" t="s">
        <v>17</v>
      </c>
      <c r="H109" s="9" t="s">
        <v>266</v>
      </c>
      <c r="I109" s="11">
        <v>9</v>
      </c>
      <c r="J109" s="7">
        <f t="shared" si="3"/>
        <v>4</v>
      </c>
    </row>
    <row r="110" spans="1:11" ht="45">
      <c r="A110" s="9" t="s">
        <v>269</v>
      </c>
      <c r="B110" s="9" t="s">
        <v>270</v>
      </c>
      <c r="C110" s="10" t="s">
        <v>271</v>
      </c>
      <c r="D110" s="11" t="s">
        <v>116</v>
      </c>
      <c r="E110" s="11">
        <v>6</v>
      </c>
      <c r="F110" s="11" t="s">
        <v>19</v>
      </c>
      <c r="G110" s="13" t="s">
        <v>17</v>
      </c>
      <c r="H110" s="18" t="s">
        <v>272</v>
      </c>
      <c r="I110" s="11"/>
      <c r="J110" s="7" t="str">
        <f t="shared" si="3"/>
        <v/>
      </c>
      <c r="K110" t="s">
        <v>333</v>
      </c>
    </row>
    <row r="111" spans="1:11" ht="45">
      <c r="A111" s="9" t="s">
        <v>273</v>
      </c>
      <c r="B111" s="9" t="s">
        <v>274</v>
      </c>
      <c r="C111" s="10" t="s">
        <v>275</v>
      </c>
      <c r="D111" s="11" t="s">
        <v>116</v>
      </c>
      <c r="E111" s="11">
        <v>3</v>
      </c>
      <c r="F111" s="11" t="s">
        <v>19</v>
      </c>
      <c r="G111" s="13" t="s">
        <v>17</v>
      </c>
      <c r="H111" s="18" t="s">
        <v>272</v>
      </c>
      <c r="I111" s="11"/>
      <c r="J111" s="7" t="str">
        <f t="shared" si="3"/>
        <v/>
      </c>
      <c r="K111" s="1" t="s">
        <v>334</v>
      </c>
    </row>
    <row r="112" spans="1:11" ht="45">
      <c r="A112" s="9" t="s">
        <v>276</v>
      </c>
      <c r="B112" s="9" t="s">
        <v>277</v>
      </c>
      <c r="C112" s="10" t="s">
        <v>278</v>
      </c>
      <c r="D112" s="11" t="s">
        <v>279</v>
      </c>
      <c r="E112" s="11">
        <v>1</v>
      </c>
      <c r="F112" s="11" t="s">
        <v>19</v>
      </c>
      <c r="G112" s="11" t="s">
        <v>17</v>
      </c>
      <c r="H112" s="9"/>
      <c r="I112" s="11">
        <v>1</v>
      </c>
      <c r="J112" s="7">
        <f t="shared" si="3"/>
        <v>0</v>
      </c>
      <c r="K112" s="1"/>
    </row>
    <row r="113" spans="1:11" ht="60">
      <c r="A113" s="9" t="s">
        <v>280</v>
      </c>
      <c r="B113" s="9" t="s">
        <v>281</v>
      </c>
      <c r="C113" s="10" t="s">
        <v>282</v>
      </c>
      <c r="D113" s="11" t="s">
        <v>279</v>
      </c>
      <c r="E113" s="11">
        <v>5</v>
      </c>
      <c r="F113" s="11" t="s">
        <v>19</v>
      </c>
      <c r="G113" s="11" t="s">
        <v>17</v>
      </c>
      <c r="H113" s="9" t="s">
        <v>283</v>
      </c>
      <c r="I113" s="11">
        <v>7</v>
      </c>
      <c r="J113" s="7">
        <f t="shared" si="3"/>
        <v>-2</v>
      </c>
      <c r="K113" s="30" t="s">
        <v>335</v>
      </c>
    </row>
    <row r="114" spans="1:11" ht="90">
      <c r="A114" s="9" t="s">
        <v>284</v>
      </c>
      <c r="B114" s="9" t="s">
        <v>285</v>
      </c>
      <c r="C114" s="10" t="s">
        <v>286</v>
      </c>
      <c r="D114" s="11" t="s">
        <v>279</v>
      </c>
      <c r="E114" s="11">
        <v>2</v>
      </c>
      <c r="F114" s="11" t="s">
        <v>19</v>
      </c>
      <c r="G114" s="11" t="s">
        <v>17</v>
      </c>
      <c r="H114" s="9"/>
      <c r="I114" s="11">
        <v>2</v>
      </c>
      <c r="J114" s="7">
        <f t="shared" si="3"/>
        <v>0</v>
      </c>
    </row>
    <row r="115" spans="1:11">
      <c r="A115" s="9"/>
      <c r="B115" s="9"/>
      <c r="C115" s="10"/>
      <c r="D115" s="11"/>
      <c r="E115" s="11"/>
      <c r="F115" s="11"/>
      <c r="G115" s="11"/>
      <c r="H115" s="9"/>
      <c r="I115" s="11"/>
      <c r="J115" s="7"/>
    </row>
    <row r="116" spans="1:11" ht="45">
      <c r="A116" s="9"/>
      <c r="B116" s="9" t="s">
        <v>287</v>
      </c>
      <c r="C116" s="10" t="s">
        <v>288</v>
      </c>
      <c r="D116" s="11" t="s">
        <v>15</v>
      </c>
      <c r="E116" s="11">
        <v>1</v>
      </c>
      <c r="F116" s="11" t="s">
        <v>19</v>
      </c>
      <c r="G116" s="11" t="s">
        <v>17</v>
      </c>
      <c r="H116" s="9"/>
      <c r="I116" s="11"/>
      <c r="J116" s="7" t="str">
        <f t="shared" ref="J116:J123" si="4">IF(ISBLANK(I116),"",E116-I116)</f>
        <v/>
      </c>
    </row>
    <row r="117" spans="1:11" ht="30">
      <c r="A117" s="9" t="s">
        <v>289</v>
      </c>
      <c r="B117" s="9" t="s">
        <v>290</v>
      </c>
      <c r="C117" s="10" t="s">
        <v>291</v>
      </c>
      <c r="D117" s="11" t="s">
        <v>15</v>
      </c>
      <c r="E117" s="11">
        <v>1</v>
      </c>
      <c r="F117" s="11" t="s">
        <v>19</v>
      </c>
      <c r="G117" s="11" t="s">
        <v>17</v>
      </c>
      <c r="H117" s="9"/>
      <c r="I117" s="11"/>
      <c r="J117" s="7" t="str">
        <f t="shared" si="4"/>
        <v/>
      </c>
    </row>
    <row r="118" spans="1:11" ht="30">
      <c r="A118" s="9"/>
      <c r="B118" s="9" t="s">
        <v>124</v>
      </c>
      <c r="C118" s="10">
        <v>1020100000</v>
      </c>
      <c r="D118" s="11" t="s">
        <v>100</v>
      </c>
      <c r="E118" s="11">
        <v>1</v>
      </c>
      <c r="F118" s="11" t="s">
        <v>16</v>
      </c>
      <c r="G118" s="11" t="s">
        <v>17</v>
      </c>
      <c r="H118" s="9"/>
      <c r="I118" s="11"/>
      <c r="J118" s="7" t="str">
        <f t="shared" si="4"/>
        <v/>
      </c>
    </row>
    <row r="119" spans="1:11">
      <c r="A119" s="9" t="s">
        <v>292</v>
      </c>
      <c r="B119" s="9" t="s">
        <v>293</v>
      </c>
      <c r="C119" s="14" t="s">
        <v>294</v>
      </c>
      <c r="D119" s="11" t="s">
        <v>15</v>
      </c>
      <c r="E119" s="11">
        <v>1</v>
      </c>
      <c r="F119" s="11" t="s">
        <v>19</v>
      </c>
      <c r="G119" s="12" t="s">
        <v>103</v>
      </c>
      <c r="H119" s="9" t="s">
        <v>295</v>
      </c>
      <c r="I119" s="11"/>
      <c r="J119" s="7" t="str">
        <f t="shared" si="4"/>
        <v/>
      </c>
    </row>
    <row r="120" spans="1:11">
      <c r="A120" s="9" t="s">
        <v>37</v>
      </c>
      <c r="B120" s="9" t="s">
        <v>296</v>
      </c>
      <c r="C120" s="14" t="s">
        <v>297</v>
      </c>
      <c r="D120" s="11" t="s">
        <v>15</v>
      </c>
      <c r="E120" s="11">
        <v>1</v>
      </c>
      <c r="F120" s="11" t="s">
        <v>19</v>
      </c>
      <c r="G120" s="12" t="s">
        <v>103</v>
      </c>
      <c r="H120" s="9" t="s">
        <v>295</v>
      </c>
      <c r="I120" s="11"/>
      <c r="J120" s="7" t="str">
        <f t="shared" si="4"/>
        <v/>
      </c>
    </row>
    <row r="121" spans="1:11">
      <c r="A121" s="9" t="s">
        <v>46</v>
      </c>
      <c r="B121" s="9" t="s">
        <v>298</v>
      </c>
      <c r="C121" s="10" t="s">
        <v>299</v>
      </c>
      <c r="D121" s="11" t="s">
        <v>15</v>
      </c>
      <c r="E121" s="11">
        <v>1</v>
      </c>
      <c r="F121" s="11" t="s">
        <v>19</v>
      </c>
      <c r="G121" s="12" t="s">
        <v>103</v>
      </c>
      <c r="H121" s="9" t="s">
        <v>295</v>
      </c>
      <c r="I121" s="11"/>
      <c r="J121" s="7" t="str">
        <f t="shared" si="4"/>
        <v/>
      </c>
    </row>
    <row r="122" spans="1:11">
      <c r="A122" s="9" t="s">
        <v>300</v>
      </c>
      <c r="B122" s="9" t="s">
        <v>301</v>
      </c>
      <c r="C122" s="10" t="s">
        <v>302</v>
      </c>
      <c r="D122" s="11" t="s">
        <v>15</v>
      </c>
      <c r="E122" s="11">
        <v>1</v>
      </c>
      <c r="F122" s="11" t="s">
        <v>19</v>
      </c>
      <c r="G122" s="12" t="s">
        <v>103</v>
      </c>
      <c r="H122" s="9" t="s">
        <v>295</v>
      </c>
      <c r="I122" s="11"/>
      <c r="J122" s="7" t="str">
        <f t="shared" si="4"/>
        <v/>
      </c>
    </row>
    <row r="123" spans="1:11">
      <c r="A123" s="9" t="s">
        <v>303</v>
      </c>
      <c r="B123" s="9" t="s">
        <v>304</v>
      </c>
      <c r="C123" s="10" t="s">
        <v>305</v>
      </c>
      <c r="D123" s="11" t="s">
        <v>15</v>
      </c>
      <c r="E123" s="11">
        <v>1</v>
      </c>
      <c r="F123" s="11" t="s">
        <v>19</v>
      </c>
      <c r="G123" s="12" t="s">
        <v>103</v>
      </c>
      <c r="H123" s="9" t="s">
        <v>295</v>
      </c>
      <c r="I123" s="11"/>
      <c r="J123" s="7" t="str">
        <f t="shared" si="4"/>
        <v/>
      </c>
    </row>
    <row r="124" spans="1:11">
      <c r="A124" s="9"/>
      <c r="B124" s="9"/>
      <c r="C124" s="10"/>
      <c r="D124" s="11"/>
      <c r="E124" s="11"/>
      <c r="F124" s="11"/>
      <c r="G124" s="11"/>
      <c r="H124" s="9"/>
      <c r="I124" s="17"/>
      <c r="J124" s="7"/>
    </row>
    <row r="125" spans="1:11" ht="226.9" customHeight="1">
      <c r="A125" s="20"/>
      <c r="B125" s="22" t="s">
        <v>306</v>
      </c>
      <c r="C125" s="21" t="s">
        <v>307</v>
      </c>
      <c r="D125" s="19" t="s">
        <v>51</v>
      </c>
      <c r="E125" s="23">
        <v>1</v>
      </c>
      <c r="F125" s="19" t="s">
        <v>16</v>
      </c>
      <c r="G125" s="19" t="s">
        <v>17</v>
      </c>
      <c r="H125" s="20"/>
      <c r="I125" s="20"/>
      <c r="J125" s="21" t="str">
        <f>IF(ISBLANK(I125), "", E125-I125)</f>
        <v/>
      </c>
    </row>
    <row r="126" spans="1:11" ht="226.9" customHeight="1">
      <c r="A126" s="20"/>
      <c r="B126" s="22"/>
      <c r="C126" s="21"/>
      <c r="D126" s="19"/>
      <c r="E126" s="23"/>
      <c r="F126" s="19"/>
      <c r="G126" s="19"/>
      <c r="H126" s="20"/>
      <c r="I126" s="20"/>
      <c r="J126" s="21"/>
    </row>
  </sheetData>
  <autoFilter ref="B1:F116" xr:uid="{22550ED4-55A0-4F53-98B1-D10F42FD3934}"/>
  <mergeCells count="10">
    <mergeCell ref="G125:G126"/>
    <mergeCell ref="H125:H126"/>
    <mergeCell ref="I125:I126"/>
    <mergeCell ref="J125:J126"/>
    <mergeCell ref="A125:A126"/>
    <mergeCell ref="B125:B126"/>
    <mergeCell ref="C125:C126"/>
    <mergeCell ref="D125:D126"/>
    <mergeCell ref="E125:E126"/>
    <mergeCell ref="F125:F126"/>
  </mergeCells>
  <conditionalFormatting sqref="J1:J33 J127:J1048576 J35:J125">
    <cfRule type="cellIs" dxfId="0" priority="1" stopIfTrue="1" operator="lessThan">
      <formula>0</formula>
    </cfRule>
  </conditionalFormatting>
  <pageMargins left="0.70000000000000007" right="0.70000000000000007" top="0.75" bottom="0.75" header="0.30000000000000004" footer="0.30000000000000004"/>
  <pageSetup paperSize="0" fitToWidth="0" fitToHeight="0" orientation="portrait" horizontalDpi="0" verticalDpi="0" copie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Zadaci</vt:lpstr>
      <vt:lpstr>Specifikacija_opreme_-_HEP-v2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Patrik</dc:creator>
  <cp:lastModifiedBy>Patrik Kovač</cp:lastModifiedBy>
  <dcterms:created xsi:type="dcterms:W3CDTF">2015-06-05T18:17:20Z</dcterms:created>
  <dcterms:modified xsi:type="dcterms:W3CDTF">2026-08-11T12:06:29Z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0x01010056770EA2D3243A4E871C258C6397ABCA</vt:lpwstr>
  </property>
  <property fmtid="{D5CDD505-2E9C-101B-9397-08002B2CF9AE}" pid="3" name="MediaServiceImageTags">
    <vt:lpwstr/>
  </property>
</Properties>
</file>