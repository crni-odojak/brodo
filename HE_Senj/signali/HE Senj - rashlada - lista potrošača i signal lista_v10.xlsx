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brodotehna.sharepoint.com/Zajednicki dokumenti/PROJECTS/2026/26004_HE Senj - sustav dobave rashladne vode/Tehnička priprema/"/>
    </mc:Choice>
  </mc:AlternateContent>
  <xr:revisionPtr revIDLastSave="151" documentId="8_{EA66CD68-23CA-4316-91C5-77B3CC133A5D}" xr6:coauthVersionLast="47" xr6:coauthVersionMax="47" xr10:uidLastSave="{C91E1261-98DF-47E1-8922-04F0BAC6859D}"/>
  <bookViews>
    <workbookView xWindow="-120" yWindow="-120" windowWidth="29040" windowHeight="17520" activeTab="5" xr2:uid="{00000000-000D-0000-FFFF-FFFF00000000}"/>
  </bookViews>
  <sheets>
    <sheet name="+Y BJP12 - specifikacija" sheetId="2" r:id="rId1"/>
    <sheet name="Motors &amp; sensors list" sheetId="12" r:id="rId2"/>
    <sheet name="lampice i tipkala" sheetId="18" r:id="rId3"/>
    <sheet name="+Y BJP14 - lista izvoda - PK" sheetId="11" r:id="rId4"/>
    <sheet name="revision list" sheetId="23" r:id="rId5"/>
    <sheet name="+Y CDP01 - simbol lista - PK" sheetId="10" r:id="rId6"/>
    <sheet name="+Y CDP01 - lista izvoda - PK" sheetId="16" r:id="rId7"/>
    <sheet name="Specifikacija opreme" sheetId="15" r:id="rId8"/>
    <sheet name="Specifikacija opreme - HEP-v2" sheetId="22" r:id="rId9"/>
    <sheet name="Specifikacija i oznake kabela" sheetId="21" r:id="rId10"/>
    <sheet name="Upute za projektiranje" sheetId="19" r:id="rId11"/>
    <sheet name="E6-1" sheetId="13" r:id="rId12"/>
    <sheet name="E12.3-1" sheetId="14" r:id="rId13"/>
  </sheets>
  <definedNames>
    <definedName name="_xlnm._FilterDatabase" localSheetId="7" hidden="1">'Specifikacija opreme'!$B$1:$G$106</definedName>
    <definedName name="_xlnm._FilterDatabase" localSheetId="8" hidden="1">'Specifikacija opreme - HEP-v2'!$B$3:$F$118</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5  Page 2   3_1f55d95d-4d60-4da8-a6e3-ffdd3f6d5d7d" name="Table005  Page 2   3" connection="Query - Table005 (Page 2) (3)"/>
          <x15:modelTable id="Table007  Page 3_417d852f-14a2-4e4d-8a20-11e621ec27c7" name="Table007  Page 3" connection="Query - Table007 (Page 3)"/>
          <x15:modelTable id="Table009  Page 4_2ccbcca8-c21b-4330-b2f5-9440d52ec189" name="Table009  Page 4" connection="Query - Table009 (Page 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2" i="22" l="1"/>
  <c r="L122" i="22"/>
  <c r="M122" i="22"/>
  <c r="K123" i="22"/>
  <c r="L123" i="22"/>
  <c r="M123" i="22"/>
  <c r="J123" i="22"/>
  <c r="J122" i="22"/>
  <c r="J118" i="22"/>
  <c r="J119" i="22"/>
  <c r="J120" i="22"/>
  <c r="J121" i="22"/>
  <c r="L119" i="22"/>
  <c r="M119" i="22"/>
  <c r="L120" i="22"/>
  <c r="M120" i="22"/>
  <c r="L121" i="22"/>
  <c r="M121" i="22"/>
  <c r="K119" i="22"/>
  <c r="K120" i="22"/>
  <c r="K121" i="22"/>
  <c r="M127" i="22"/>
  <c r="L127" i="22"/>
  <c r="K127" i="22"/>
  <c r="K50" i="22"/>
  <c r="M50" i="22"/>
  <c r="L50" i="22"/>
  <c r="K109" i="22"/>
  <c r="M109" i="22"/>
  <c r="L109" i="22"/>
  <c r="J109" i="22"/>
  <c r="J50" i="22"/>
  <c r="K108" i="22"/>
  <c r="M108" i="22"/>
  <c r="L108" i="22"/>
  <c r="J108" i="22"/>
  <c r="J45" i="22"/>
  <c r="K45" i="22"/>
  <c r="M117" i="22"/>
  <c r="M118" i="22"/>
  <c r="M116"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80" i="22"/>
  <c r="M81" i="22"/>
  <c r="M82" i="22"/>
  <c r="M83" i="22"/>
  <c r="M84" i="22"/>
  <c r="M85" i="22"/>
  <c r="M86" i="22"/>
  <c r="M87" i="22"/>
  <c r="M88" i="22"/>
  <c r="M89" i="22"/>
  <c r="M90" i="22"/>
  <c r="M91" i="22"/>
  <c r="M92" i="22"/>
  <c r="M93" i="22"/>
  <c r="M94" i="22"/>
  <c r="M95" i="22"/>
  <c r="M96" i="22"/>
  <c r="M97" i="22"/>
  <c r="M98" i="22"/>
  <c r="M99" i="22"/>
  <c r="M100" i="22"/>
  <c r="M101" i="22"/>
  <c r="M102" i="22"/>
  <c r="M103" i="22"/>
  <c r="M104" i="22"/>
  <c r="M105" i="22"/>
  <c r="M106" i="22"/>
  <c r="M107" i="22"/>
  <c r="M110" i="22"/>
  <c r="M111" i="22"/>
  <c r="M112" i="22"/>
  <c r="M4" i="22"/>
  <c r="L45" i="22"/>
  <c r="L118" i="22"/>
  <c r="K118" i="22"/>
  <c r="L117" i="22"/>
  <c r="K117" i="22"/>
  <c r="J117" i="22"/>
  <c r="L116" i="22"/>
  <c r="K116" i="22"/>
  <c r="J116" i="22"/>
  <c r="L112" i="22"/>
  <c r="K112" i="22"/>
  <c r="J112" i="22"/>
  <c r="L111" i="22"/>
  <c r="K111" i="22"/>
  <c r="J111" i="22"/>
  <c r="L110" i="22"/>
  <c r="K110" i="22"/>
  <c r="J110" i="22"/>
  <c r="L107" i="22"/>
  <c r="K107" i="22"/>
  <c r="J107" i="22"/>
  <c r="L106" i="22"/>
  <c r="K106" i="22"/>
  <c r="J106" i="22"/>
  <c r="L105" i="22"/>
  <c r="K105" i="22"/>
  <c r="J105" i="22"/>
  <c r="L104" i="22"/>
  <c r="K104" i="22"/>
  <c r="J104" i="22"/>
  <c r="L103" i="22"/>
  <c r="K103" i="22"/>
  <c r="J103" i="22"/>
  <c r="L102" i="22"/>
  <c r="K102" i="22"/>
  <c r="J102" i="22"/>
  <c r="L101" i="22"/>
  <c r="K101" i="22"/>
  <c r="J101" i="22"/>
  <c r="L100" i="22"/>
  <c r="K100" i="22"/>
  <c r="J100" i="22"/>
  <c r="L99" i="22"/>
  <c r="K99" i="22"/>
  <c r="J99" i="22"/>
  <c r="L98" i="22"/>
  <c r="K98" i="22"/>
  <c r="J98" i="22"/>
  <c r="L97" i="22"/>
  <c r="K97" i="22"/>
  <c r="J97" i="22"/>
  <c r="L96" i="22"/>
  <c r="K96" i="22"/>
  <c r="J96" i="22"/>
  <c r="L95" i="22"/>
  <c r="K95" i="22"/>
  <c r="J95" i="22"/>
  <c r="L94" i="22"/>
  <c r="K94" i="22"/>
  <c r="J94" i="22"/>
  <c r="L93" i="22"/>
  <c r="K93" i="22"/>
  <c r="J93" i="22"/>
  <c r="L92" i="22"/>
  <c r="K92" i="22"/>
  <c r="J92" i="22"/>
  <c r="L91" i="22"/>
  <c r="K91" i="22"/>
  <c r="J91" i="22"/>
  <c r="L90" i="22"/>
  <c r="K90" i="22"/>
  <c r="J90" i="22"/>
  <c r="L89" i="22"/>
  <c r="K89" i="22"/>
  <c r="J89" i="22"/>
  <c r="L88" i="22"/>
  <c r="K88" i="22"/>
  <c r="J88" i="22"/>
  <c r="L87" i="22"/>
  <c r="K87" i="22"/>
  <c r="J87" i="22"/>
  <c r="L86" i="22"/>
  <c r="K86" i="22"/>
  <c r="J86" i="22"/>
  <c r="L85" i="22"/>
  <c r="K85" i="22"/>
  <c r="J85" i="22"/>
  <c r="L84" i="22"/>
  <c r="K84" i="22"/>
  <c r="J84" i="22"/>
  <c r="L83" i="22"/>
  <c r="K83" i="22"/>
  <c r="J83" i="22"/>
  <c r="L82" i="22"/>
  <c r="K82" i="22"/>
  <c r="J82" i="22"/>
  <c r="L81" i="22"/>
  <c r="K81" i="22"/>
  <c r="J81" i="22"/>
  <c r="L80" i="22"/>
  <c r="K80" i="22"/>
  <c r="J80" i="22"/>
  <c r="L79" i="22"/>
  <c r="K79" i="22"/>
  <c r="J79" i="22"/>
  <c r="L78" i="22"/>
  <c r="K78" i="22"/>
  <c r="J78" i="22"/>
  <c r="L77" i="22"/>
  <c r="K77" i="22"/>
  <c r="J77" i="22"/>
  <c r="L76" i="22"/>
  <c r="K76" i="22"/>
  <c r="J76" i="22"/>
  <c r="L75" i="22"/>
  <c r="K75" i="22"/>
  <c r="J75" i="22"/>
  <c r="L74" i="22"/>
  <c r="K74" i="22"/>
  <c r="J74" i="22"/>
  <c r="L73" i="22"/>
  <c r="K73" i="22"/>
  <c r="J73" i="22"/>
  <c r="L72" i="22"/>
  <c r="K72" i="22"/>
  <c r="J72" i="22"/>
  <c r="L71" i="22"/>
  <c r="K71" i="22"/>
  <c r="J71" i="22"/>
  <c r="L70" i="22"/>
  <c r="K70" i="22"/>
  <c r="J70" i="22"/>
  <c r="L69" i="22"/>
  <c r="K69" i="22"/>
  <c r="J69" i="22"/>
  <c r="L68" i="22"/>
  <c r="K68" i="22"/>
  <c r="J68" i="22"/>
  <c r="L67" i="22"/>
  <c r="K67" i="22"/>
  <c r="J67" i="22"/>
  <c r="L66" i="22"/>
  <c r="K66" i="22"/>
  <c r="J66" i="22"/>
  <c r="L65" i="22"/>
  <c r="K65" i="22"/>
  <c r="J65" i="22"/>
  <c r="L64" i="22"/>
  <c r="K64" i="22"/>
  <c r="J64" i="22"/>
  <c r="L63" i="22"/>
  <c r="K63" i="22"/>
  <c r="J63" i="22"/>
  <c r="L62" i="22"/>
  <c r="K62" i="22"/>
  <c r="J62" i="22"/>
  <c r="L61" i="22"/>
  <c r="K61" i="22"/>
  <c r="J61" i="22"/>
  <c r="L60" i="22"/>
  <c r="K60" i="22"/>
  <c r="J60" i="22"/>
  <c r="L59" i="22"/>
  <c r="K59" i="22"/>
  <c r="J59" i="22"/>
  <c r="L58" i="22"/>
  <c r="K58" i="22"/>
  <c r="J58" i="22"/>
  <c r="L57" i="22"/>
  <c r="K57" i="22"/>
  <c r="J57" i="22"/>
  <c r="L56" i="22"/>
  <c r="K56" i="22"/>
  <c r="J56" i="22"/>
  <c r="L55" i="22"/>
  <c r="K55" i="22"/>
  <c r="J55" i="22"/>
  <c r="L54" i="22"/>
  <c r="K54" i="22"/>
  <c r="J54" i="22"/>
  <c r="L53" i="22"/>
  <c r="K53" i="22"/>
  <c r="J53" i="22"/>
  <c r="L52" i="22"/>
  <c r="K52" i="22"/>
  <c r="J52" i="22"/>
  <c r="L51" i="22"/>
  <c r="K51" i="22"/>
  <c r="J51" i="22"/>
  <c r="L49" i="22"/>
  <c r="K49" i="22"/>
  <c r="J49" i="22"/>
  <c r="L48" i="22"/>
  <c r="K48" i="22"/>
  <c r="J48" i="22"/>
  <c r="L47" i="22"/>
  <c r="K47" i="22"/>
  <c r="J47" i="22"/>
  <c r="L46" i="22"/>
  <c r="K46" i="22"/>
  <c r="J46" i="22"/>
  <c r="L44" i="22"/>
  <c r="K44" i="22"/>
  <c r="J44" i="22"/>
  <c r="L43" i="22"/>
  <c r="K43" i="22"/>
  <c r="J43" i="22"/>
  <c r="L42" i="22"/>
  <c r="K42" i="22"/>
  <c r="J42" i="22"/>
  <c r="L41" i="22"/>
  <c r="K41" i="22"/>
  <c r="J41" i="22"/>
  <c r="L40" i="22"/>
  <c r="K40" i="22"/>
  <c r="J40" i="22"/>
  <c r="L39" i="22"/>
  <c r="K39" i="22"/>
  <c r="J39" i="22"/>
  <c r="L38" i="22"/>
  <c r="K38" i="22"/>
  <c r="J38" i="22"/>
  <c r="L37" i="22"/>
  <c r="K37" i="22"/>
  <c r="J37" i="22"/>
  <c r="L36" i="22"/>
  <c r="K36" i="22"/>
  <c r="J36" i="22"/>
  <c r="L35" i="22"/>
  <c r="K35" i="22"/>
  <c r="J35" i="22"/>
  <c r="L34" i="22"/>
  <c r="K34" i="22"/>
  <c r="J34" i="22"/>
  <c r="L33" i="22"/>
  <c r="K33" i="22"/>
  <c r="J33" i="22"/>
  <c r="L32" i="22"/>
  <c r="K32" i="22"/>
  <c r="J32" i="22"/>
  <c r="L31" i="22"/>
  <c r="K31" i="22"/>
  <c r="J31" i="22"/>
  <c r="L30" i="22"/>
  <c r="K30" i="22"/>
  <c r="J30" i="22"/>
  <c r="L29" i="22"/>
  <c r="K29" i="22"/>
  <c r="J29" i="22"/>
  <c r="L28" i="22"/>
  <c r="K28" i="22"/>
  <c r="J28" i="22"/>
  <c r="L27" i="22"/>
  <c r="K27" i="22"/>
  <c r="J27" i="22"/>
  <c r="L26" i="22"/>
  <c r="K26" i="22"/>
  <c r="J26" i="22"/>
  <c r="L25" i="22"/>
  <c r="K25" i="22"/>
  <c r="J25" i="22"/>
  <c r="L24" i="22"/>
  <c r="K24" i="22"/>
  <c r="J24" i="22"/>
  <c r="L23" i="22"/>
  <c r="K23" i="22"/>
  <c r="J23" i="22"/>
  <c r="L22" i="22"/>
  <c r="K22" i="22"/>
  <c r="J22" i="22"/>
  <c r="L21" i="22"/>
  <c r="K21" i="22"/>
  <c r="J21" i="22"/>
  <c r="L20" i="22"/>
  <c r="K20" i="22"/>
  <c r="J20" i="22"/>
  <c r="L19" i="22"/>
  <c r="K19" i="22"/>
  <c r="J19" i="22"/>
  <c r="L18" i="22"/>
  <c r="K18" i="22"/>
  <c r="J18" i="22"/>
  <c r="L17" i="22"/>
  <c r="K17" i="22"/>
  <c r="J17" i="22"/>
  <c r="L16" i="22"/>
  <c r="K16" i="22"/>
  <c r="J16" i="22"/>
  <c r="L15" i="22"/>
  <c r="K15" i="22"/>
  <c r="J15" i="22"/>
  <c r="L14" i="22"/>
  <c r="K14" i="22"/>
  <c r="J14" i="22"/>
  <c r="L13" i="22"/>
  <c r="K13" i="22"/>
  <c r="J13" i="22"/>
  <c r="L12" i="22"/>
  <c r="K12" i="22"/>
  <c r="J12" i="22"/>
  <c r="L11" i="22"/>
  <c r="K11" i="22"/>
  <c r="J11" i="22"/>
  <c r="L10" i="22"/>
  <c r="K10" i="22"/>
  <c r="J10" i="22"/>
  <c r="L9" i="22"/>
  <c r="K9" i="22"/>
  <c r="J9" i="22"/>
  <c r="L8" i="22"/>
  <c r="K8" i="22"/>
  <c r="J8" i="22"/>
  <c r="L7" i="22"/>
  <c r="K7" i="22"/>
  <c r="J7" i="22"/>
  <c r="L6" i="22"/>
  <c r="K6" i="22"/>
  <c r="J6" i="22"/>
  <c r="L5" i="22"/>
  <c r="K5" i="22"/>
  <c r="J5" i="22"/>
  <c r="L4" i="22"/>
  <c r="K4" i="22"/>
  <c r="J4" i="22"/>
  <c r="G48" i="18"/>
  <c r="G49" i="18"/>
  <c r="G50" i="18"/>
  <c r="G51" i="18"/>
  <c r="G52" i="18"/>
  <c r="G53" i="18"/>
  <c r="G47" i="18"/>
  <c r="E48" i="18"/>
  <c r="E49" i="18"/>
  <c r="E50" i="18"/>
  <c r="E51" i="18"/>
  <c r="E52" i="18"/>
  <c r="E53" i="18"/>
  <c r="E47" i="18"/>
  <c r="H113" i="14"/>
  <c r="H112" i="14"/>
  <c r="H111" i="14"/>
  <c r="H110" i="14"/>
  <c r="H109" i="14"/>
  <c r="H108" i="14"/>
  <c r="H107" i="14"/>
  <c r="H106" i="14"/>
  <c r="H105" i="14"/>
  <c r="H104" i="14"/>
  <c r="H103" i="14"/>
  <c r="H102" i="14"/>
  <c r="H114" i="14" s="1"/>
  <c r="H99" i="14"/>
  <c r="H98" i="14"/>
  <c r="H97" i="14"/>
  <c r="H96" i="14"/>
  <c r="H95" i="14"/>
  <c r="H100" i="14" s="1"/>
  <c r="H94" i="14"/>
  <c r="H93" i="14"/>
  <c r="H92" i="14"/>
  <c r="H89" i="14"/>
  <c r="H88" i="14"/>
  <c r="H87" i="14"/>
  <c r="H86" i="14"/>
  <c r="H85" i="14"/>
  <c r="H84" i="14"/>
  <c r="H83" i="14"/>
  <c r="H82" i="14"/>
  <c r="H81" i="14"/>
  <c r="H80" i="14"/>
  <c r="H79" i="14"/>
  <c r="H90" i="14" s="1"/>
  <c r="H76" i="14"/>
  <c r="H75" i="14"/>
  <c r="H74" i="14"/>
  <c r="H73" i="14"/>
  <c r="H72" i="14"/>
  <c r="H71" i="14"/>
  <c r="H70" i="14"/>
  <c r="H69" i="14"/>
  <c r="H68" i="14"/>
  <c r="H67" i="14"/>
  <c r="H77" i="14" s="1"/>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65" i="14" s="1"/>
  <c r="H20" i="14"/>
  <c r="H19" i="14"/>
  <c r="H21" i="14" s="1"/>
  <c r="H18" i="14"/>
  <c r="H17" i="14"/>
  <c r="H16" i="14"/>
  <c r="H15" i="14"/>
  <c r="H12" i="14"/>
  <c r="I71" i="13"/>
  <c r="I70" i="13"/>
  <c r="I69" i="13"/>
  <c r="I68" i="13"/>
  <c r="I67" i="13"/>
  <c r="I66" i="13"/>
  <c r="I65" i="13"/>
  <c r="I64" i="13"/>
  <c r="I63" i="13"/>
  <c r="I62" i="13"/>
  <c r="I61" i="13"/>
  <c r="I60" i="13"/>
  <c r="I59" i="13"/>
  <c r="I58" i="13"/>
  <c r="H73" i="13" s="1"/>
  <c r="I55" i="13"/>
  <c r="I54" i="13"/>
  <c r="I53" i="13"/>
  <c r="I52" i="13"/>
  <c r="I51" i="13"/>
  <c r="I50" i="13"/>
  <c r="I49" i="13"/>
  <c r="I48" i="13"/>
  <c r="I47" i="13"/>
  <c r="I46" i="13"/>
  <c r="I45" i="13"/>
  <c r="I44" i="13"/>
  <c r="I43" i="13"/>
  <c r="I42" i="13"/>
  <c r="I41" i="13"/>
  <c r="I40" i="13"/>
  <c r="I39" i="13"/>
  <c r="I38" i="13"/>
  <c r="I37" i="13"/>
  <c r="I36" i="13"/>
  <c r="I35" i="13"/>
  <c r="I34" i="13"/>
  <c r="I33" i="13"/>
  <c r="I32" i="13"/>
  <c r="I31" i="13"/>
  <c r="I30" i="13"/>
  <c r="I29" i="13"/>
  <c r="I28" i="13"/>
  <c r="I27" i="13"/>
  <c r="I26" i="13"/>
  <c r="I25" i="13"/>
  <c r="I24" i="13"/>
  <c r="I23" i="13"/>
  <c r="I22" i="13"/>
  <c r="I21" i="13"/>
  <c r="I20" i="13"/>
  <c r="I19" i="13"/>
  <c r="I18" i="13"/>
  <c r="I17" i="13"/>
  <c r="H56" i="13" s="1"/>
  <c r="I74" i="13" s="1"/>
  <c r="I16" i="13"/>
  <c r="I15" i="13"/>
  <c r="I14" i="13"/>
  <c r="I13" i="13"/>
  <c r="I12" i="13"/>
  <c r="I11" i="13"/>
  <c r="H115"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tc={B783F5A2-140C-4621-8DD5-7D1F2DA1C9F7}</author>
  </authors>
  <commentList>
    <comment ref="D108" authorId="0" shapeId="0" xr:uid="{B783F5A2-140C-4621-8DD5-7D1F2DA1C9F7}">
      <text>
        <t>[Threaded comment]
Your version of Excel allows you to read this threaded comment; however, any edits to it will get removed if the file is opened in a newer version of Excel. Learn more: https://go.microsoft.com/fwlink/?linkid=870924
Comment:
    Schrack?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tc={330CDC6E-EE01-410C-8DF2-4668925A1B02}</author>
  </authors>
  <commentList>
    <comment ref="D111" authorId="0" shapeId="0" xr:uid="{330CDC6E-EE01-410C-8DF2-4668925A1B02}">
      <text>
        <t>[Threaded comment]
Your version of Excel allows you to read this threaded comment; however, any edits to it will get removed if the file is opened in a newer version of Excel. Learn more: https://go.microsoft.com/fwlink/?linkid=870924
Comment:
    Schrack?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tc={FC3C714F-24D5-4772-81D8-55B456BD803C}</author>
  </authors>
  <commentList>
    <comment ref="F7" authorId="0" shapeId="0" xr:uid="{E67001E0-2A5A-4DDC-8469-F87552A5055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Okvirna ili točna?</t>
        </r>
      </text>
    </comment>
    <comment ref="I31" authorId="1" shapeId="0" xr:uid="{FC3C714F-24D5-4772-81D8-55B456BD803C}">
      <text>
        <t>[Threaded comment]
Your version of Excel allows you to read this threaded comment; however, any edits to it will get removed if the file is opened in a newer version of Excel. Learn more: https://go.microsoft.com/fwlink/?linkid=870924
Comment:
    Ostajemo na SOCOMECU radi unifikacije opreme na elektrani</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B86153-1A18-4EBF-9F50-3A5AAFED014E}" keepAlive="1" name="Query - Table005 (Page 2)" description="Connection to the 'Table005 (Page 2)' query in the workbook." type="5" refreshedVersion="0" background="1">
    <dbPr connection="Provider=Microsoft.Mashup.OleDb.1;Data Source=$Workbook$;Location=&quot;Table005 (Page 2)&quot;;Extended Properties=&quot;&quot;" command="SELECT * FROM [Table005 (Page 2)]"/>
  </connection>
  <connection id="2" xr16:uid="{B96A7669-7BD5-42F1-9115-56B8A7049D24}" keepAlive="1" name="Query - Table005 (Page 2) (2)" description="Connection to the 'Table005 (Page 2) (2)' query in the workbook." type="5" refreshedVersion="0" background="1">
    <dbPr connection="Provider=Microsoft.Mashup.OleDb.1;Data Source=$Workbook$;Location=&quot;Table005 (Page 2) (2)&quot;;Extended Properties=&quot;&quot;" command="SELECT * FROM [Table005 (Page 2) (2)]"/>
  </connection>
  <connection id="3" xr16:uid="{3A8F36B6-35DE-4DC1-A17A-1B5D7223070A}" name="Query - Table005 (Page 2) (3)" description="Connection to the 'Table005 (Page 2) (3)' query in the workbook." type="100" refreshedVersion="8" minRefreshableVersion="5">
    <extLst>
      <ext xmlns:x15="http://schemas.microsoft.com/office/spreadsheetml/2010/11/main" uri="{DE250136-89BD-433C-8126-D09CA5730AF9}">
        <x15:connection id="daf2ff18-ce17-4695-a330-d5fa1605f453"/>
      </ext>
    </extLst>
  </connection>
  <connection id="4" xr16:uid="{70455044-7CB0-4B26-B366-D8EF3766CB0B}" name="Query - Table007 (Page 3)" description="Connection to the 'Table007 (Page 3)' query in the workbook." type="100" refreshedVersion="8" minRefreshableVersion="5">
    <extLst>
      <ext xmlns:x15="http://schemas.microsoft.com/office/spreadsheetml/2010/11/main" uri="{DE250136-89BD-433C-8126-D09CA5730AF9}">
        <x15:connection id="6fccd27c-66d5-43e9-9526-0b1c39dd7c52"/>
      </ext>
    </extLst>
  </connection>
  <connection id="5" xr16:uid="{87AD5EDF-99C5-42F0-B364-224BE48B7AF6}" name="Query - Table009 (Page 4)" description="Connection to the 'Table009 (Page 4)' query in the workbook." type="100" refreshedVersion="8" minRefreshableVersion="5">
    <extLst>
      <ext xmlns:x15="http://schemas.microsoft.com/office/spreadsheetml/2010/11/main" uri="{DE250136-89BD-433C-8126-D09CA5730AF9}">
        <x15:connection id="0879833a-2f16-460d-b6c8-c27fd6bb5def"/>
      </ext>
    </extLst>
  </connection>
  <connection id="6" xr16:uid="{56546B08-FFE1-4FFA-9744-77B54F51AD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<sst xmlns="http://schemas.openxmlformats.org/spreadsheetml/2006/main" count="3481" uniqueCount="1763">
  <si>
    <t>Opis</t>
  </si>
  <si>
    <t>Adresa</t>
  </si>
  <si>
    <t>I0.0</t>
  </si>
  <si>
    <t>I0.1</t>
  </si>
  <si>
    <t>I0.2</t>
  </si>
  <si>
    <t>I0.3</t>
  </si>
  <si>
    <t>I0.4</t>
  </si>
  <si>
    <t>I0.5</t>
  </si>
  <si>
    <t>I0.6</t>
  </si>
  <si>
    <t>I0.7</t>
  </si>
  <si>
    <t>I1.0</t>
  </si>
  <si>
    <t>I1.1</t>
  </si>
  <si>
    <t>I1.2</t>
  </si>
  <si>
    <t>I1.3</t>
  </si>
  <si>
    <t>I1.4</t>
  </si>
  <si>
    <t>I1.5</t>
  </si>
  <si>
    <t>I1.6</t>
  </si>
  <si>
    <t>I1.7</t>
  </si>
  <si>
    <t>I2.0</t>
  </si>
  <si>
    <t>I2.1</t>
  </si>
  <si>
    <t>I2.2</t>
  </si>
  <si>
    <t>I2.3</t>
  </si>
  <si>
    <t>I2.4</t>
  </si>
  <si>
    <t>I2.5</t>
  </si>
  <si>
    <t>I2.6</t>
  </si>
  <si>
    <t>I2.7</t>
  </si>
  <si>
    <t>I3.0</t>
  </si>
  <si>
    <t>I3.1</t>
  </si>
  <si>
    <t>I3.2</t>
  </si>
  <si>
    <t>I3.3</t>
  </si>
  <si>
    <t>I3.4</t>
  </si>
  <si>
    <t>Komentar</t>
  </si>
  <si>
    <t>DEVICE TAG</t>
  </si>
  <si>
    <t>FUNCTION TEXT</t>
  </si>
  <si>
    <t>NO. OF POLES</t>
  </si>
  <si>
    <t>RATED CURRENT, TRIP CURVE</t>
  </si>
  <si>
    <t>COMMENTS</t>
  </si>
  <si>
    <t>3P</t>
  </si>
  <si>
    <t>F2</t>
  </si>
  <si>
    <t>F3</t>
  </si>
  <si>
    <t>F4</t>
  </si>
  <si>
    <t>F5</t>
  </si>
  <si>
    <t>F6</t>
  </si>
  <si>
    <t>F7</t>
  </si>
  <si>
    <t>F8</t>
  </si>
  <si>
    <t>F9</t>
  </si>
  <si>
    <t>Q0.0</t>
  </si>
  <si>
    <t>Q0.1</t>
  </si>
  <si>
    <t>Q0.2</t>
  </si>
  <si>
    <t>Q0.3</t>
  </si>
  <si>
    <t>Q0.4</t>
  </si>
  <si>
    <t>Q0.5</t>
  </si>
  <si>
    <t>Q0.6</t>
  </si>
  <si>
    <t>Q0.7</t>
  </si>
  <si>
    <t>Q1.0</t>
  </si>
  <si>
    <t>Q1.1</t>
  </si>
  <si>
    <t>Q1.2</t>
  </si>
  <si>
    <t>Q1.3</t>
  </si>
  <si>
    <t>Q1.4</t>
  </si>
  <si>
    <t>Q1.5</t>
  </si>
  <si>
    <t>Q1.6</t>
  </si>
  <si>
    <t>Q1.7</t>
  </si>
  <si>
    <t>Q2.0</t>
  </si>
  <si>
    <t>Q2.1</t>
  </si>
  <si>
    <t>Q2.2</t>
  </si>
  <si>
    <t>Q2.3</t>
  </si>
  <si>
    <t>Q2.4</t>
  </si>
  <si>
    <t>Q2.5</t>
  </si>
  <si>
    <t>Q2.6</t>
  </si>
  <si>
    <t>Q2.7</t>
  </si>
  <si>
    <t>Q3.0</t>
  </si>
  <si>
    <t>Q3.1</t>
  </si>
  <si>
    <t>Q3.2</t>
  </si>
  <si>
    <t>Q3.3</t>
  </si>
  <si>
    <t>Q3.4</t>
  </si>
  <si>
    <t>Q3.5</t>
  </si>
  <si>
    <t>Q3.6</t>
  </si>
  <si>
    <t>Q3.7</t>
  </si>
  <si>
    <t>IW40</t>
  </si>
  <si>
    <t>IW42</t>
  </si>
  <si>
    <t>IW44</t>
  </si>
  <si>
    <t>IW46</t>
  </si>
  <si>
    <t>IW48</t>
  </si>
  <si>
    <t>IW50</t>
  </si>
  <si>
    <t>IW52</t>
  </si>
  <si>
    <t>IW54</t>
  </si>
  <si>
    <t>IW80</t>
  </si>
  <si>
    <t>IW84</t>
  </si>
  <si>
    <t>IW88</t>
  </si>
  <si>
    <t>IW92</t>
  </si>
  <si>
    <t>IW100</t>
  </si>
  <si>
    <t>IW104</t>
  </si>
  <si>
    <t>IW108</t>
  </si>
  <si>
    <t>I3.5</t>
  </si>
  <si>
    <t>I3.6</t>
  </si>
  <si>
    <t>I3.7</t>
  </si>
  <si>
    <t>I4.0</t>
  </si>
  <si>
    <t>I4.1</t>
  </si>
  <si>
    <t>I4.2</t>
  </si>
  <si>
    <t>I4.3</t>
  </si>
  <si>
    <t>I4.4.</t>
  </si>
  <si>
    <t>I4.5</t>
  </si>
  <si>
    <t>I4.6</t>
  </si>
  <si>
    <t>I4.7</t>
  </si>
  <si>
    <t>I5.0</t>
  </si>
  <si>
    <t>I5.1</t>
  </si>
  <si>
    <t>I5.2</t>
  </si>
  <si>
    <t>I5.3</t>
  </si>
  <si>
    <t>I5.4</t>
  </si>
  <si>
    <t>I5.5</t>
  </si>
  <si>
    <t>I5.6</t>
  </si>
  <si>
    <t>I5.7</t>
  </si>
  <si>
    <t>I6.0</t>
  </si>
  <si>
    <t>I6.1</t>
  </si>
  <si>
    <t>I6.2</t>
  </si>
  <si>
    <t>I6.3</t>
  </si>
  <si>
    <t>I6.4</t>
  </si>
  <si>
    <t>I6.5</t>
  </si>
  <si>
    <t>I6.6</t>
  </si>
  <si>
    <t>I6.7</t>
  </si>
  <si>
    <t>I7.0</t>
  </si>
  <si>
    <t>I7.1</t>
  </si>
  <si>
    <t>I7.2</t>
  </si>
  <si>
    <t>I7.3</t>
  </si>
  <si>
    <t>I7.4</t>
  </si>
  <si>
    <t>I7.5</t>
  </si>
  <si>
    <t>I7.6</t>
  </si>
  <si>
    <t>I7.7</t>
  </si>
  <si>
    <t>I8.0</t>
  </si>
  <si>
    <t>I8.1</t>
  </si>
  <si>
    <t>I8.2</t>
  </si>
  <si>
    <t>I8.3</t>
  </si>
  <si>
    <t>I8.4</t>
  </si>
  <si>
    <t>I8.5</t>
  </si>
  <si>
    <t>I8.6</t>
  </si>
  <si>
    <t>I8.7</t>
  </si>
  <si>
    <t>I9.0</t>
  </si>
  <si>
    <t>I9.1</t>
  </si>
  <si>
    <t>I9.2</t>
  </si>
  <si>
    <t>I9.3</t>
  </si>
  <si>
    <t>I9.4</t>
  </si>
  <si>
    <t>I9.5</t>
  </si>
  <si>
    <t>I9.6</t>
  </si>
  <si>
    <t>I9.7</t>
  </si>
  <si>
    <t>BAZEN RASHLADNE VODE - PLOVNA SKLOPKA - MINIMALNA RAZINA</t>
  </si>
  <si>
    <t>BAZEN RASHLADNE VODE - PLOVNA SKLOPKA - UKLJUČENJE CRPKE 1</t>
  </si>
  <si>
    <t>BAZEN RASHLADNE VODE - PLOVNA SKLOPKA - UKLJUČENJE CRPKE 2</t>
  </si>
  <si>
    <t>VENTIL NA OTCJEPU S TLAČNOG CJEVOVODA - UPRAVLJANJE RUČNO</t>
  </si>
  <si>
    <t>VENTIL NA OTCJEPU S TLAČNOG CJEVOVODA - UPRAVLJANJE AUTOMATSKI</t>
  </si>
  <si>
    <t>VENTIL NA OTCJEPU S TLAČNOG CJEVOVODA - UPRAVLJANJE OMOGUĆENO</t>
  </si>
  <si>
    <t>VENTIL NA OTCJEPU S TLAČNOG CJEVOVODA - OTVOREN</t>
  </si>
  <si>
    <t>VENTIL NA OTCJEPU S TLAČNOG CJEVOVODA - ZATVOREN</t>
  </si>
  <si>
    <t>VENTIL NA OTCJEPU S TLAČNOG CJEVOVODA - KVAR</t>
  </si>
  <si>
    <t>REGULACIJSKI VENTIL POMOĆNOG SUSTAVA OPSKRBE RASHLADNOM VODOM - UPRAVLJANJE RUČNO</t>
  </si>
  <si>
    <t>REGULACIJSKI VENTIL POMOĆNOG SUSTAVA OPSKRBE RASHLADNOM VODOM - UPRAVLJANJE AUTOMATSKI</t>
  </si>
  <si>
    <t>REGULACIJSKI VENTIL POMOĆNOG SUSTAVA OPSKRBE RASHLADNOM VODOM - UPRAVLJANJE OMOGUĆENO</t>
  </si>
  <si>
    <t>REGULACIJSKI VENTIL POMOĆNOG SUSTAVA OPSKRBE RASHLADNOM VODOM - OTVOREN</t>
  </si>
  <si>
    <t>REGULACIJSKI VENTIL POMOĆNOG SUSTAVA OPSKRBE RASHLADNOM VODOM - ZATVOREN</t>
  </si>
  <si>
    <t>REGULACIJSKI VENTIL POMOĆNOG SUSTAVA OPSKRBE RASHLADNOM VODOM - KVAR</t>
  </si>
  <si>
    <t>FILTAR NA CJEVOVODU PREMA SUSTAV KLIMATIZACIJE - KVAR</t>
  </si>
  <si>
    <t>FILTAR NA GRAVITACIJSKOM CJEVOVODU - KVAR</t>
  </si>
  <si>
    <t>PODRAZVOD +Y BJP14 - DOVOD 1 S PVP - UKLJUČEN</t>
  </si>
  <si>
    <t>PODRAZVOD +Y BJP14 - DOVOD 2 S PVP - UKLJUČEN</t>
  </si>
  <si>
    <t>PODRAZVOD +Y BJP14 - KVAR PRENAPONSKE ZAŠTITE</t>
  </si>
  <si>
    <t>PODRAZVOD +Y BJP14 - NESTANAK NAPONA NA SABIRNICAMA</t>
  </si>
  <si>
    <t>PODRAZVOD +Y BJP14 - NAPON NA SABIRNICAMA PRISUTAN</t>
  </si>
  <si>
    <t>PRIČUVA</t>
  </si>
  <si>
    <t/>
  </si>
  <si>
    <t>VENTIL NA OTCJEPU S TLAČNOG CJEVOVODA - UKLJUČENJE</t>
  </si>
  <si>
    <t>VENTIL NA OTCJEPU S TLAČNOG CJEVOVODA - ISKLJUČENJE</t>
  </si>
  <si>
    <t>VENTIL NA OTCJEPU S TLAČNOG CJEVOVODA - STOP</t>
  </si>
  <si>
    <t>REGULACIJSKI VENTIL POMOĆNOG SUSTAVA OPSKRBE RASHLADNOM VODOM - UKLJUČENJE</t>
  </si>
  <si>
    <t>REGULACIJSKI VENTIL POMOĆNOG SUSTAVA OPSKRBE RASHLADNOM VODOM - ISKLJUČENJE</t>
  </si>
  <si>
    <t>REGULACIJSKI VENTIL POMOĆNOG SUSTAVA OPSKRBE RASHLADNOM VODOM - STOP</t>
  </si>
  <si>
    <t>ODVODNI TUNEL AGREGATA A - PREVISOKA RAZINA SALINITETA</t>
  </si>
  <si>
    <t>ODVODNI TUNEL AGREGATA B - PREVISOKA RAZINA SALINITETA</t>
  </si>
  <si>
    <t>ODVODNI TUNEL AGREGATA C - PREVISOKA RAZINA SALINITETA</t>
  </si>
  <si>
    <t>CRPNI AGREGAT BR. 1 - STRUJA ELEKTROMOTORA</t>
  </si>
  <si>
    <t>CRPNI AGREGAT BR. 2 - STRUJA ELEKTROMOTORA</t>
  </si>
  <si>
    <t>CRPNI AGREGAT BR. 3 - STRUJA ELEKTROMOTORA</t>
  </si>
  <si>
    <t>BAZEN RASHLADNE VODE - RAZINA VODE</t>
  </si>
  <si>
    <t>REGULACIJSKI VENTIL POMOĆNOG SUSTAVA OPSKRBE RASHLADNOM VODOM - POLOŽAJ</t>
  </si>
  <si>
    <t>Iz troškovnika</t>
  </si>
  <si>
    <t>Prijedlog</t>
  </si>
  <si>
    <t>6A/C</t>
  </si>
  <si>
    <t>220 VDC</t>
  </si>
  <si>
    <t>S101</t>
  </si>
  <si>
    <t>S102</t>
  </si>
  <si>
    <t>100 A</t>
  </si>
  <si>
    <t>F101</t>
  </si>
  <si>
    <t>F102</t>
  </si>
  <si>
    <t>F103</t>
  </si>
  <si>
    <t>F104</t>
  </si>
  <si>
    <t>F105</t>
  </si>
  <si>
    <t>F106</t>
  </si>
  <si>
    <t>DC/DC PRETVARAČ</t>
  </si>
  <si>
    <t>DOVOD ISTOSMJERNOG NAPONA 220V</t>
  </si>
  <si>
    <t>ODVOJNI RELEJI</t>
  </si>
  <si>
    <t>ODVOJNI RELEJI ORMARIĆ MJERENJA RASHLADNOG BAZENA</t>
  </si>
  <si>
    <t>NADZOR NAPONA</t>
  </si>
  <si>
    <t>24 VDC</t>
  </si>
  <si>
    <t>KOMUNIKACIJSKA OPREMA</t>
  </si>
  <si>
    <t>OPERATORSKI PANEL</t>
  </si>
  <si>
    <t>CPU</t>
  </si>
  <si>
    <t>DIGITALNI ULAZI</t>
  </si>
  <si>
    <t>DIGITALNI IZLAZI</t>
  </si>
  <si>
    <t>ANALOGNI ULAZI</t>
  </si>
  <si>
    <t>GALVANSKA ODVAJANJA</t>
  </si>
  <si>
    <t>ECB</t>
  </si>
  <si>
    <t>LOKALNA SIGNALIZACIJA</t>
  </si>
  <si>
    <t>MJERAČ SALINITETA U ODVODNOM TUNELU AGREGATA A</t>
  </si>
  <si>
    <t>MJERAČ SALINITETA U ODVODNOM TUNELU AGREGATA B</t>
  </si>
  <si>
    <t>MJERAČ SALINITETA U ODVODNOM TUNELU AGREGATA C</t>
  </si>
  <si>
    <t>DOVOD IZMJENIČNOG NAPONA S PVP SEKCIJA 1</t>
  </si>
  <si>
    <t>DOVOD IZMJENIČNOG NAPONA S PVP SEKCIJA 2</t>
  </si>
  <si>
    <t>100A</t>
  </si>
  <si>
    <t>PRENAPONSKA ZAŠTITA</t>
  </si>
  <si>
    <t>TROŠKOVNIK</t>
  </si>
  <si>
    <t>PRIJEDLOG</t>
  </si>
  <si>
    <t>REGULACIJSKI VENTIL POMOĆNOG SUSTAVA OPKSRBE RASHLADNOM VODOM NAPAJANJE</t>
  </si>
  <si>
    <t>1…1,6A</t>
  </si>
  <si>
    <t>DOVODNI VENTIL NA OTCJEPU TLAČNOG CJEVOVODA NAPAJANJE</t>
  </si>
  <si>
    <t>DOVODNI VENTIL GLAVNOG SUSTAVA OPSKRBE RASHLADNOM VODOM NAPAJANJE</t>
  </si>
  <si>
    <t>2A/C</t>
  </si>
  <si>
    <t>F10</t>
  </si>
  <si>
    <t>F11</t>
  </si>
  <si>
    <t>FILTAR VODE NA ULAZU U RASHLADNI BAZEN (500 μM) NAPAJANJE</t>
  </si>
  <si>
    <t>FILTAR VODE NA ULAZU U RASHLADNI BAZEN (200 μM) NAPAJANJE</t>
  </si>
  <si>
    <t>FILTAR VODE NA GRAVITACIJSKOM CJEV. NAPAJANJE</t>
  </si>
  <si>
    <t>FILTAR VODE ZA SUSTAV KLIMATIZACIJE NAPAJANJE</t>
  </si>
  <si>
    <t>10A/C</t>
  </si>
  <si>
    <t>1P</t>
  </si>
  <si>
    <t>1P+N</t>
  </si>
  <si>
    <t>UPRAVLJAČKI NAPON DOVODNOG VENTILA GLAVNOG SUSTAVA RASHLADE</t>
  </si>
  <si>
    <t>UPRAVLJAČKI NAPON DOVODNOG VENTILA POMOĆNOG SUSTAVA RASHLADE</t>
  </si>
  <si>
    <t>UPRAVLJAČKI NAPON REGULACIJSKOG VENTILA</t>
  </si>
  <si>
    <t>ORMARIĆ MJERENJA RAZINE VODE U RASHLADNOM BAZENU</t>
  </si>
  <si>
    <t>SERVISNI NAPON ZA LPJ DRENAŽE</t>
  </si>
  <si>
    <t>NAPAJANJE GRIJANJA, RASVJETE I SERVISNE PRIKLJUČNICE ORMARA</t>
  </si>
  <si>
    <t>ATV680C13Q4X1</t>
  </si>
  <si>
    <t>Iz BJP14 GH004</t>
  </si>
  <si>
    <t>RV-1 ventil s motornim pogonom</t>
  </si>
  <si>
    <t>RDV-1 ventil s motornim pogonom</t>
  </si>
  <si>
    <t>3A/C</t>
  </si>
  <si>
    <t>PODRAZVOD +Y BJP14 - OBA DOVODA S PVP ISKLJUČENA</t>
  </si>
  <si>
    <t>PODRAZVOD +Y BJP14 - ATS SPREMAN ZA RAD</t>
  </si>
  <si>
    <t>Pom kontakt od odvodnika</t>
  </si>
  <si>
    <t>signal od -K411</t>
  </si>
  <si>
    <t>F12</t>
  </si>
  <si>
    <t>F13</t>
  </si>
  <si>
    <t>MCB - A9F94310
Pom kontakt - A9A26909</t>
  </si>
  <si>
    <t>MCB - A9F94306
Pom kontakt - A9A26909</t>
  </si>
  <si>
    <t>MCB - A9F94302
Pom kontakt - A9A26909</t>
  </si>
  <si>
    <t>13A/C, 30mA</t>
  </si>
  <si>
    <t>FID-ovka - A9D32613
Pom. Kontakti - A9A26919</t>
  </si>
  <si>
    <t>MCB - A9F94106
Pom kontakt - A9A26909</t>
  </si>
  <si>
    <t>Ostatak opreme BJP14 ormara</t>
  </si>
  <si>
    <t>Grebenjače</t>
  </si>
  <si>
    <t xml:space="preserve">1 - 0 - 2 grebenjača končar GN20 </t>
  </si>
  <si>
    <t>GN20-53-U, tropolne, 3 za upravljanje ventilima, 3 za upravljanje crpkama</t>
  </si>
  <si>
    <t>Lampica crvena</t>
  </si>
  <si>
    <t>LED modul</t>
  </si>
  <si>
    <t>10-2512.1149</t>
  </si>
  <si>
    <t>EAO</t>
  </si>
  <si>
    <t xml:space="preserve">704.202.208 
</t>
  </si>
  <si>
    <t>Lampica zelena</t>
  </si>
  <si>
    <t>Lampica bijela</t>
  </si>
  <si>
    <t>Lampica žuta</t>
  </si>
  <si>
    <t>704.202.508</t>
  </si>
  <si>
    <t>704.202.408</t>
  </si>
  <si>
    <t>704.202.708</t>
  </si>
  <si>
    <t>Tipkalo crveno</t>
  </si>
  <si>
    <t>Tipkalo bijelo</t>
  </si>
  <si>
    <t>Tipkalo zeleno</t>
  </si>
  <si>
    <t>704.209.700</t>
  </si>
  <si>
    <t>704.229.500</t>
  </si>
  <si>
    <t>NO/NC modul</t>
  </si>
  <si>
    <t>704.911.5-1</t>
  </si>
  <si>
    <t>Gljiva glava</t>
  </si>
  <si>
    <t>704.075.2</t>
  </si>
  <si>
    <t>Za svako tipkalo i gljivu</t>
  </si>
  <si>
    <t>2NC modul</t>
  </si>
  <si>
    <t>704.911.4-1</t>
  </si>
  <si>
    <t>za gljivu</t>
  </si>
  <si>
    <t>Pronaći plastiku za gljivu ili ići na Siemens</t>
  </si>
  <si>
    <t>Ubaciti dovoljan broj dioda za lamp test</t>
  </si>
  <si>
    <t>Weidmuller stezaljke - pretpostaviti nešto</t>
  </si>
  <si>
    <t>BAZEN RASHLADNE VODE - RAZINA VODE - REDUNDANTNO MJERENJE</t>
  </si>
  <si>
    <t>To ide na ulaz od VFD-a</t>
  </si>
  <si>
    <t>Redni broj</t>
  </si>
  <si>
    <t>Pozicija</t>
  </si>
  <si>
    <t>Jedinica mjere</t>
  </si>
  <si>
    <t>Količina</t>
  </si>
  <si>
    <t>Komentar - PK</t>
  </si>
  <si>
    <t>6.1.1</t>
  </si>
  <si>
    <t>Automatski samoispirući filtar (grubi filteri na ulazu u rashladni bazen)
- tip: AquaBoll 6.18.3, proizvod Boll &amp; Kirch Filterbau GmbH
ili jednakovrijedan.
- maksimalna dopuštena temperatura: 50 °C
- nazivni kapacitet: 1030 m3/h
- radni tlak: 5 bar
- broj i veličina filterskih elemenata: 24
- volumen: 350 lit
- finoća filterskih elemenata: 500 μm
- materijal uložaka: nehrđajući čelik CrNi - s pasivizacijom
- materijal kućišta: EN-GJS-400-18-LT
- priključci prirubnica Ulaz / Izlaz EN 1092-1: DN300, PN 16
- priključak ventila za ispiranje EN 1092-1 DN80, PN10
- radni napon motora za ispiranje: 3 x 400V / 50 Hz, 0.090 kW
- masa: 870 kg
- završni vanjski premaz: 2K-Ep RAL 5005 100-200 μm
- unutarnji premaz: Epoxy</t>
  </si>
  <si>
    <t>Kom.</t>
  </si>
  <si>
    <t>2</t>
  </si>
  <si>
    <t>OK</t>
  </si>
  <si>
    <t>6.1.2</t>
  </si>
  <si>
    <t>Automatski samoispirući filtar (fini filter na ulazu u rashladni bazen)
- tip: AquaBoll 6.18.3, proizvod Boll &amp; Kirch Filterbau GmbH
ili jednakovrijedan.
- maksimalna dopuštena temperatura: 50 °C
- nazivni kapacitet: 1030 m3/h
- radni tlak: 5 bar
- broj i veličina filterskih elemenata: 24
- volumen: 350 lit
- finoća filterskih elemenata: 200 μm
- materijal uložaka: nehrđajući čelik CrNi - s pasivizacijom
- materijal kućišta: EN-GJS-400-18-LT
- priključci prirubnica Ulaz / Izlaz EN 1092-1: DN300, PN 16
- priključak ventila za ispiranje EN 1092-1 DN80, PN10
- radni napon motora za ispiranje: 3 x 400V / 50 Hz, 0.090 kW
- masa: 870 kg
- završni vanjski premaz: 2K-Ep RAL 5005 100-200 μm
- unutarnji premaz: Epoxy</t>
  </si>
  <si>
    <t>1</t>
  </si>
  <si>
    <t>6.1.3</t>
  </si>
  <si>
    <t>Automatski samoispirući filtar (fini filter u obilaznom vodu
gravitacijskog cjevovoda - kabelski tunel kota +0.28)
- tip: AquaBoll 6.18.3, proizvod Boll &amp; Kirch Filterbau GmbH
ili jednakovrijedan.
- maksimalna dopuštena temperatura: 50 °C
- nazivni kapacitet: 890 m3/h
- radni tlak: 2.08 bar
- broj i veličina filterskih elemenata: 24
- volumen: 350 lit
- finoća filterskih elemenata: 200 μm
- materijal uložaka: nehrđajući čelik CrNi - s pasivizacijom
- materijal kućišta: EN-GJS-400-18-LT
- priključci prirubnica Ulaz / Izlaz EN 1092-1: DN300, PN 16
- priključak ventila za ispiranje EN 1092-1 DN80, PN10
- radni napon motora za ispiranje: 3 x 400V / 50 Hz, 0.090 kW
- masa: 870 kg
- završni vanjski premaz: 2K-Ep RAL 5005 100-200 μm
- unutarnji premaz: Epoxy</t>
  </si>
  <si>
    <t>OK, ali gdje je filtar vode za sustav klimatizacije?</t>
  </si>
  <si>
    <t>6.1.7</t>
  </si>
  <si>
    <t>Elektromagnetsko mjerilo protoka
-Proizvođač: ENDRESS+HAUSER
-Tip: Proline Promag W 400
-bez potrebe za ravnim cjevovodom prije i poslije mjerila protoka (0x
DN)
-Mjerni sustav u skladu s IEC/EN 61326-3-2 Emission in accordance
with Class A requirements. Elektromagnetska kompatibilnost (EMC
requirements) te direktivi European Measuring Instruments Directive
2014/32/EU (MID), OIML R49: 2013.
-Medij: riječna voda, t = 15°C
-Nazivni promjer: DN 350, Nazivni tlak : 16 bar
- Max. protok ( 100%skale) 3300 m3/h
-Max brzina mjerenja 0.3 do 10 m/s
-Komunikacija: EtherNet/IP
-Izvedba: s odvojenim transmiterom i displejem -ugradbena dužina:
550 mm
-Kućište osjetnika za ugradnju na zid, s AK zaštitom, lakirano
-Klasa zaštite senzora : IP 67
-Prirubnice: EN 1092-1 (DIN 2501 / DIN 2512N): PN 16, materijal
1.4404
-Kućište transmitera: čelično, s AK zaštitom, lakirano
-Klasa zaštite transmitera:IP67
-Napajanje : 16-62 V DC
-Područje mogućnosti mjerenja u području brzina protoka: 0,3 – 10
m/s
-mjerni izlaz: 4-20 mA
-EPROM za pohranjivanje i zaštitu mjernih podataka ( bez baterija)
-LC displej s trenutnim i kumulativnim pokazateljima
“Touch Control”
-Točnost mjerenja: ± 0,5%
-Mogućnost podešavanja maksimalne vrijednosti protoka :kontinuirano
-masa mjerila:123 kg</t>
  </si>
  <si>
    <t>Treba dodati u signal listu, ali trebam pronaći gdje se nalazi ovaj senzor - ovo bi trebao biti glavni protok, protok dobave rashladne vode</t>
  </si>
  <si>
    <t>6.1.13</t>
  </si>
  <si>
    <t>Ugradnja elektromotornog pogona na postojeći ventil proizvođača MIV
DN 350, PN 16 (oznaka u shemi rashlade LZ-6)
- Reduktor tip kao: AUMA GS 80.3 (kom. 1)
- Pogon tip kao: AUMA NORM SA 10.2 (kom. 1)
ON/OFF elektromotorni pogon se sastoji se od: elektromotornog
pogona u užem smislu i reduktora
Opće karakteristike:
-napon napajanja: 3x400 V, 50 Hz
-tip spoja s armaturom prema EN ISO 5210/EN ISO 5211
-momentno područje do 120 Nm
-mogućnost podešavanja izlaznog momenta na skali u Nm
-brzina pogona X okr/min ili navesti vrijeme potrebno za puni hod
(odrediti prema zahtjevima sustava)
-krajnji prekidači - 2 prekidača za svaki krajnji položaj
-momentni prekidači - 2 prekidača za otvaranje, 2 prekidača za
zatvaranje
-elektromotorni pogon mora se isporučiti s metalnim kabelskim
uvodnicama za IP68 zaštitu
-adapter</t>
  </si>
  <si>
    <t>Nedostaje snaga</t>
  </si>
  <si>
    <t>6.1.29</t>
  </si>
  <si>
    <t>Hidrostatski transmiter za mjerenje razine, potopna izvedba
- tip: SITRANS LH100, proizvod Siemens
ili jednakovrijedan
- dužina kabela: 10 m
- dopušteno preopterećenje u odnosu na domet: 3x
- keramička mjerna ćelija , IP 68, izlazni signal 4-20 mA
- napajanje: 220 V DC
- temperatura procesa: -10 ... 60 °C
- zaštita: IP68
- materijal: nehrđajući čelik - 316L (1.4404)
- s pričvrščivačem kabela: kao 7MF1572-8AB, proizvod Siemens
- s razvodnom kutijom s prenaponskom zaštitom: kao 7MF1572-8AA,
proizvod Siemens
- s prenaponskom zaštitnom jedinicom</t>
  </si>
  <si>
    <t>OK, ali u GP-u je spomenuto rezervno mjerenje, gdje je to - trenutna količina je 1</t>
  </si>
  <si>
    <t>6.1.32</t>
  </si>
  <si>
    <t>Nivo prekidači s gumenim kabelom L = 10 m te utegom za
učvršćivanje plovne sklopke kao tip: Liquifloat FTS20, proizvod
Endress+Hauser ili jednakovrijedan plus MPN-RC 1/4" A (8-11),
navojna palica M10, kao proizvod Hilti (kom. 3)</t>
  </si>
  <si>
    <t>3</t>
  </si>
  <si>
    <t>6.1.36</t>
  </si>
  <si>
    <t>Elektromotorni kuglasti ventil (Cjevovod Rezervnog punjenja
rashladnog bazena)
- tip: Ball valve , proizvod Erdhard ili jednakovrijedan
DN 200, PN 63
-Prirubnice PN 63, B1, Type 21, EN 1092-1
-Dimenzija širine: EN 558, Series 26, L=550 mm
-Brzina strujanja: do 15 m/s
-Kućište: EN-JS 1050
-Sjedište ventila: austenitni Cr-Ni čelik
-Vratilo kuglastog ventila: nehrđajući čelik visoke čvrstoće 1.4057 +
QT
-Površinska zaštita kućišta: epoxy resin coating, colour blue, "heavy-
duty corrosion protection" design to DIN 30 677-2 (coat thickness &gt;
250 µm)
-Težina: 270 kg
Tip pogona:
-Reduktor SKG 4
-AUMA NORM SA 10.2 sa momentnim prekidačima i prekidačima
položaja (Max moment do 110 Nm)</t>
  </si>
  <si>
    <t>OK; ali nedostaje snaga</t>
  </si>
  <si>
    <t>6.1.38</t>
  </si>
  <si>
    <t>Igličasti regulacijski ventil RKPV, proizvod Erhard, sa reduktorom i
elektro pogonom. Veličina DN 200, Nominalni tlak PN 63
Regulacijski ventil u izvedbi sa slobodnim protjecanjem
Rotacijski simetričan profil protjecanja
Izvedba sa tijelom iz jednog dijela
Kružni presjek protjecanja za bilo koji stupanj otvorenosti
Ugradbena dužina u skladu s EN 558
Dimenzije prirubnica sukladno EN 1092-2, DI, serija 21, PN63
Područje primjene:
Kao regulacijski ili odvojni ventil
Regulacijski sklop: protukavitacijski cilindar sa prorezima, izlazni oblik
SZ
Medij: voda sa česticama, temperaturno područje 1 – 50 ºC
Materijali:
tijelo: nodularni lijev EN-JS1050
elastični spojni prsten: EPDM
regulacijski cilindar: nehrđajući čelik 1.4301
klip: nehrđajući čelik 1.4301
polužni mehanizam: nehrđajući čelik 1.4301
osovine: nehrđajući čelik 1.4021
učvrsni prsten: nehrđajući čelik 1.4301
vodilice klipa: bronca (ojačana klizna ploha)
usjed ležaja: bronca
Zaštita od korozije:
vanjska i unutarnja zaštita epoksidni premaz
boja: plava RAL 5005
debljina zaštitnog sloja: 250 µm
Hrvatski certifikat o sukladnosti izdat od ovlaštene tvrtke
Reduktor SKG, proizvod Erhard, sa višeobrtnim elektro pogonom
Auma
Stupanj zaštite: IP68-3
Zaštita od korozije: standardna KN
Temperaturno područje: -40 ºC do +80 ºC
Auma višeobrtni pogon AUMA NORM SA 10.2
. mehanička zaštita kućišta IP68
. napajanje: trofazna struja, 400V, 50Hz
. tip izlaznog priključka: B3
. priključna prirubnica: F10
. grijač u sklopnom prostoru: 24 V
. temperaturno područje: -25 ºC do +80 ºC
. zaštita od korozije: standardna KS
. boja: siva
. elektronski davač položaja EWG, 4...20 mA, 2-žično
. s termičkom sklopkom u namotaju motora</t>
  </si>
  <si>
    <t>OK, ali nedostaje informacija o el. Pogonu</t>
  </si>
  <si>
    <t>6.1.46</t>
  </si>
  <si>
    <t>Pretvarač tlaka sa sklopkom tip Cerabar PMP21, proizvod
Endress+Hauser ili jednakovrijedan
-točnost mjerenja 0.3 %
-raspon temperature medija -40 - +100 °C
-raspon mjerenja tlaka 400 mbar do 400 bar
-napajanje: 10…30 VDC
-izlazni signal: 4…20 mA
-ispitano po normi: EN 10204-3.1
-zaštita: IP68
-materijal:AISI 316 L
Kuglasta slavina:
- model 910.11, proizvod WIKA ili jednakovrijedan (kom. 1)
- materijal: nehrđajući čelik 1.4571</t>
  </si>
  <si>
    <t>6.1.47</t>
  </si>
  <si>
    <t>Jednostupanjska vodoravna crpka s trofaznim asinhronim
elektromotorom tip NLG 200/450-110/4-IE4, proizvod WILO
- svrha: crpljenje vode prema spremniku rashladne vode
- medij: voda sa sadržajem krutih čestica
- količina dobave: 143 l/s
- visina dobave: 50 m
- nazivni broj okretaja: 1450 o/min
- ugrađena snaga: 110 kW
- standardna prirubnica: EN 1092-2 – PN 16
- ulaz crpke: DN250
- izlaz crpke: DN200
- motor: tip IE4
- frekvencija: 50 Hz
- nazivni napon: 3 x 400 V
- nazivna struja: 191,0 A
- mehanička zaštita motora: IP 55
- frekventno reguliran motor
- temeljni okvir sa vijcima za sidrenje
- tvornički atest prema ISO 9906 Grade II
-masa: 1780 kg</t>
  </si>
  <si>
    <t>6.1.52</t>
  </si>
  <si>
    <t>Senzor vodljivosti (analiza ph vrijednosti u sustavu rashlade), proizvod
Endress+Hauser ili jednakovrijedan
- senzor vodljivosti Memosens CLS21E (kom. 1)
Transmiter za analizu tekućina Liquiline CM442-2EV0/0 (kom. 1)
- napajanje: 100...230VAC (50/60Hz)
- komunikacije: 2x analogni izlaz 0/4..20mA, HART
- kabel CYK10-A101 duljine 10 m
Pričvrsni materijal:
- zaštitna cijev sonde za mjerenje vodljivosti
- dimenzije: DN 50 (ø60.3x2 mm), HRN EN ISO 1127, L=7.9 m (kom.
1)
- materijal: EN 1.4404
- obujmica havy duty DIN 1593, EN 1.4404 (kom. 16)
- sidreni vijak HST M12X145/50 sa podloškama i maticama, A4 (kom.
32)</t>
  </si>
  <si>
    <t>Komplet</t>
  </si>
  <si>
    <t>Ne znam čemu služi drugi analogni izlaz</t>
  </si>
  <si>
    <t>6.1.55</t>
  </si>
  <si>
    <t>Rekonstrukcija ručnog vitla uređaja za čišćenje usisne rešetke
rashladnog sustava:
-Ugradnja elektromotornog aktuatora kao tip: AUMA NORM SA 10.2
TEHNIČKE KARAKTERISTIKE ON/OFF pogona:
ON/OFF elektromotorni pogon se sastoji se od: elektromotornog
pogona i reduktora
Opće karakteristike:
-napon napajanja: 3x400 V, 50 Hz
-pogon klase B (S2 – 15 min) prema EN 15714-2
-antikorozivna zaštita klase C5-M prema normi EN ISO 12944-2
-temperaturno područje od -30 °C do +70 °C
-klasa zaštite kućišta IP68 prema IEC 60529
-tip spoja s armaturom prema EN ISO 5210/EN ISO 5211
-momentno područje da 120 Nm
-mogućnost podešavanja izlaznog momenta na skali u Nm
-brzina pogona X okr/min ili navesti vrijeme potrebno za puni hod
(odrediti prema zahtjevima sustava)
-krajnji prekidači - 2 prekidača za svaki krajnji položaj
-momentni prekidači - 2 prekidača za otvaranje, 2 prekidača za
zatvaranje
-termička zaštita u sva 3 namotaja motora
-motor termičke klase F
-spoj motora i samog pogona izveden pomoću konektora
-ručni pogon: mogućnost uklapanja ručnog kotača, automatsko
isključenje ručnog kotača kod kretanja motora, električna signalizacija
kada je ručni kotač aktivan
-pogon je samokočeći u motornom i ručnom radu
-grijač za sprečavanje kondenzacije
-priključak pogona preko priključne kape po sistemu muško/ženski
konektor
-em. pogon mora se isporučiti s metalnim kabelskim uvodnicama za
IP68 zaštitu
-adapter (prirubnica) za spoj na postojeće vitlo</t>
  </si>
  <si>
    <t>Dodati ga u listu izvoda, dvosmjerni</t>
  </si>
  <si>
    <t>6.1.58</t>
  </si>
  <si>
    <t>Elektromagnetsko mjerilo protoka za klima uređaje
-Proizvođač: ENDRESS+HAUSER
-Tip: kao Proline Promag W 400
-Mjerni sustav u skladu s IEC/EN 61326-3-2 Emission in accordance
with Class A requirements. Elektromagnetska kompatibilnost (EMC
requirements) te direktivi European Measuring Instruments Directive
2014/32/EU (MID), OIML R49: 2013.
-Medij: riječna voda, t = 15°C
-Nazivni promjer: DN 125
-Nazivni tlak : 16 bar
- Max. protok ( 100%skale) 450 m3/h
-Max brzina mjerenja 0.3 do 10 m/s
-Komunikacija: EtherNet/IP
-Izvedba: s odvojenim transmiterom i displejem -ugradbena dužina:
250 mm
-Kućište osjetnika za ugradnju na zid, s AK zaštitom, lakirano
-Klasa zaštite senzora : IP 67
-Prirubnice: EN 1092-1 (DIN 2501 / DIN 2512N): PN 16, materijal
1.4404
-Kućište transmitera: čelično, s AK zaštitom, lakirano
-Klasa zaštite transmitera:IP67
-Napajanje : 16-62 V DC
-Područje mogućnosti mjerenja u području brzina protoka: 0,3 – 10
m/s
-mjerni izlaz: 4-20 mA
-EPROM za pohranjivanje i zaštitu mjernih podataka ( bez baterija)
-LC displej s trenutnim i kumulativnim pokazateljima
“Touch Control”
-Točnost mjerenja: ± 0,5%
-Mogućnost podešavanja maksimalne vrijednosti protoka :kontinuirano
-masa mjerila:25 kg</t>
  </si>
  <si>
    <t>Dodati u listu signala</t>
  </si>
  <si>
    <t>6.1.60</t>
  </si>
  <si>
    <t>Ventili za ograničavanje količine protoka u odvodnom vodu pojedinog
izmjenjivača blok
transformatora, tip kao ERHARD REV Control Valve, proizvod Erhard
ili jednakovrijedan
-DN 65, PN16
-Nominalni protok 18-47 m3/h
-Tijelo kućišta EN-JGJS-500-7 (GGG-50)
-prirubnice prema DIN EN 1092-2, Tip 21, s ispučenim licem tip B
-materijal brtve EPDM KTW, W270
-materijal vretena Cr steel (1.4057.05)
- indikator položaja
- ispitivanje tlaka i propusnosti prema DIN EN 12266 and DIN EN 1074
- završni prema tijela iznutra i izvana EKB, epoxy plastic coating,
colour blue
- debljina sloja min. 250 µm
Elektromotorni pogon:
- AUMA SA 07.6
- napon: 400V-50Hz, 3F
-zaštita EM pogona: IP 67
- moment podesiv 30-60 Nm
-momentni prekidači (kom. 2)
-prekidači položaja (kom. 2)
-grijač 110 V - 250 V
-temperaturni raspon -25°C to +60°C</t>
  </si>
  <si>
    <t xml:space="preserve">Dodati u listu izvoda i napajanje grijača auma? </t>
  </si>
  <si>
    <t>6.1.61</t>
  </si>
  <si>
    <t>Temperaturna sonda tip kao iTHERM ModuLine TM101, proizvod
Endress+Hauser ili jednakovrijedan
- nazivni tlak: PN16, max tlak 50 bar
-napajanje 20 do 250 V DC/AC, 50/60 Hz
- raspon mjerne skale: -50 °C...+200 °C
-transmiter 4 do 20 mA, HART®
- otpornik: 1 x Pt100, 3 žice
- priključak: G 1/2”
- zaštita IP 68
-materijal: aluminij; polyester powder coated</t>
  </si>
  <si>
    <t>6.1.62</t>
  </si>
  <si>
    <t>Elektromagnetsko mjerilo protoka za transformator
-Proizvođač: ENDRESS+HAUSER
-Tip: kao Proline Promag W 400
-bez potrebe za ravnim cjevovodom prije i poslije mjerila protoka (0x
DN)
-Mjerni sustav u skladu s IEC/EN 61326-3-2 Emission in accordance
with Class A requirements. Elektromagnetska kompatibilnost (EMC
requirements) te direktivi European Measuring Instruments Directive
2014/32/EU (MID), OIML R49: 2013.
-Medij: riječna voda, t = 15°C
-Nazivni promjer: DN 100, Nazivni tlak : 16 bar
- Max. protok ( 100%skale) 280 m3/h
-Max brzina mjerenja 0.3 do 10 m/s
-Komunikacija: EtherNet/IP
-Izvedba: s odvojenim transmiterom i displejem -ugradbena dužina:
250 mm
-Kućište osjetnika za ugradnju na zid, s AK zaštitom, lakirano
-Klasa zaštite senzora : IP 67
-Prirubnice: EN 1092-1 (DIN 2501 / DIN 2512N): PN 16, materijal
1.4404
-Kućište transmitera: čelično, s AK zaštitom, lakirano
-Klasa zaštite transmitera:IP67
-Napajanje : 16-62 V DC
-Područje mogućnosti mjerenja u području brzina protoka: 0,3 – 10
m/s
-mjerni izlaz: 4-20 mA
-EPROM za pohranjivanje i zaštitu mjernih podataka ( bez baterija)
-LC displej s trenutnim i kumulativnim pokazateljima
“Touch Control”
-Točnost mjerenja: ± 0,5%
-Mogućnost podešavanja maksimalne vrijednosti protoka :kontinuirano
-masa mjerila:18 kg</t>
  </si>
  <si>
    <t>Dodati u listu signala - protok unita - predvidjeti signale za ostala 2 unita</t>
  </si>
  <si>
    <t>TROŠKOVNIK 
LPJ Rashlade - Faza I</t>
  </si>
  <si>
    <t>REKONSTRUKCIJA HE SENJ</t>
  </si>
  <si>
    <t>FAZA I.</t>
  </si>
  <si>
    <t>Evidencijski broj nabave:  ________</t>
  </si>
  <si>
    <t>Naziv ponuditelja:    _________________________________________________________</t>
  </si>
  <si>
    <t>ELEKTROTEHNIČKI DIO</t>
  </si>
  <si>
    <t>Šifra iz FIN-a
(popunjava Naručitelj)</t>
  </si>
  <si>
    <t>Oznaka</t>
  </si>
  <si>
    <t>Naziv stavke</t>
  </si>
  <si>
    <t>Tip i proizvođač jednakovrijednosti</t>
  </si>
  <si>
    <t>Okvirna količina</t>
  </si>
  <si>
    <t>Jedinična cijena stavke (€)</t>
  </si>
  <si>
    <t>Ukupna cijena stavke (€)</t>
  </si>
  <si>
    <t>4</t>
  </si>
  <si>
    <t>5</t>
  </si>
  <si>
    <t>6</t>
  </si>
  <si>
    <t>8(6×7)</t>
  </si>
  <si>
    <t>9002010655</t>
  </si>
  <si>
    <t>1.1</t>
  </si>
  <si>
    <t>Oprema</t>
  </si>
  <si>
    <t>1.1.1</t>
  </si>
  <si>
    <t>Montažni okvir s prednjim vratima, montažnom pločom, podnicom i gornjom stranicom slijedećih karakteristika:
- tip: kao ili jednakovrijedan VX25
- dimenzije (Š×V×D): 600×2000×800 mm,
- materijal: čelični lim,
- boja: RAL 7035,
- stupanj zaštite: IP54,
- narudžbeni broj: kao ili jednakovrijedan 8608.000
Bočne stranice:
- narudžbeni broj: kao ili jednakovrijedan 8108.245
Prednja i stražnja strana postolja visine 100 mm:
- narudžbeni broj: kao ili jednakovrijedan 8640.002
Bočne strane postolja visine 100 mm:
- narudžbeni broj: kao ili jednakovrijedan 8640.034
Ručica "Comfort handle", boje RAL 7035:
- narudžbeni broj: kao ili jednakovrijedan 8618.200
Bravica "double-bit", duljine 27 mm:
- narudžbeni broj: kao ili jednakovrijedan 8618.306
Bakrene sabirnice za priključak neutralnog vodiča N i uzemljenja PE. Potopore za učrvršćenje sabirnica i prilagodni umetci za sabirnice:
- presjek: 30×5 mm
- dužina: 700 mm 
- narudžbeni broj: kao ili jednakovrijedan 9686.528
Proizvođač: kao ili jednakovrijedan RITTAL</t>
  </si>
  <si>
    <t>komplet</t>
  </si>
  <si>
    <t>1.1.2</t>
  </si>
  <si>
    <t>-1E1,
-2E1</t>
  </si>
  <si>
    <t>Rasvjetna armatura 900 lm, 230 Vac s preklopkom i priključnicom:
- narudžbeni broj: kao ili jednakovrijedan 2500.210
Proizvođač: kao ili jednakovrijedan RITTAL</t>
  </si>
  <si>
    <t>kom</t>
  </si>
  <si>
    <t>1.1.3</t>
  </si>
  <si>
    <t>-1KS1,
-2KS1</t>
  </si>
  <si>
    <t>Krajnja sklopka s priključnim kabelom duljine 800mm
- narudžbeni broj: kao ili jednakovrijedan 2500.460.
Proizvođač: kao ili jednakovrijedan RITTAL</t>
  </si>
  <si>
    <t>1.1.4</t>
  </si>
  <si>
    <t>Kabel za konektiranje rasvjetne armature duljine 1m:
- narudžbeni broj: kao ili jednakovrijedan 2500.430.
Proizvođač: kao ili jednakovrijedan RITTAL</t>
  </si>
  <si>
    <t>1.1.5</t>
  </si>
  <si>
    <t>-E2</t>
  </si>
  <si>
    <t>Termostat:
- mjerni opseg: 5-55 °C,
- narudžbeni broj: kao ili jednakovrijedan 3110.000.
Proizvođač: kao ili jednakovrijedan RITTAL</t>
  </si>
  <si>
    <t>1.1.6</t>
  </si>
  <si>
    <t>-E3</t>
  </si>
  <si>
    <t>Higrostat:
- mjerni opseg: 50-100 %,
- narudžbeni broj: kao ili jednakovrijedan 3118.000.
Proizvođač: kao ili jednakovrijedan RITTAL</t>
  </si>
  <si>
    <t>1.1.7</t>
  </si>
  <si>
    <t>-E4</t>
  </si>
  <si>
    <t>Grijač 130-150W, 230V, 50Hz s priključnim kabelom
- narudžbeni broj: kao ili jednakovrijedan 3105.360.
Proizvođač: kao ili jednakovrijedan RITTAL</t>
  </si>
  <si>
    <t xml:space="preserve">PK: Prijedlog -G17 promijeniti na SZ 2506120, proizvođač Rittal - prema postojećem ormaru AUSZM na elektrani. </t>
  </si>
  <si>
    <t>1.1.8</t>
  </si>
  <si>
    <t>-E1</t>
  </si>
  <si>
    <t>Jednofazna utičnica za ugradnju na montažnu šinu:
-16 A, 250 V,
- tip: kao ili jednakovrijedan BZ325000.
Proizvođač: kao ili jednakovrijedan SCHRACK</t>
  </si>
  <si>
    <t>PK: Prijedlog - promijeniti na jednakovrijedu utičnicu, nar. broj SZ 2506120, proizvođač Rittal radi unificiranja opreme na elektrani.</t>
  </si>
  <si>
    <t>1.1.9</t>
  </si>
  <si>
    <t xml:space="preserve">-S41
</t>
  </si>
  <si>
    <t>Dvopolna strujna zaštitna sklopka bez združenje nadstrujne zaštite:
- tip: kao ili jednakovrijedan iID
- nazivna struja: 25A
- nazivni napon: 230V; 50Hz
- osjetljivost: 30mA
- narudžbeni broj: kao ili jednakovrijedan A9R61225
- pomoćni kontakti: 2C/O (OF+SD/OF)
- narudžbeni broj: kao ili jednakovrijedan A9A26929
Proizvođač: kao ili jednakovrijedan SCHNEIDER</t>
  </si>
  <si>
    <t>PK:Prekidač nar. broj A9R61225 je OK. Pomoćni kontakt nar. broj A9A26929 se više ne proizvodi, promijen na jednakovrijedan A9A26919.</t>
  </si>
  <si>
    <t>1.1.10</t>
  </si>
  <si>
    <t>-F1,
-F2,
-F3</t>
  </si>
  <si>
    <t>Jednopolni automatski prekidač:
- tip: kao ili jednakovrijedan iC60L
- nazivna struja: 6 A
- nazivni napon: 400V; 50Hz
- nazivna prekidna moć: 25 kA
- karakteristika: C
- narudžbeni broj: kao ili jednakovrijedan A9F94106
- pomoćni kontakti: 2C/O (OF+SD/OF) 
- narudžbeni broj: kao ili jednakovrijedan A9A26929
Proizvođač: kao ili jednakovrijedan SCHNEIDER</t>
  </si>
  <si>
    <t>PK:Prekidač nar. broj A9F94106 je OK. Pomoćni kontakt nar. broj A9A26929 se više ne proizvodi, promijen na jednakovrijedan A9A26919.</t>
  </si>
  <si>
    <t>1.1.11</t>
  </si>
  <si>
    <t>-S101
-S102</t>
  </si>
  <si>
    <t>Tropolna rastavna sklopka 0/1:
- tip: kao ili jednakovrijedan NSX 100NA,
- nazivna struja: 100A,
- izmjenični nazivni napon: 440Vac,
- istosmjerni nazivni napon: 500Vdc,
- pomoćni kontakti: 1C/O
Proizvođač: kao ili jednakovrijedan SCHNEIDER</t>
  </si>
  <si>
    <t>1.1.12</t>
  </si>
  <si>
    <t>-V101
-V102</t>
  </si>
  <si>
    <t>Silicijska dioda za istosmjerni napon 250V, s hladnjakom:
- reverzni napon: 800 V
- nazivna struja: 160 A
- nazivna podnosiva struja: 6 kA (10 ms)
- zajedničko hladilo za dvije diode
- tip (dioda): kao ili jednakovrijedan SKKE162
Proizvođač: kao ili jednakovrijedan SEMIKRON</t>
  </si>
  <si>
    <t>1.1.13</t>
  </si>
  <si>
    <t>Zajedničko hladilo za dvije diode iz prethodne stavke:
- tip (hladnjak): P13A/100
Proizvođač: kao ili jednakovrijedan SEMIKRON</t>
  </si>
  <si>
    <t>1.1.14</t>
  </si>
  <si>
    <t>-F101…105</t>
  </si>
  <si>
    <t>Dvopolni automatski prekidač, slijedećih karakteristika:
- nazivni napon: 220 VDC
- nazivna struja: 6 A
- prekidna moć: 20 kA
- karakteristika: C
- pomoćni kontakti: 2C/O (OF+SD)
- tip: kao ili jednakovrijedan C60H-DC
Proizvođač: kao ili jednakovrijedan SCHNEIDER</t>
  </si>
  <si>
    <t>1.1.15</t>
  </si>
  <si>
    <t>-K101</t>
  </si>
  <si>
    <t>Pomoćni relej s mehaničkom i LED signalizacijom položaja, tipkalom za ispitivanje i tri preklopna kontakta:
- nazivni napon svitka: 220 Vdc,
- kontakti: 3 C/O,
- nazivna struja kontakta: 10 A,
- narudžbeni broj: kao ili jednakovrijedan 700-HA33Z2-3-4L.
11 polno podnožje:
- narudžbeni broj: kao ili jednakovrijedan 700-HN205.
Držač releja:
- narudžbeni broj: kao ili jednakovrijedan 700-HN157.
Zaštitna dioda:
- nazivni napon: 6...220 Vdc,
- narudžbeni broj: kao ili jednakovrijedan 700-ADR.
Proizvođač: kao ili jednakovrijedan ALLEN BRADLEY</t>
  </si>
  <si>
    <t>1.1.16</t>
  </si>
  <si>
    <t>-U201
-U202</t>
  </si>
  <si>
    <t>DC/DC pretvornik:
- ulazni napon: 220 Vdc,
- izlazni napon: 24 Vdc,
- nazivna izlazna struja: 10A,
- narudžbena oznaka: kao ili jednakovrijedan QUINT-PS/ 1AC/24DC/10.
Proizvođač: kao ili jednakovrijedan PHOENIX CONTACT</t>
  </si>
  <si>
    <t>PK: Prijedlog - promijeniti na  jednakovrijedan SITOP PSU8200, nar. broj 6EP1336-3BA10, proizvođač Siemens radi unificiranja opreme na elektrani</t>
  </si>
  <si>
    <t>1.1.17</t>
  </si>
  <si>
    <t>-V201
-V202</t>
  </si>
  <si>
    <t>Dioda za paralelan rad pretvarača 24VDC:
- nazivna struja: 15A,
- podnosivi reverzni napon: 600V,
- tip: kao ili jednakovrijedan SKKE 15/06.
Proizvođač: kao ili jednakovrijedan SEMIKRON</t>
  </si>
  <si>
    <t xml:space="preserve">PK: Prijedlog - promijeniti na  jednakovrijedan SITOP RED1200, nar. broj 6EP4347-7RB00-0AX0, proizvođač Siemens - kompaktni diodni modul koji se standardno isporučuje u redundantnim konfiguracijama Siemensovih ispravljača. </t>
  </si>
  <si>
    <t>1.1.18</t>
  </si>
  <si>
    <t>-F201…216C28:C31J28C28:C33C28:C33J28C28:C33C28:C34J28C28:C33C28:C36J28C28:C33C28:C37J28C28:C33C28:C38</t>
  </si>
  <si>
    <t>Jednopolni elektronički prekidač strujnih krugova 24 Vdc:
- napajanje: 18 – 32 Vdc,
- nazivna struja: 2A,
- limitirana struja: 1.8×In,
- signalizacija: preklopni kontakt i LED,
- tip: kao ili jednakovrijedan ECP 2.
Držač modula:
- tip: kao ili jednakovrijedan ECP-LOCK.
Prozvođač: kao ili jednakovrijedan PHOENIX CONTACT</t>
  </si>
  <si>
    <t>PK: Prijedlog - promijeniti na jednakovrijedan SEL1400, nar. broj 6EP4438-7EB00-3DX0 proizvođač Siemens radi unificiranja opreme na elektrani.</t>
  </si>
  <si>
    <t>1.1.19</t>
  </si>
  <si>
    <t>Podnožje za dva jednopolna elektronička prekidača strujnih krugova 24 Vdc:
- tip: kao ili jednakovrijedan TMCP SOCKET M.
Prozvođač: kao ili jednakovrijedan PHOENIX CONTACT</t>
  </si>
  <si>
    <t>PK: Nepotrebno ako se prihvati prijedlog iznad</t>
  </si>
  <si>
    <t>1.1.20</t>
  </si>
  <si>
    <t>Završni elementi (lijevi i desni) za podnožja elektroničkih prekidača strujnih krugova 24 Vdc:
- tip: kao ili jednakovrijedan TMCP CONNECT LR.
Prozvođač: kao ili jednakovrijedan PHOENIX CONTACT</t>
  </si>
  <si>
    <t>PK: Isti komentar</t>
  </si>
  <si>
    <t>1.1.21</t>
  </si>
  <si>
    <t>-U211…218,
-U221…236</t>
  </si>
  <si>
    <t xml:space="preserve">Uređaj za galvansko odvajanje analognog signala:
- ulazni signal: 0/4...20mA,
- izlazni signal: 0/4...20mA,
- napajanje: 24Vdc,
- tip: kao ili jednakovrijedan WAS5 CCC 0-20/0-20mA.
Proizvođač: kao ili jednakovrijedan WEIDMÜLLER
</t>
  </si>
  <si>
    <t>PK: Prijedlog - promijeniti na jednakovrijedan ACT20M-AI-AO-E-S - proizvođač Weidmuller radi unificiranja opreme na elektrani.</t>
  </si>
  <si>
    <t>1.1.22</t>
  </si>
  <si>
    <t>-1D1…60</t>
  </si>
  <si>
    <t>Univerzalni pomoćni relej ugrađen u utično podnožje s vijčanim rednim stezaljkama, za montažu na šinu:
- nazivni napon svitka: 220 Vdc,
- kontakti: 1C/O,
- nazivni struja kontakta: 6A,
- tip: kao ili jednakovrijedan PLC-RSC-230UC/21.
Proizvođač: kao ili jednakovrijedan PHOENIX CONTACT</t>
  </si>
  <si>
    <t>PK: Prijedlog - promijeniti na jednakovrijedan TERMSERIES TRS 230VUC  - proizvođač Weidmuller radi unificiranja opreme na elektrani.</t>
  </si>
  <si>
    <t>1.1.23</t>
  </si>
  <si>
    <t>-2D1…16</t>
  </si>
  <si>
    <t>Univerzalni pomoćni relej ugrađen u utično podnožje s vijčanim rednim stezaljkama, za montažu na šinu:
- nazivni napon svitka: 24 Vdc,
- kontakti: 1C/O,
- nazivni struja kontakta: 6A.
- tip: kao ili jednakovrijedan PLC-RSC-24DC/21
- narudžbeni broj: 2966171
Proizvođač: kao ili jednakovrijedan PHOENIX CONTACT</t>
  </si>
  <si>
    <t>PK: Prijedlog - promijeniti na jednakovrijedan TERMSERIES TRS 24VDC - proizvođač Weidmuller radi unificiranja opreme na elektrani.</t>
  </si>
  <si>
    <t>1.1.24</t>
  </si>
  <si>
    <t>-S111</t>
  </si>
  <si>
    <t>Grebenasta ugradna preklopka s dva položaja i 0” položajem:
- dimenzije: 48 × 48 mm,
- kut zakreta: 60°,
- nazivna struja: 20 A,
- broj polova: 4,
- narudžbeni broj: kao ili jednakovrijedan GN20 – 75 – U.
Proizvođač: kao ili jednakovrijedan KONČAR</t>
  </si>
  <si>
    <t>1.1.25</t>
  </si>
  <si>
    <t>-H1</t>
  </si>
  <si>
    <t>Svijetleće tijelo:
- leća: ZELENA,
- prednji okvir: sivi; 35×35mm,
- podnožje za sijalicu sa vijčanim priključkom,
- narudžbeni broj: kao ili jednakovrijedan 704.202.508.
Sijalica sa žarnom niti; BA9s podnožje,
- nazivni napon: 130Vac/dc,
- narudžbeni broj: kao ili jednakovrijedan 10-1424.1179.
Predotpor za sijalicu predviđen za rad na 220Vdc:
- narudžbeni broj: kao ili jednakovrijedan 704.941.0.
Proizvođač: kao ili jednakovrijedan EAO</t>
  </si>
  <si>
    <t>1.1.26</t>
  </si>
  <si>
    <t>-H2,
-H3,
-H4</t>
  </si>
  <si>
    <t>Svijetleće tijelo:
- leća: CRVENA,
- prednji okvir: sivi; 35×35mm,
- podnožje za sijalicu sa vijčanim priključkom,
- narudžbeni broj: kao ili jednakovrijedan 704.202.208.
- LED sijalica: bijela; BA9s podnožje,
- nazivni napon/struja: 230Vac/3mA,
- narudžbeni broj: kao ili jednakovrijedan 10-2H25.2049.
Proizvođač: kao ili jednakovrijedan EAO</t>
  </si>
  <si>
    <t>1.1.27</t>
  </si>
  <si>
    <t>-V11</t>
  </si>
  <si>
    <t>Diodni niz od 12 dioda 1N4007, sa vijčanim spojem za montažom na šinu:
- tip: kao ili jednakovrijedan RSD.
Proizvođač: kao ili jednakovrijedan WEIDMÜLLER</t>
  </si>
  <si>
    <t>PK: Prijedlog zamjene za jednakovrijedan EMG 45-DIO 8E - diodni blok nar. broj 2950103</t>
  </si>
  <si>
    <t>1.1.28</t>
  </si>
  <si>
    <t>-A1</t>
  </si>
  <si>
    <t>Operatorski panel s pripadnim komunikacijskim kabelom:
- komunikacijsko sučelje: 1×RS485/RS422, 3×Ethernet (RJ45), 2×USB2.0, 2×SD Card;
- zaslon. 15”; 16 milijona boja; rezolucija 1280x800; MTBF cca. 80000 h;
- sučelje čovjek-uređaj putem zaslona osjetljivog na dodir (“touch screen”);
- napajanje: 24 V DC
- narudžbena oznaka: kao ili jednakovrijedan 6AV2124-0QC02-0AX0
- tip: kao ili jednakovrijedan TP1500 Comfort
Dodatna memorijska SD kartica 4GB.
Proizvođač: kao ili jednakovrijedan SIEMENS</t>
  </si>
  <si>
    <t>PK: Prema mailu od Danijela Krapineca 14.4. - nar. Broj 6AV2124-0QC02-0AX0 u Phase out announce statusu - zamjena za jednakovrijedan 6AV2128-3QB06-0AX1</t>
  </si>
  <si>
    <t>1.1.29</t>
  </si>
  <si>
    <t>-Y001</t>
  </si>
  <si>
    <r>
      <t xml:space="preserve">Ethernet preklopnik industrijske izvedbe: 
- redudantno napajanje: 24VDC,
- montaža:DIN šina,
- daljinski upravljiv,
- električki priključci: 4x10/100MBit/s, 
- optički priključci: 2xmultimodni, 
- radno područje: -40 do 60°C
- slot za memorijsku karticu,
-  tip: kao ili jednakovrijedan SCALANCE X204-2. 
- narudžbeni broj: </t>
    </r>
    <r>
      <rPr>
        <sz val="9"/>
        <rFont val="Arial"/>
        <family val="2"/>
        <charset val="238"/>
      </rPr>
      <t>6GK5204-2BB10-2AA3</t>
    </r>
    <r>
      <rPr>
        <sz val="9"/>
        <color rgb="FFFF0000"/>
        <rFont val="Arial"/>
        <family val="2"/>
        <charset val="238"/>
      </rPr>
      <t xml:space="preserve">
</t>
    </r>
    <r>
      <rPr>
        <sz val="9"/>
        <rFont val="Arial"/>
        <family val="2"/>
      </rPr>
      <t xml:space="preserve">
Memorijska kartica za snimanje konfiguracijskih podataka:
- tip: kao ili jednakovrijedan 6GK1900-0AB00.
Proizvođač: kao ili jednakovrijedan SIEMENS</t>
    </r>
  </si>
  <si>
    <t>PK: Prema mailu od Danijela Krapineca 14.4. - Zamijeniti preklopnik nar. Broja 6GK5204-2BB10-2AA3 za 6GK5206-2BS00-2AC2
Ostaje memorijska kartica nar. broj 6GK1900-0AB10
Dodati 2 x SFP modula nar. broj 6GK5991-1AD00-8AA0</t>
  </si>
  <si>
    <t>1.1.30</t>
  </si>
  <si>
    <t>Simatic S7-1500 šina, duljina 482 mm
-narudžbeni broj: kao ili jednakovrijedan 6ES7590-1AE80-0AA0
Proizvođač: kao ili jednakovrijedan SIEMENS</t>
  </si>
  <si>
    <t>1.1.31</t>
  </si>
  <si>
    <t>-A101</t>
  </si>
  <si>
    <t>Procesor za upravljanje sustavom:
- napajanje: 24 Vdc,
- radna memorija: 300 kB za program i 1,5 MB za podatke,
- sučelje: 2×Ethernet.
- CPU vrijeme obrade za 1 bit: 40 ns,
- tip: kao ili jednakovrijedan SIMATIC S7-1500, kao ili jednakovrijedan CPU 1513-1 PN
- narudžbeni broj: kao ili jednakovrijedan 6ES7513-1AL00-0AB0.
Memorijska kartica 4 Mbyte.
Proizvođač: kao ili jednakovrijedan SIEMENS</t>
  </si>
  <si>
    <t xml:space="preserve">PK:CPU nar. broj  6ES7513-1AL00-0AB0 je u Phase out announcmentu, zamijeniti za nasljedni model nar. broj 6ES7513-1AM03-0AB0
</t>
  </si>
  <si>
    <t>1.1.32</t>
  </si>
  <si>
    <t>-A102</t>
  </si>
  <si>
    <t>Komunikacijski modul za povezivanje CPU-a na Profibus DP mrežu:
- tip: kao ili jednakovrijedan CM 1542-5,
- narudžbeni broj: kao ili jednakovrijedan 6GK7542-5DX00-0XE0. 
Proizvođač: kao ili jednakovrijedan SIEMENS</t>
  </si>
  <si>
    <t>PK: Izbaciti iz liste ako će komunikacija s frekvencijskim pretvaračima biti ModbusTCP</t>
  </si>
  <si>
    <t>1.1.33</t>
  </si>
  <si>
    <t>-A111,
-A112,
-A113</t>
  </si>
  <si>
    <t>Analogna ulazna kartica s pripadajućim vijčanim konektorom, 8 analognih ulaza, 16-bitna rezolucija,
- napajanje 24VDC,
- ulazni signali: U/I/RTD/TC
- narudžbeni broj: kao ili jednakovrijedan 6ES7531-7KF00-0AB0.
- narudžbeni broj vijčanog konektora: kao ili jednakovrijedan 6ES7592-1AM00-0XB0.
Proizvođač: kao ili jednakovrijedan SIEMENS</t>
  </si>
  <si>
    <t>1.1.34</t>
  </si>
  <si>
    <t>-A121,
-A122</t>
  </si>
  <si>
    <t>Digitalna ulazna kartica s pripadajućim vijčanim konektorom, 32 digitalna ulaza, izolirani, 24Vdc:
- narudžbeni broj: kao ili jednakovrijedan 6ES7521-1BL00-0AB0,
- narudžbeni broj vijčanog konektora: kao ili jednakovrijedan 6ES7592-1AM00-0XB0.
Proizvođač: kao ili jednakovrijedan SIEMENS</t>
  </si>
  <si>
    <t>1.1.35</t>
  </si>
  <si>
    <t>-A131
-A132</t>
  </si>
  <si>
    <t>Digitalna izlazna kartica s pripadajućim vijčanim konektorom, 32 digitalna izlaza, optički izolirani, 24Vdc:
- narudžbeni broj: 6ES7522-1BL01-0AB0,
- narudžbeni broj vijčanog konektora: kao ili jednakovrijedan 6ES7592-1AM00-0XB0.
Proizvođač: kao ili jednakovrijedan SIEMENS</t>
  </si>
  <si>
    <t>1.1.36</t>
  </si>
  <si>
    <t>Ethernet konektor RJ45 Plug 180:
- narudžbeni broj: kao ili jednakovrijedan 6GK1901-1BB10-2AA0.
Proizvođač: kao ili jednakovrijedan SIEMENS</t>
  </si>
  <si>
    <t>1.1.37</t>
  </si>
  <si>
    <t>Ethernet kabel</t>
  </si>
  <si>
    <t>m</t>
  </si>
  <si>
    <t>1.1.38</t>
  </si>
  <si>
    <t>Prespojni kabel Cat6, neoklopljen, duljina 1 m.</t>
  </si>
  <si>
    <t>1.1.39</t>
  </si>
  <si>
    <t>Optički prespojni kabel s parom multimodnih niti (50/125µm), konektori na krajevim, duljina kabela 2 m.</t>
  </si>
  <si>
    <t>1.1.40</t>
  </si>
  <si>
    <t>Redne stezaljke 16 mm2 s priborom:
-tip: kao ili jednakovrijedan WDU 16
Proizvođač: kao ili jednakovrijedan WEIDMÜLLER</t>
  </si>
  <si>
    <t>1.1.41</t>
  </si>
  <si>
    <t>Redne stezaljke 6 mm2 s priborom:
-tip: kao ili jednakovrijedan WDU 6
Proizvođač: kao ili jednakovrijedan WEIDMÜLLER</t>
  </si>
  <si>
    <t>1.1.42</t>
  </si>
  <si>
    <t>Redne stezaljke 4 mm2 s priborom:
-tip: kao ili jednakovrijedan WDU 4
Proizvođač: kao ili jednakovrijedan WEIDMÜLLER</t>
  </si>
  <si>
    <t>1.1.43</t>
  </si>
  <si>
    <t>Rastavne redne stezaljke 4 mm2:
-tip: kao ili jednakovrijedan WTR4
Proizvođač: kao ili jednakovrijedan WEIDMÜLLER</t>
  </si>
  <si>
    <t>1.1.44</t>
  </si>
  <si>
    <t>Razdjelnik opremiti ostalim nespecificiranim materijalom potrebnim za kompletiranje razdjelnika kao što je: kabelski kanali, sabirnice, uvodnice, montažne letve, natpisne pločice i sl.</t>
  </si>
  <si>
    <t>1.1.44.</t>
  </si>
  <si>
    <t>Softverska podrška ( inženjersko računalo sa softwareom i programskom podrškom za ispitivanje i podešavanje LPJ Rashlade) Licencirano na krajnjeg kupca</t>
  </si>
  <si>
    <t>Ukupno 1.1.</t>
  </si>
  <si>
    <t>1.2</t>
  </si>
  <si>
    <t>Radovi i usluge</t>
  </si>
  <si>
    <t>1.2.1</t>
  </si>
  <si>
    <t>Dobava ormara, ugradnja opreme i ožičavanje prema jednopolnoj shemi</t>
  </si>
  <si>
    <t>1.2.2</t>
  </si>
  <si>
    <t>Transport opreme i montažno osiguranje.</t>
  </si>
  <si>
    <t>1.2.3</t>
  </si>
  <si>
    <t>Demontaža i ekološko zbrinjavanje postojeće opreme.</t>
  </si>
  <si>
    <t>1.2.4</t>
  </si>
  <si>
    <t>Privremeno ožičenje opreme postojećih rashladnih crpki</t>
  </si>
  <si>
    <t>1.2.5</t>
  </si>
  <si>
    <t>Radovi u strojarnici:
- montaža nove opreme
- polaganje i spajanje novih kabela
- polaganje i konektiranje novih optičkih kabela</t>
  </si>
  <si>
    <t>1.2.6</t>
  </si>
  <si>
    <t>Izrada programske podrške za LPJ rashlade</t>
  </si>
  <si>
    <t>1.2.7</t>
  </si>
  <si>
    <t>Uvođenje signala otvaranje/zatvaranje ventila na otcjepu tlačnog cjevovoda u ormar turbinskog regulatora kućnog agregata</t>
  </si>
  <si>
    <t>1.2.8</t>
  </si>
  <si>
    <t>Izrada programske podrške i ekranskih prikaza za OP panel</t>
  </si>
  <si>
    <t>1.2.9</t>
  </si>
  <si>
    <t>Tvorničko ispitivanje (FAT), izrada protokola ispitivanja, izrada izvješća</t>
  </si>
  <si>
    <t>1.2.10</t>
  </si>
  <si>
    <t>Ispitivanje na objektu (SAT), puštanje u pogon, izrada protokola ispitivanja, izrada izvješća</t>
  </si>
  <si>
    <t>1.2.11</t>
  </si>
  <si>
    <t>Obuka osoblja Naručitelja</t>
  </si>
  <si>
    <t>1.2.12</t>
  </si>
  <si>
    <t>Izvedbeni projekt</t>
  </si>
  <si>
    <t>1.2.13</t>
  </si>
  <si>
    <t>Projekt izvedenog stanja</t>
  </si>
  <si>
    <t>1.2.14.</t>
  </si>
  <si>
    <t>Usluga voditelja radova elektrotehničke struke</t>
  </si>
  <si>
    <t xml:space="preserve"> Ukupno 1.2.:</t>
  </si>
  <si>
    <t>UKUPNO:</t>
  </si>
  <si>
    <t>TROŠKOVNIK 
Dobava i opskrba rashladnom vodom agregata B - Faza I - E</t>
  </si>
  <si>
    <t>2.</t>
  </si>
  <si>
    <t xml:space="preserve">Dobava i opskrba rashladnom vodom </t>
  </si>
  <si>
    <t>2.1</t>
  </si>
  <si>
    <t>Ormar crpnog agregata rashladne vode br. 2 +Y BJP12</t>
  </si>
  <si>
    <t>2.1.1</t>
  </si>
  <si>
    <r>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t>
    </r>
    <r>
      <rPr>
        <sz val="9"/>
        <rFont val="Arial"/>
        <family val="2"/>
        <charset val="238"/>
      </rPr>
      <t>ϕ</t>
    </r>
    <r>
      <rPr>
        <sz val="9"/>
        <rFont val="Arial"/>
        <family val="2"/>
      </rPr>
      <t xml:space="preserve"> &gt; 0,99. 
- tip: kao ATV Process 680
- narudžbeni broj: kao ATV680C13Q4X1
- dimenzije: 600×2200×664 mm (Š×V×D)
- napajanje: 380...415 -10% +6%
- nazivna snaga motora crpke: 132 kW (normal duty) / 90 kW (heavy duty)
- kontinuirana izlazna struja: 250 A (normal duty) / 211 A (heavy duty)
- temperaturno radno područje: od 0°C do +50°C
- integrirani brzi osigurač za zaštitu opreme: 315A aR
- protok zraka ventilatora za energetski dio: 1160m</t>
    </r>
    <r>
      <rPr>
        <vertAlign val="superscript"/>
        <sz val="9"/>
        <rFont val="Arial"/>
        <family val="2"/>
        <charset val="238"/>
      </rPr>
      <t>3</t>
    </r>
    <r>
      <rPr>
        <sz val="9"/>
        <rFont val="Arial"/>
        <family val="2"/>
      </rPr>
      <t>/h
- protok zraka ventilatora za upravljački dio: 140m</t>
    </r>
    <r>
      <rPr>
        <vertAlign val="superscript"/>
        <sz val="9"/>
        <rFont val="Arial"/>
        <family val="2"/>
        <charset val="238"/>
      </rPr>
      <t>3</t>
    </r>
    <r>
      <rPr>
        <sz val="9"/>
        <rFont val="Arial"/>
        <family val="2"/>
      </rPr>
      <t>/h
- ugrađene stezaljke za prihvat kabela presjeka do 150 mm</t>
    </r>
    <r>
      <rPr>
        <vertAlign val="superscript"/>
        <sz val="9"/>
        <rFont val="Arial"/>
        <family val="2"/>
        <charset val="238"/>
      </rPr>
      <t xml:space="preserve">2
</t>
    </r>
    <r>
      <rPr>
        <sz val="9"/>
        <rFont val="Arial"/>
        <family val="2"/>
        <charset val="238"/>
      </rPr>
      <t xml:space="preserve">- RFI filter za C3 okolinu prema normi HRN EN 61800-3
- integrirani linijski sklopnik i mrežna prigušnica
Tehničke karakteristike upravljačke jedinice:
- analogni ulazi: 2×strujni/naponski; 1×Pt-100, rezolucija 12 bit
- digitalni ulazi: 4×opći, 2×impulsni, 2×STO(safety torque off)
- analogni izlazi: 2×strujni/naponski, rezolucija 10 bit
- relejni izlazi: 1×greška; 2×opći, struja kontakta 3A, 250V AC
</t>
    </r>
  </si>
  <si>
    <t>PK: Dogovoreno je da će se provjeriti dimenzije prostora za smještanje ormara frekvencijskog pretvarača</t>
  </si>
  <si>
    <t>Integrirane funkcije za aplikacije pogona crpke:
- spremanje karakteristike pumpe
- proračun najbolje točke efikasnosti pumpe (BEP funkcija)
- funkcije monitoringa crpke
- Anti-Jam funkcija
- zaštita od kavitacije
- funkcija čišćenja cijevi
- zaštita od rada na suho
- PID regulacija po tlaku i protoku
- Sleep/Wake up funkcija za uštedu energije
- Multi-pump kontrola, s cikličkim pokretanjem više crpki u sustavu
- Real Time Managmen sat s ugrađenom baterijom
- integirani komunikacijski protokoli: Modbus i Ethernet TCP/IP
- integriran web server i napredne Ethernet servise (SNMP, SNTP, IP adresiranje IPv6, Modbus TCP skener, Cyber security).
- mogućnost integracije i povezivosti sa sutavom automatizacije sukladno FDT/DTM bibliotekama, te DHCP protokol za brzu zamjenu uređaja.
Korisničko sučelje: odvojeni grafički panel za programiranje i parametriranje izmješten na vrata ormara u IP65 zaštiti sa sustavom kontrole pristupa uz upotrebu lozinki, kako bi se sprječio neovlašten pristup.
Proizvođač: kao SCHNEIDER ili jednakovrijedan</t>
  </si>
  <si>
    <t>Na vrata ormara dodatno se ugrađuju sljedeći signalno-upravljački elementi:</t>
  </si>
  <si>
    <t>2.1.2</t>
  </si>
  <si>
    <t>Svjetleće tipkalo:
- leća: CRVENA, 
- prednji okvir: crni; 35×35mm,
- podnožje za sijalicu sa vijčanim priključkom,
- narudžbeni broj: kao 704.229.200.
- LED sijalica: bijela; BA9s podnožje,
- nazivni napon/struja: 24Vdc/15mA,
- narudžbeni broj: 10-2512.1149.
- kontakti: 1NC + 1NO; Au/Ag; vijčani priključak,
- narudžbeni broj: kao 704.911.5.
Proizvođač: kao EAO  ili jednakovrijedan</t>
  </si>
  <si>
    <t>2.1.3</t>
  </si>
  <si>
    <t>Svjetleće tipkalo:
- leća: ZELENA, 
- prednji okvir: crni; 35×35mm,
- podnožje za sijalicu sa vijčanim priključkom,
- narudžbeni broj: kao 704.229.500.
- LED sijalica: bijela; BA9s podnožje,
- nazivni napon/struja: 24Vdc/15mA,
- narudžbeni broj: 10-2512.1149.
- kontakti: 1NC + 1NO; Au/Ag; vijčani priključak,
- narudžbeni broj: kao 704.911.5.
Proizvođač: kao EAO  ili jednakovrijedan</t>
  </si>
  <si>
    <t>2.1.4</t>
  </si>
  <si>
    <t>Svjetleće tijelo:
- leća: CRVENA,
- prednji okvir: sivi; 35×35mm,
- podnožje za sijalicu sa vijčanim priključkom,
- narudžbeni broj: kao 704.202.208.
- LED sijalica: bijela; BA9s podnožje,
- nazivni napon/struja: 24Vdc/15mA,
- narudžbeni broj: kao 10-2512.1149.
Proizvođač: kao EAO  ili jednakovrijedan</t>
  </si>
  <si>
    <t>2.1.5</t>
  </si>
  <si>
    <t>Tipkalo: 
- gljivasta glava: crvena, Ø40mm,
- prednji okvir: aluminijski,
- reset: zakret u smjeru kazaljke na satu
(nacrtane strekice),
- narudžbeni broj: kao 704.075.2.
- kontakti: 2NC; Au/Ag; vijčani priključak,
- narudžbeni broj: kao 704.911.4.
- kontakti: 1NC + 1NO; Au/Ag; vijčani priključak,
- narudžbeni broj: kao 704.911.5.
Proizvođač: kao EAO  ili jednakovrijedan</t>
  </si>
  <si>
    <t>2.1.6</t>
  </si>
  <si>
    <t>Zaštitni obruč tipkala s gljivastim aktuatorom:
- boja: žuta,
- narudžbeni broj: kao 3SB39 21-0AK.
Proizvođač: kao SIEMENS</t>
  </si>
  <si>
    <t>2.1.7</t>
  </si>
  <si>
    <t>Ukupno 2.1.</t>
  </si>
  <si>
    <t>2.2</t>
  </si>
  <si>
    <t>Ormar filtera i ventila sustava rashlade +Y BJP14</t>
  </si>
  <si>
    <t>2.2.1</t>
  </si>
  <si>
    <t>Montažni okvir s prednjim vratima, dvije montažne ploče, podnicom i gornjom stranicom slijedećih karakteristika:
- tip: kao VX25
- dimenzije (Š×V×D): 800×2000×800 mm,
- materijal: čelični lim,
- boja: RAL 7035,
- stupanj zaštite: IP54,
- narudžbeni broj: kao 8808.000
Bočne stranice:
- narudžbeni broj: kao 8108.245
Prednja i stražnja strana postolja visine 100 mm:
- narudžbeni broj: kao 8640.003
Bočne strane postolja visine 100 mm:
- narudžbeni broj: kao 8640.034
Ručica "Comfort handle", boje RAL 7035:
- narudžbeni broj: kao 8618.200
Bravica "double-bit", duljine 27 mm:
- narudžbeni broj: kao 8618.306
Bakrene sabirnice za priključak neutralnog vodiča N i uzemljenja PE. Potopore za učrvršćenje sabirnica i prilagodni umetci za sabirnice:
- presjek: 30×5 mm
- dužina: 500 mm 
- narudžbeni broj: kao 9686.526 (1 komplet)
Proizvođač: kao RITTAL  ili jednakovrijedan</t>
  </si>
  <si>
    <t>2.2.2</t>
  </si>
  <si>
    <t>Rasvjetna armatura 900 lm, 230 Vac s preklopkom i priključnicom:
- narudžbeni broj: kao 2500.210
Proizvođač: kao RITTAL  ili jednakovrijedan</t>
  </si>
  <si>
    <t>2.2.3</t>
  </si>
  <si>
    <t>Krajnja sklopka s priključnim kabelom duljine 800mm
- narudžbeni broj: kao 2500.460.
Proizvođač: kao RITTAL  ili jednakovrijedan</t>
  </si>
  <si>
    <t>2.2.4</t>
  </si>
  <si>
    <t>Kabel za konektiranje rasvjetne armature duljine 1m:
- narudžbeni broj: kao 2500.430.
Proizvođač: kao RITTAL  ili jednakovrijedan</t>
  </si>
  <si>
    <t>2.2.5</t>
  </si>
  <si>
    <t>Termostat:
- mjerni opseg: 5-55 °C,
- narudžbeni broj: kao 3110.000.
Proizvođač: kao RITTAL  ili jednakovrijedan</t>
  </si>
  <si>
    <t>2.2.6</t>
  </si>
  <si>
    <t>Higrostat:
- mjerni opseg: 50-100 %,
- narudžbeni broj: kao 3118.000.
Proizvođač: kao RITTAL  ili jednakovrijedan</t>
  </si>
  <si>
    <t>2.2.7</t>
  </si>
  <si>
    <t>Grijač 130-150W, 230V, 50Hz s priključnim kabelom
- narudžbeni broj: kao 3105.360.
Proizvođač: kao RITTAL  ili jednakovrijedan</t>
  </si>
  <si>
    <t>2.2.8</t>
  </si>
  <si>
    <t>Jednofazna utičnica za ugradnju na montažnu šinu:
-16 A, 250 V,
- tip: kao BZ325000.
Proizvođač: kao SCHRACK  ili jednakovrijedan</t>
  </si>
  <si>
    <t>2.2.9</t>
  </si>
  <si>
    <t>Sklop za automatsko prebacivanje izvora napajanja opremljen s dvije tropolne rastavne sklopke i kontrolerom za automatsko i daljinsko upravljanje s mogućnošću odabira prioriteta dovoda, podešenja osjetljivosti  promjene napona, te vremena prebacivanja izvora napajanja:
- tip: kao ATyS t
- nazivna struja: 125A
- nazivni napon: 400V, 50Hz
- upravljački napon: 230V, 50Hz
- pomoćni kontakti: 2 N/O za indikaciju trenutno aktivnog izvora napajanja
- narudžbeni broj: kao 95433012
Proizvođač: kao SOCOMEC  ili jednakovrijedan</t>
  </si>
  <si>
    <t>PK: Prijedlog zamjene ATS-a, nar. broj 95433012, proizvođača Socomec za jednoakovrijedan ATS proizvođača Schneider iz TransferPact linije, nar. brojevi TA16D3S1254TPE + TPCDIO08</t>
  </si>
  <si>
    <t>2.2.10</t>
  </si>
  <si>
    <t>Tropolni 3 + 0 varistorski odvodnik prenapona TIP II
- tip: kao DEHNguard M TNC 275  FM (952 305)
- (klasa C prenaponski odvodnik)
- Nominalni radni napon 230V/400V
- Maksimalni kontinuirani radni naponi 275V
- Nazivna odvodna udarna struja In 20kA (8/20)
- Maksimalna odvodna udarna struja In 40kA (8/20)
- Zaštitna razina Up kod nazivne odvodne udarne struje &lt;1.25kV
- Vrijeme prorade &lt;25ns
- Ugradnja na standardne DIN 35mm nosače
Proizvođač: kao DENH+SOHNE  ili jednakovrijedan</t>
  </si>
  <si>
    <t>2.2.11</t>
  </si>
  <si>
    <t>Tropolni automatski prekidač:
- tip: kao NG 125L
- nazivna struja: 63 A
- nazivni napon: 400V; 50Hz
- nazivna prekidna moć: 50 kA
- karakteristika: C
- pomoćni kontakti: 2C/O (OF+SD/OF)
Proizvođač: kao SCHNEIDER  ili jednakovrijedan</t>
  </si>
  <si>
    <t>2.2.12</t>
  </si>
  <si>
    <t>Tropolni automatski prekidač:
- tip: kao iC60L
- nazivna struja: 4A,
- nazivni napon: 400V; 50Hz,
- nazivna prekidna moć: 25 kA,
- karakteristika: C
- pomoćni kontakti: 2C/O (OF+SD/OF)
Proizvođač: kao SCHNEIDER  ili jednakovrijedan</t>
  </si>
  <si>
    <t>2.2.13</t>
  </si>
  <si>
    <t>Tropolni automatski prekidač:
- tip: kao iC60L
- nazivna struja: 2A,
- nazivni napon: 400V; 50Hz,
- nazivna prekidna moć: 25 kA,
- karakteristika: C
- pomoćni kontakti: 2C/O (OF+SD/OF)
Proizvođač: kao SCHNEIDER  ili jednakovrijedan</t>
  </si>
  <si>
    <t>2.2.14</t>
  </si>
  <si>
    <t>Tropolni termomagnetski motorski prekidač, za nazivnu snagu motora od 0,37kW:
- tip: kao GV2ME06
- najviši nazivni pogonski napon: 690V
- nazivna frekvencija: 50Hz
- nazivna granična prekidna moć Icu kod 400/415V: 50kA
- kategorija primjene: AC3
- podesivi termički član: 1-1,6A
- magnetski član: 22,5A
- pomoćni kontakti – prigrađeni prednji 2N/O (položaj); tip: kao GV-AE20
- pomoćni kontakti – prigrađeni bočni 2N/O (položaj i greška); tip: kao GV-AD1010
Proizvođač: kao SCHNEIDER  ili jednakovrijedan</t>
  </si>
  <si>
    <t>2.2.15</t>
  </si>
  <si>
    <t>2.2.16</t>
  </si>
  <si>
    <t>Tropolni automatski prekidač:
- tip: kao iC60L
- nazivna struja: 10A,
- nazivni napon: 400V; 50Hz,
- nazivna prekidna moć: 50 kA,
- karakteristika: C
- pomoćni kontakti: 2C/O (OF+SD/OF)
Proizvođač: kao SCHNEIDER  ili jednakovrijedan</t>
  </si>
  <si>
    <t>2.2.17</t>
  </si>
  <si>
    <t>Jednopolni automatski prekidač:
- tip: kao iC60L
- nazivna struja: 6A,
- nazivni napon: 230V; 50Hz,
- pomoćni kontakti: OF+SD,
- nazivna prekidna moć: 25 kA,
- karakteristika: C.
Proizvođač: kao SCHNEIDER  ili jednakovrijedan</t>
  </si>
  <si>
    <t>2.2.18</t>
  </si>
  <si>
    <t>Dvopolni (1P+N) automatski instalacijski prekidač kombiniran s Vigi modulom diferencijalne zaštite
- tip: kao iC60H + Vigi iC60
- najviši nazivni pogonski napon: 440 V
- nazivna struja: 16A
- nazivna frekvencija: 50 Hz
- karakteristika: B
- prekidna moć: 15kA
- nazivna struja greške: 30mA
- pomoćni kontakt: iOF/SD+OF
Proizvođač: kao SCHNEIDER  ili jednakovrijedan</t>
  </si>
  <si>
    <t>2.2.19</t>
  </si>
  <si>
    <t>Tropolni sklopnik:
- tip: kao LC1 D09
- nazivna struja: 9A
- napon svitka: 230V; 50Hz
- kategorija primjene: AC3
- broj kontakata: 1N/O+1N/C
- pomoćni kontakti – prigrađeni 2N/O
- tip: kao LAD-N20
Proizvođač: kao SCHNEIDER  ili jednakovrijedan</t>
  </si>
  <si>
    <t>2.2.20</t>
  </si>
  <si>
    <t>Pomoćni relej s mehaničkom i LED signalizacijom položaja, tipkalom za ispitivanje i tri preklopna kontakta:
- nazivni napon svitka: 230 V, 50Hz
- kontakti: 3 C/O,
- nazivna struja kontakta: 10 A,
- narudžbeni broj: kao 700-HA33A2-3-4L.
Držač releja:
- narudžbeni broj: kao 700-HN157.
11 polno podnožje:
- narudžbeni broj: kao 700-HN205.
Proizvođač: kao ALLEN BRADLEY  ili jednakovrijedan</t>
  </si>
  <si>
    <t>2.2.21</t>
  </si>
  <si>
    <t>Pomoćni relej s mehaničkom i LED signalizacijom položaja, tipkalom za ispitivanje i tri preklopna kontakta:
- nazivni napon svitka: 24 Vdc
- kontakti: 3 C/O,
- nazivna struja kontakta: 10 A,
- narudžbeni broj: kao 700-HA33A2-3-4L.
Držač releja:
- narudžbeni broj: kao 700-HN157.
11 polno podnožje:
- narudžbeni broj: kao 700-HN205.
Zaštitna dioda:
- nazivni napon: 6...220Vdc
- narudžbeni broj: kao 700-ADR
Proizvođač: kao ALLEN BRADLEY  ili jednakovrijedan</t>
  </si>
  <si>
    <t>2.2.22</t>
  </si>
  <si>
    <t>Relej za kontrolu (redoslijed faza, prisutnost faza,
pojava podnapona, pojava nadnapona) 3x400/230V, 
50Hz napona: 
- kontakti: 1 CO (U&lt;), 1 CO (U&gt;),
- vijčani priključak,
- narudžbeni broj: kao 3UG4616-1CR20.
Proizvođač: kao SIEMENS  ili jednakovrijedan</t>
  </si>
  <si>
    <t>PK: Relej za nadzor faza, nar. broj 3UG4616-1CR203, je phased out, prijedlog zamjene za jednakovrijedan relej nazdora faza, nar. broj 3UG5616-1CR20</t>
  </si>
  <si>
    <t>2.2.23</t>
  </si>
  <si>
    <t>Voltmetar s preklopkom za mjerenje svih faznih i i linijskih napona:
- tip: kao FQ 0307,
- mjerni sistem: pomično željezo,
- dimenzije: 72×72 mm,
- priključak: 400/230V, 50Hz (izravno),
- skala: 90° baždarena linearno u mjernom području: 0…400V.
Proizvođač: kao ISKRA  ili jednakovrijedan</t>
  </si>
  <si>
    <t>2.2.24</t>
  </si>
  <si>
    <t>Grebenasta ugradna preklopka s dva položaja i "0" položajem:
- dimenzije: 48×48 mm,
- kut zakreta: 60°,
- nazivna struja: 20 A,
- broj polova: 4,
- narudžbeni broj: kao GN20 – 75 – U.
Proizvođač: kao KONČAR  ili jednakovrijedan</t>
  </si>
  <si>
    <t>PK: Za što se koriste grebenjalče? Mogu li obične preklopke? Siemens/Schneider?</t>
  </si>
  <si>
    <t>2.2.25</t>
  </si>
  <si>
    <t>Grebenasta ugradna preklopka s dva položaja i "0" položajem:
- dimenzije: 48×48 mm,
- kut zakreta: 60°,
- nazivna struja: 20 A,
- broj polova: 6,
- narudžbeni broj: kao GN20 – 77 – U.
Proizvođač: kao KONČAR  ili jednakovrijedan</t>
  </si>
  <si>
    <t>2.2.26</t>
  </si>
  <si>
    <t>Diodni niz od 40 dioda 1N4007 sa spojenom anodom i vijčanim spojem za montažu na šinu:
- tip: kao RSD 40 LP/LP,
- narudžbeni broj: kao 8022921001.
Proizvođač: kao WEIDMÜLLER  ili jednakovrijedan</t>
  </si>
  <si>
    <t>PK: Diodni blok, nar. broj 8022921001, proizvođač Weidmuller se prestaje proizvoditi. Prijedlog zamjene za jednakovrijedan diodni blok EMG 90-DIO 32M, nar. broj 2954934, proizvođače Phoenix Contact</t>
  </si>
  <si>
    <t>2.2.27</t>
  </si>
  <si>
    <r>
      <t>Svjetleće tipkalo:
- leća: CRVENA, 
- prednji okvir: crni; 35x35mm,
- podnožje za sijalicu sa vijčanim priključkom,
- narudžbeni broj: kao 704.229.200.
- LED sijalica: bijela; BA9s podnožje,
- nazivni napon/struja: 24</t>
    </r>
    <r>
      <rPr>
        <sz val="9"/>
        <rFont val="Arial"/>
        <family val="2"/>
        <charset val="238"/>
      </rPr>
      <t>Vdc/15mA,
- narudžbeni broj: kao 10-2512.1149.</t>
    </r>
    <r>
      <rPr>
        <sz val="9"/>
        <color theme="1"/>
        <rFont val="Arial"/>
        <family val="2"/>
      </rPr>
      <t xml:space="preserve">
- kontakti: 1NC + 1NO; Au/Ag; vijčani priključak,
- narudžbeni broj: kao 704.911.5.
Proizvođač: kao EAO  ili jednakovrijedan</t>
    </r>
  </si>
  <si>
    <t>2.2.28</t>
  </si>
  <si>
    <r>
      <t xml:space="preserve">Svjetleće tipkalo:
- leća: ZELENA, 
- prednji okvir: crni; 35x35mm,
- podnožje za sijalicu sa vijčanim priključkom,
- narudžbeni broj: kao 704.229.500.
- LED sijalica: bijela; BA9s podnožje,
</t>
    </r>
    <r>
      <rPr>
        <sz val="9"/>
        <rFont val="Arial"/>
        <family val="2"/>
        <charset val="238"/>
      </rPr>
      <t>- nazivni napon/struja: 24Vdc/15mA</t>
    </r>
    <r>
      <rPr>
        <sz val="9"/>
        <color theme="1"/>
        <rFont val="Arial"/>
        <family val="2"/>
      </rPr>
      <t xml:space="preserve">,
- narudžbeni broj: kao </t>
    </r>
    <r>
      <rPr>
        <sz val="9"/>
        <rFont val="Arial"/>
        <family val="2"/>
        <charset val="238"/>
      </rPr>
      <t xml:space="preserve">10-2512.1149.
- kontakti: 1NC + 1NO; Au/Ag; vijčani priključak,
- narudžbeni broj: kao 704.911.5.
</t>
    </r>
    <r>
      <rPr>
        <sz val="9"/>
        <color theme="1"/>
        <rFont val="Arial"/>
        <family val="2"/>
      </rPr>
      <t xml:space="preserve">
Proizvođač: kao EAO  ili jednakovrijedan</t>
    </r>
  </si>
  <si>
    <t>2.2.29</t>
  </si>
  <si>
    <t>Tipkalo: 
- leća: PROZIRNA,
- prednji okvir: crni; 35×35mm,
- podnožje za sijalicu sa vijčanim priključkom,
- narudžbeni broj: kao 704.209.700.
- kontakti: 1NC + 1NO; Au/Ag; vijčani priključak,
- narudžbeni broj: kao 704.911.5.
Proizvođač: kao EAO  ili jednakovrijedan</t>
  </si>
  <si>
    <t>2.2.30</t>
  </si>
  <si>
    <r>
      <t xml:space="preserve">Svjetleće tipkalo sa zaštitnim poklopcem:
- podnožje za sijalicu,
- kontakti: 2NO, Ag, vijčani priključak,
- narudžbeni broj: kao 22-213.011.
- leća: CRVENA,
- narudžbeni broj: kao 22-903.2.
- LED sijalica: bijela; MG T1 </t>
    </r>
    <r>
      <rPr>
        <vertAlign val="superscript"/>
        <sz val="9"/>
        <color theme="1"/>
        <rFont val="Arial"/>
        <family val="2"/>
        <charset val="238"/>
      </rPr>
      <t>3</t>
    </r>
    <r>
      <rPr>
        <sz val="9"/>
        <color theme="1"/>
        <rFont val="Arial"/>
        <family val="2"/>
      </rPr>
      <t>/</t>
    </r>
    <r>
      <rPr>
        <vertAlign val="subscript"/>
        <sz val="9"/>
        <color theme="1"/>
        <rFont val="Arial"/>
        <family val="2"/>
        <charset val="238"/>
      </rPr>
      <t>4</t>
    </r>
    <r>
      <rPr>
        <sz val="9"/>
        <color theme="1"/>
        <rFont val="Arial"/>
        <family val="2"/>
      </rPr>
      <t xml:space="preserve"> podnožje,
- nazivni napon/struja: 24Vdc/14 mA,
- narudžbeni broj: kao 10-2J12.1069.
- prednji okvir: crni; 24x36mm,
- narudžbeni broj: kao 02-965.0.
- zaštitni poklopac:
- narudžbeni broj: kao 22-925.
Proizvođač: kao EAO  ili jednakovrijedan</t>
    </r>
  </si>
  <si>
    <t>2.2.31</t>
  </si>
  <si>
    <t>2.2.32</t>
  </si>
  <si>
    <t>Svjetleće tijelo:
- leća: ZELENA,
- prednji okvir: sivi; 35×35mm,
- podnožje za sijalicu sa vijčanim priključkom,
- narudžbeni broj: kao 704.202.508.
- LED sijalica: bijela; BA9s podnožje,
- nazivni napon/struja: 24Vdc/15mA,
- narudžbeni broj: kao 10-2512.1149.
Proizvođač: kao EAO  ili jednakovrijedan</t>
  </si>
  <si>
    <t>2.2.33</t>
  </si>
  <si>
    <t>Svjetleće tijelo:
- leća: ŽUTA,
- prednji okvir: sivi; 35×35mm,
- podnožje za sijalicu sa vijčanim priključkom,
- narudžbeni broj: kao 704.202.408.
- LED sijalica: bijela; BA9s podnožje,
- nazivni napon/struja: 24Vdc/15mA,
- narudžbeni broj: kao 10-2512.1149.
Proizvođač: kao EAO  ili jednakovrijedan</t>
  </si>
  <si>
    <t>2.2.34</t>
  </si>
  <si>
    <t>Svjetleće tijelo:
- leća: PROZIRNA,
- prednji okvir: sivi; 35×35mm,
- podnožje za sijalicu sa vijčanim priključkom,
- narudžbeni broj: kao 704.202.708.
- LED sijalica: bijela; BA9s podnožje,
- nazivni napon/struja: 24Vdc/15mA,
- narudžbeni broj: kao 10-2512.1149.
Proizvođač: kao EAO  ili jednakovrijedan</t>
  </si>
  <si>
    <t>2.2.35</t>
  </si>
  <si>
    <t>Pokazivač položaja s maskom rastavljača:
- tip: kao St 1,
- dimenzije: Ø25mm,
- nazivni napon: 24 Vdc,
- narudžbeni broj: kao 1280B IL224.
- Proizvođač: kao GOSSEN MUELLER &amp; WEIGERT  ili jednakovrijedan</t>
  </si>
  <si>
    <t>2.2.36</t>
  </si>
  <si>
    <t>Programabilni digitalni mjerni instrument:
- tip: kao MCR-SL-D-U-I
- strujni mjerni ulaz: 0-20/4-20 mA
- rezolucija: 14 bit
- dimenzije: 48×24 mm
- pokazivač: 5 znamenki, 7-segmentni LED
- napajanje: 10-30 V DC
- maksimalna potrošnja: 50 mA
- narudžbeni broj: kao 2864011
Proizvođač: kao PHOENIX CONTACT  ili jednakovrijedan</t>
  </si>
  <si>
    <t>2.2.37</t>
  </si>
  <si>
    <t>2.2.38</t>
  </si>
  <si>
    <t>2.2.39</t>
  </si>
  <si>
    <r>
      <t>Redne stezaljke 16mm</t>
    </r>
    <r>
      <rPr>
        <vertAlign val="superscript"/>
        <sz val="9"/>
        <color theme="1"/>
        <rFont val="Arial"/>
        <family val="2"/>
        <charset val="238"/>
      </rPr>
      <t>2</t>
    </r>
    <r>
      <rPr>
        <sz val="9"/>
        <color theme="1"/>
        <rFont val="Arial"/>
        <family val="2"/>
      </rPr>
      <t xml:space="preserve"> s priborom:
- tip: kao WDU 16
Proizvođač: kao WEIDMÜLLER  ili jednakovrijedan</t>
    </r>
  </si>
  <si>
    <t>2.2.40</t>
  </si>
  <si>
    <r>
      <t>Redne stezaljke 4 mm</t>
    </r>
    <r>
      <rPr>
        <vertAlign val="superscript"/>
        <sz val="9"/>
        <color theme="1"/>
        <rFont val="Arial"/>
        <family val="2"/>
        <charset val="238"/>
      </rPr>
      <t>2</t>
    </r>
    <r>
      <rPr>
        <sz val="9"/>
        <color theme="1"/>
        <rFont val="Arial"/>
        <family val="2"/>
      </rPr>
      <t xml:space="preserve"> s priborom:
- tip: kao WDU 4
Proizvođač: kao WEIDMÜLLER  ili jednakovrijedan</t>
    </r>
  </si>
  <si>
    <t>2.2.41</t>
  </si>
  <si>
    <r>
      <t>Rastavne redne stezaljke 4 mm</t>
    </r>
    <r>
      <rPr>
        <vertAlign val="superscript"/>
        <sz val="9"/>
        <color theme="1"/>
        <rFont val="Arial"/>
        <family val="2"/>
        <charset val="238"/>
      </rPr>
      <t>2</t>
    </r>
    <r>
      <rPr>
        <sz val="9"/>
        <color theme="1"/>
        <rFont val="Arial"/>
        <family val="2"/>
      </rPr>
      <t>: 
-tip: kao WTR4
Proizvođač: kao WEIDMÜLLER  ili jednakovrijedan</t>
    </r>
  </si>
  <si>
    <t>2.2.42</t>
  </si>
  <si>
    <t>Ukupno 2.2.</t>
  </si>
  <si>
    <t>23</t>
  </si>
  <si>
    <t>Ormarić mjerenja razine vode bazena rashlade +Y BJP14 GH001</t>
  </si>
  <si>
    <t>2.3.1</t>
  </si>
  <si>
    <t>Kompaktni zidni ormar opremljen montažnom pločom, prednjim vratima s dvije bravice, podnicom s kabelskim uvodnicama sljedećih karakteristika:
- tip: kao AX
- dimenzije (Š×V×D): 500×500×300 mm,
- materijal: čelični lim,
- boja: RAL 7035,
- stupanj zaštite: IP66,
- narudžbeni broj: kao 1350.000
Proizvođač: kao RITTAL  ili jednakovrijedan</t>
  </si>
  <si>
    <t>2.3.2</t>
  </si>
  <si>
    <t>Rasvjetna armatura 400 lm, 230 Vac, širine 262 mm s preklopkom:
- narudžbeni broj: kao 2500.100
Proizvođač: kao RITTAL</t>
  </si>
  <si>
    <t>2.3.3</t>
  </si>
  <si>
    <t>2.3.4</t>
  </si>
  <si>
    <t>2.3.5</t>
  </si>
  <si>
    <t>2.3.6</t>
  </si>
  <si>
    <t>Grijač 50W, 230V, 50Hz s priključnim kabelom
- narudžbeni broj: kao 3105.340.
Proizvođač: kao RITTAL  ili jednakovrijedan</t>
  </si>
  <si>
    <t>2.3.7</t>
  </si>
  <si>
    <t>2.3.8</t>
  </si>
  <si>
    <t>2.3.9</t>
  </si>
  <si>
    <r>
      <t>Redne stezaljke 4 mm</t>
    </r>
    <r>
      <rPr>
        <vertAlign val="superscript"/>
        <sz val="9"/>
        <color theme="1"/>
        <rFont val="Arial"/>
        <family val="2"/>
        <charset val="238"/>
      </rPr>
      <t>2</t>
    </r>
    <r>
      <rPr>
        <sz val="9"/>
        <color theme="1"/>
        <rFont val="Arial"/>
        <family val="2"/>
      </rPr>
      <t xml:space="preserve"> s priborom:
- tip: kao WDU 4
Proizvođač: kao WEIDMÜLLER</t>
    </r>
  </si>
  <si>
    <t>2.3.10</t>
  </si>
  <si>
    <t>Ukupno 2.3.</t>
  </si>
  <si>
    <t>2.4</t>
  </si>
  <si>
    <t>Oprema za uzemljenje</t>
  </si>
  <si>
    <t>2.4.1</t>
  </si>
  <si>
    <r>
      <t>Bakreno uže za uzemljenje presjeka 50 mm</t>
    </r>
    <r>
      <rPr>
        <vertAlign val="superscript"/>
        <sz val="9"/>
        <color theme="1"/>
        <rFont val="Arial"/>
        <family val="2"/>
        <charset val="238"/>
      </rPr>
      <t>2</t>
    </r>
    <r>
      <rPr>
        <sz val="9"/>
        <color theme="1"/>
        <rFont val="Arial"/>
        <family val="2"/>
      </rPr>
      <t>.</t>
    </r>
  </si>
  <si>
    <t>2.4.2</t>
  </si>
  <si>
    <r>
      <t>Potpora od Cu, za pričvršćenje bakrenog užeta presjeka 50 mm</t>
    </r>
    <r>
      <rPr>
        <vertAlign val="superscript"/>
        <sz val="9"/>
        <color theme="1"/>
        <rFont val="Arial"/>
        <family val="2"/>
        <charset val="238"/>
      </rPr>
      <t>2</t>
    </r>
    <r>
      <rPr>
        <sz val="9"/>
        <color theme="1"/>
        <rFont val="Arial"/>
        <family val="2"/>
      </rPr>
      <t xml:space="preserve"> na zid s pripadajućim tiplovima.</t>
    </r>
  </si>
  <si>
    <t>2.4.3</t>
  </si>
  <si>
    <r>
      <t>Kabelska stopica za bakreno uže 50 mm</t>
    </r>
    <r>
      <rPr>
        <vertAlign val="superscript"/>
        <sz val="9"/>
        <color theme="1"/>
        <rFont val="Arial"/>
        <family val="2"/>
        <charset val="238"/>
      </rPr>
      <t>2</t>
    </r>
    <r>
      <rPr>
        <sz val="9"/>
        <color theme="1"/>
        <rFont val="Arial"/>
        <family val="2"/>
      </rPr>
      <t xml:space="preserve"> s vijkom M12.</t>
    </r>
  </si>
  <si>
    <t>2.4.4</t>
  </si>
  <si>
    <r>
      <t>Kompresijska “H” stezaljka za spoj dva Cu užeta presjeka 50 mm</t>
    </r>
    <r>
      <rPr>
        <vertAlign val="superscript"/>
        <sz val="9"/>
        <color theme="1"/>
        <rFont val="Arial"/>
        <family val="2"/>
        <charset val="238"/>
      </rPr>
      <t>2</t>
    </r>
  </si>
  <si>
    <t>2.4.5</t>
  </si>
  <si>
    <t>Lim od nehrđajućeg čelika, obojan zeleno žutom bojom nakon izvođenja spoja, dosjedne površine se ne bojaju, minimalne debljine 1,5 mm širine 30 mm, za izvođenje galvanskog spajanja elemenata cjevovoda (cijev-cijev, cijev-ventil, itd.) na prirubnicama (za prirubnice sa vijcima većim od M12). Duljina pojedinog komada lima određuje se na licu mjesta prema mjestu ugradnje kao i rupe prema vijcima na cijevovodu. Procječna dužina komada je 30 cm.</t>
  </si>
  <si>
    <t>2.4.6</t>
  </si>
  <si>
    <r>
      <t>Obujmica za IPMM izrađena od nehrđajućeg čelika (No. 14301/1.4303) koja prima promjere cijevi od 26,9 - 165 mm. Obujmica prima 1 ili 2 P/F vodiča za uzemljenje poprečnih presjeka 4-25 mm</t>
    </r>
    <r>
      <rPr>
        <vertAlign val="superscript"/>
        <sz val="9"/>
        <color theme="1"/>
        <rFont val="Arial"/>
        <family val="2"/>
        <charset val="238"/>
      </rPr>
      <t>2</t>
    </r>
    <r>
      <rPr>
        <sz val="9"/>
        <color theme="1"/>
        <rFont val="Arial"/>
        <family val="2"/>
      </rPr>
      <t>.</t>
    </r>
  </si>
  <si>
    <t>2.4.7</t>
  </si>
  <si>
    <r>
      <t>Stezaljka za spoj Cu užeta (50 ili 70mm</t>
    </r>
    <r>
      <rPr>
        <vertAlign val="superscript"/>
        <sz val="9"/>
        <color theme="1"/>
        <rFont val="Arial"/>
        <family val="2"/>
        <charset val="238"/>
      </rPr>
      <t>2</t>
    </r>
    <r>
      <rPr>
        <sz val="9"/>
        <color theme="1"/>
        <rFont val="Arial"/>
        <family val="2"/>
      </rPr>
      <t>) ili uzemljivačke trake 3-11x30 mm na P/f vodič promjera 2,5 do 95 mm</t>
    </r>
    <r>
      <rPr>
        <vertAlign val="superscript"/>
        <sz val="9"/>
        <color theme="1"/>
        <rFont val="Arial"/>
        <family val="2"/>
        <charset val="238"/>
      </rPr>
      <t>2</t>
    </r>
    <r>
      <rPr>
        <sz val="9"/>
        <color theme="1"/>
        <rFont val="Arial"/>
        <family val="2"/>
      </rPr>
      <t>.</t>
    </r>
  </si>
  <si>
    <t>2.4.8</t>
  </si>
  <si>
    <r>
      <t>P/F vodič za uzemljenje sa zelenožutom izolacijom poprečnog presjeka 50 mm</t>
    </r>
    <r>
      <rPr>
        <vertAlign val="superscript"/>
        <sz val="9"/>
        <color theme="1"/>
        <rFont val="Arial"/>
        <family val="2"/>
        <charset val="238"/>
      </rPr>
      <t xml:space="preserve">2 </t>
    </r>
    <r>
      <rPr>
        <sz val="9"/>
        <color theme="1"/>
        <rFont val="Arial"/>
        <family val="2"/>
      </rPr>
      <t>za uzemljenje.</t>
    </r>
  </si>
  <si>
    <t>2.4.9</t>
  </si>
  <si>
    <r>
      <t>P/F vodič za uzemljenje sa zelenožutom izolacijom poprečnog presjeka 25 mm</t>
    </r>
    <r>
      <rPr>
        <vertAlign val="superscript"/>
        <sz val="9"/>
        <color theme="1"/>
        <rFont val="Arial"/>
        <family val="2"/>
        <charset val="238"/>
      </rPr>
      <t>2</t>
    </r>
    <r>
      <rPr>
        <sz val="9"/>
        <color theme="1"/>
        <rFont val="Arial"/>
        <family val="2"/>
      </rPr>
      <t xml:space="preserve"> za uzemljenje.</t>
    </r>
  </si>
  <si>
    <t>2.4.10</t>
  </si>
  <si>
    <r>
      <t>P/F vodič za uzemljenje sa zelenožutom izolacijom poprečnog presjeka 16 mm</t>
    </r>
    <r>
      <rPr>
        <vertAlign val="superscript"/>
        <sz val="9"/>
        <color theme="1"/>
        <rFont val="Arial"/>
        <family val="2"/>
        <charset val="238"/>
      </rPr>
      <t>2</t>
    </r>
    <r>
      <rPr>
        <sz val="9"/>
        <color theme="1"/>
        <rFont val="Arial"/>
        <family val="2"/>
      </rPr>
      <t xml:space="preserve"> za uzemljenje.</t>
    </r>
  </si>
  <si>
    <t>2.4.11</t>
  </si>
  <si>
    <t>Ostali sitno spojni vijčani i montažni materijal.</t>
  </si>
  <si>
    <t>Ukupno 2.4.</t>
  </si>
  <si>
    <t>2.5</t>
  </si>
  <si>
    <t>Kabeli i kabelske police</t>
  </si>
  <si>
    <t>2.5.1</t>
  </si>
  <si>
    <r>
      <t>Dobava, polaganje i spajanje bezhalogenog energetskog kabela 0,6/1 kV s koncentričnim zaštitnim Cu vodičem:
- tip kabela N2XCH 4×16/16  mm</t>
    </r>
    <r>
      <rPr>
        <vertAlign val="superscript"/>
        <sz val="9"/>
        <rFont val="Arial"/>
        <family val="2"/>
        <charset val="238"/>
      </rPr>
      <t>2</t>
    </r>
    <r>
      <rPr>
        <sz val="9"/>
        <rFont val="Arial"/>
        <family val="2"/>
      </rPr>
      <t xml:space="preserve">
Ukupno položiti kabela</t>
    </r>
  </si>
  <si>
    <t>2.5.2</t>
  </si>
  <si>
    <r>
      <t>Dobava, polaganje i spajanje bezhalogenog energetskog kabela 0,6/1 kV s koncentričnim zaštitnim Cu vodičem:
- tip kabela N2XCH 4×2,5/2,5 mm</t>
    </r>
    <r>
      <rPr>
        <vertAlign val="superscript"/>
        <sz val="9"/>
        <rFont val="Arial"/>
        <family val="2"/>
        <charset val="238"/>
      </rPr>
      <t>2</t>
    </r>
    <r>
      <rPr>
        <sz val="9"/>
        <rFont val="Arial"/>
        <family val="2"/>
      </rPr>
      <t xml:space="preserve">
Ukupno položiti kabela</t>
    </r>
  </si>
  <si>
    <t>2.5.3</t>
  </si>
  <si>
    <r>
      <t>Dobava, polaganje i spajanje bezhalogenog energetskog kabela 0,6/1 kV s koncentričnim zaštitnim Cu vodičem:
- tip kabela N2XCH 3×2,5/2,5 mm</t>
    </r>
    <r>
      <rPr>
        <vertAlign val="superscript"/>
        <sz val="9"/>
        <rFont val="Arial"/>
        <family val="2"/>
        <charset val="238"/>
      </rPr>
      <t>2</t>
    </r>
    <r>
      <rPr>
        <sz val="9"/>
        <rFont val="Arial"/>
        <family val="2"/>
      </rPr>
      <t xml:space="preserve">
Ukupno položiti kabela</t>
    </r>
  </si>
  <si>
    <t>2.5.4</t>
  </si>
  <si>
    <r>
      <t>Dobava, polaganje i spajanje bezhalogenog energetskog kabela 0,6/1 kV s koncentričnim zaštitnim Cu vodičem:
- tip kabela N2XCH 7×1,5/2,5 mm</t>
    </r>
    <r>
      <rPr>
        <vertAlign val="superscript"/>
        <sz val="9"/>
        <rFont val="Arial"/>
        <family val="2"/>
      </rPr>
      <t>2</t>
    </r>
    <r>
      <rPr>
        <sz val="9"/>
        <rFont val="Arial"/>
        <family val="2"/>
      </rPr>
      <t xml:space="preserve">
Ukupno položiti kabela</t>
    </r>
  </si>
  <si>
    <t>2.5.5</t>
  </si>
  <si>
    <r>
      <t>Dobava, polaganje i spajanje bezhalogenog energetskog kabela 0,6/1 kV s koncentričnim zaštitnim Cu vodičem:
- tip kabela N2XCH 3×1,5/1,5 mm</t>
    </r>
    <r>
      <rPr>
        <vertAlign val="superscript"/>
        <sz val="9"/>
        <rFont val="Arial"/>
        <family val="2"/>
      </rPr>
      <t>2</t>
    </r>
    <r>
      <rPr>
        <sz val="9"/>
        <rFont val="Arial"/>
        <family val="2"/>
      </rPr>
      <t xml:space="preserve">
Ukupno položiti kabela</t>
    </r>
  </si>
  <si>
    <t>2.5.6</t>
  </si>
  <si>
    <r>
      <t>Dobava, polaganje i spajanje bezhalogenog energetskog kabela 0,6/1 kV s koncentričnim zaštitnim Cu vodičem:
- tip kabela N2XCH 2×1,5/1,5 mm</t>
    </r>
    <r>
      <rPr>
        <vertAlign val="superscript"/>
        <sz val="9"/>
        <rFont val="Arial"/>
        <family val="2"/>
      </rPr>
      <t>2</t>
    </r>
    <r>
      <rPr>
        <sz val="9"/>
        <rFont val="Arial"/>
        <family val="2"/>
      </rPr>
      <t xml:space="preserve">
Ukupno položiti kabela</t>
    </r>
  </si>
  <si>
    <t>2.5.7</t>
  </si>
  <si>
    <t>Metalne kabelske police širine 100 mm sa nosačima i konzolama. Kabelske police moraju biti ispitane sukladno normi DIN 4102.
Proizvođač kao: Obo Bettermann  ili jednakovrijedan</t>
  </si>
  <si>
    <t>2.5.8</t>
  </si>
  <si>
    <t>Metalne kabelske police širine 300 mm sa nosačima i konzolama. Kabelske police moraju biti ispitane sukladno normi DIN 4102.
Proizvođač kao: Obo Bettermann  ili jednakovrijedan</t>
  </si>
  <si>
    <t>Ukupno 2.5.</t>
  </si>
  <si>
    <t>2.6</t>
  </si>
  <si>
    <t>2.6.1</t>
  </si>
  <si>
    <t>Dobava ormara, ugradnja opreme i ožičavanje prema jednopolnoj shemi.</t>
  </si>
  <si>
    <t>2.6.2</t>
  </si>
  <si>
    <t>2.6.3</t>
  </si>
  <si>
    <t>2.6.4</t>
  </si>
  <si>
    <t>Radovi u strojarnici:
- montaža nove opreme
- polaganje i spajanje novih kabela
- radovi prilagođenja na postojećoj opremi upravljanja sustavom rashlade</t>
  </si>
  <si>
    <t>2.6.5</t>
  </si>
  <si>
    <t>Izvođenje radova izjednačenja potencijala metalnih masa</t>
  </si>
  <si>
    <t>2.6.6</t>
  </si>
  <si>
    <t>Radovi i usluge na poslovima QA i QC:
- tehnička dokumentacija
- nadzor na ispitivanju opreme u tvornici s izradom izvješća
- nadzor na ispitivanju opreme u strojarnici HE Senj s izradom izvješća
- nadzor na mjerenju i ispitivanje opreme AC i DC napajanja
- nadzor kod probnog pogona</t>
  </si>
  <si>
    <t>2.6.7</t>
  </si>
  <si>
    <t>Ispitivanje, parametriranje i puštanje u pogon</t>
  </si>
  <si>
    <t>2.6.8</t>
  </si>
  <si>
    <t>2.6.9</t>
  </si>
  <si>
    <t>2.6.10</t>
  </si>
  <si>
    <t>2.6.11.</t>
  </si>
  <si>
    <t xml:space="preserve">komplet </t>
  </si>
  <si>
    <t>2.6.12.</t>
  </si>
  <si>
    <t xml:space="preserve">Usluga inženjera gradilišta Faze I dobave i opskrbe rashladnom vodom </t>
  </si>
  <si>
    <t>Ukupno 2.6.</t>
  </si>
  <si>
    <t>Treba dodati u signal listu i pronaći gdje je ovo mjerenje u P&amp;I dijagramu - ogranak rezervnog punjenja spremnika rashlade - ukupno 3 signala</t>
  </si>
  <si>
    <t>U listi izvoda</t>
  </si>
  <si>
    <t>Column1</t>
  </si>
  <si>
    <t>Preko komunikacije</t>
  </si>
  <si>
    <t>U listi signala</t>
  </si>
  <si>
    <t>Dodana 2 mjerenja</t>
  </si>
  <si>
    <t>u listi izvoda</t>
  </si>
  <si>
    <t>POMOĆNI SUSTAV OPSKRBE RASHLADNOM VODOM - PRITISAK 1</t>
  </si>
  <si>
    <t>POMOĆNI SUSTAV OPSKRBE RASHLADNOM VODOM - PRITISAK 2</t>
  </si>
  <si>
    <t>POMOĆNI SUSTAV OPSKRBE RASHLADNOM VODOM - PRITISAK 3</t>
  </si>
  <si>
    <t>u BJP12</t>
  </si>
  <si>
    <t>Trenutno samo 1 signal u listi</t>
  </si>
  <si>
    <t>PROTOK RASHLADNE VODE ZA OPSKRBU KLIMA UREĐAJA</t>
  </si>
  <si>
    <t>Dodano</t>
  </si>
  <si>
    <t>IW56</t>
  </si>
  <si>
    <t>IW58</t>
  </si>
  <si>
    <t>IW60</t>
  </si>
  <si>
    <t>IW62</t>
  </si>
  <si>
    <t>3 senzora po unitu, 2 kod turbine (prije i poslije izmjenjivača topline), jedan kod transformatora</t>
  </si>
  <si>
    <t>CRPNI AGREGAT A - UPRAVLJANJE LOKALNO</t>
  </si>
  <si>
    <t>CRPNI AGREGAT A - UPRAVLJANJE AUTOMATSKI</t>
  </si>
  <si>
    <t>CRPNI AGREGAT A - UKLJUČEN</t>
  </si>
  <si>
    <t>CRPNI AGREGAT A - KVAR</t>
  </si>
  <si>
    <t>CRPNI AGREGAT A - ISPAD</t>
  </si>
  <si>
    <t>CRPNI AGREGAT A - ISKLOP U NUŽDI</t>
  </si>
  <si>
    <t>CRPNI AGREGAT B - UPRAVLJANJE AUTOMATSKI</t>
  </si>
  <si>
    <t>CRPNI AGREGAT B - UKLJUČEN</t>
  </si>
  <si>
    <t>CRPNI AGREGAT B - KVAR</t>
  </si>
  <si>
    <t>CRPNI AGREGAT B - ISPAD</t>
  </si>
  <si>
    <t>CRPNI AGREGAT B - ISKLOP U NUŽDI</t>
  </si>
  <si>
    <t>CRPNI AGREGAT C - UPRAVLJANJE LOKALNO</t>
  </si>
  <si>
    <t>CRPNI AGREGAT C - UPRAVLJANJE AUTOMATSKI</t>
  </si>
  <si>
    <t>CRPNI AGREGAT C - UKLJUČEN</t>
  </si>
  <si>
    <t>CRPNI AGREGAT C - KVAR</t>
  </si>
  <si>
    <t>CRPNI AGREGAT C - ISPAD</t>
  </si>
  <si>
    <t>CRPNI AGREGAT C - ISKLOP U NUŽDI</t>
  </si>
  <si>
    <t>TRS 230VUC 2CO - 1123540000</t>
  </si>
  <si>
    <t>220 VDC PREKIDAČI UKLOPLJENI GRUPNI SIGNAL - ALARM OK</t>
  </si>
  <si>
    <t>220 VDC PREKIDAČI UKLOPLJENI GRUPNI SIGNAL - ISKLOP OK</t>
  </si>
  <si>
    <t>I10.0</t>
  </si>
  <si>
    <t>I10.1</t>
  </si>
  <si>
    <t>I10.2</t>
  </si>
  <si>
    <t>I10.3</t>
  </si>
  <si>
    <t>I10.4</t>
  </si>
  <si>
    <t>I10.5</t>
  </si>
  <si>
    <t>I10.6</t>
  </si>
  <si>
    <t>I10.7</t>
  </si>
  <si>
    <t>I11.0</t>
  </si>
  <si>
    <t>I11.1</t>
  </si>
  <si>
    <t>I11.2</t>
  </si>
  <si>
    <t>I11.3</t>
  </si>
  <si>
    <t>I11.4</t>
  </si>
  <si>
    <t>I11.5</t>
  </si>
  <si>
    <t>I11.6</t>
  </si>
  <si>
    <t>I11.7</t>
  </si>
  <si>
    <t>Q4.0</t>
  </si>
  <si>
    <t>Q4.1</t>
  </si>
  <si>
    <t>Q4.2</t>
  </si>
  <si>
    <t>Q4.3</t>
  </si>
  <si>
    <t>Q4.4</t>
  </si>
  <si>
    <t>Q4.5</t>
  </si>
  <si>
    <t>Q4.6</t>
  </si>
  <si>
    <t>Q4.7</t>
  </si>
  <si>
    <t>Q5.0</t>
  </si>
  <si>
    <t>Q5.1</t>
  </si>
  <si>
    <t>Q5.2</t>
  </si>
  <si>
    <t>Q5.3</t>
  </si>
  <si>
    <t>Q5.4</t>
  </si>
  <si>
    <t>Q5.5</t>
  </si>
  <si>
    <t>Q5.6</t>
  </si>
  <si>
    <t>Q5.7</t>
  </si>
  <si>
    <t>TRS 24VDC 1CO</t>
  </si>
  <si>
    <t>ISKLJUČENJE U NUŽDI OK</t>
  </si>
  <si>
    <t>limit switch s ventila</t>
  </si>
  <si>
    <t>ACT20M-AI-AO-E-S - 1176010000</t>
  </si>
  <si>
    <t>VW3 AP 3203</t>
  </si>
  <si>
    <t>Description</t>
  </si>
  <si>
    <t xml:space="preserve">Order number </t>
  </si>
  <si>
    <t>Manufacturer</t>
  </si>
  <si>
    <t>Quantity</t>
  </si>
  <si>
    <t>Type of quantity</t>
  </si>
  <si>
    <t>Low Harmonic Drive System ATV680 - 132/110kW - 400 V - IP23.</t>
  </si>
  <si>
    <t>Schneider Electric</t>
  </si>
  <si>
    <t>set</t>
  </si>
  <si>
    <t>pcs</t>
  </si>
  <si>
    <t>additional Input Output module, Altivar</t>
  </si>
  <si>
    <t>mushroom pushbutton, red, Ø40, pull-to-unlatch</t>
  </si>
  <si>
    <t>protective cover for mushroom pushbutton</t>
  </si>
  <si>
    <t>indicator light, red, 24 VDC</t>
  </si>
  <si>
    <t>indicator light, green, 24 VDC</t>
  </si>
  <si>
    <t>key switch "local/remote"</t>
  </si>
  <si>
    <t>option terminals X200</t>
  </si>
  <si>
    <t>option terminals X205</t>
  </si>
  <si>
    <t>Enclosure Lighting</t>
  </si>
  <si>
    <t>Rittal</t>
  </si>
  <si>
    <t>Ormar Y BJP14 + Y CDP01</t>
  </si>
  <si>
    <t>Komentar - izbrisati stupac prije narudžbe</t>
  </si>
  <si>
    <t>PLC</t>
  </si>
  <si>
    <t>6GK5206-2BS00-2AC2</t>
  </si>
  <si>
    <t>Siemens</t>
  </si>
  <si>
    <t>6ES7513-1AM03-0AB0</t>
  </si>
  <si>
    <t>6GK1900-0AB10</t>
  </si>
  <si>
    <t>6GK5991-1AD00-8AA0</t>
  </si>
  <si>
    <t>6ES7954-8LE04-0AA0</t>
  </si>
  <si>
    <t>6ES7531-7KF00-0AB0</t>
  </si>
  <si>
    <t>6ES7521-1BL00-0AB0</t>
  </si>
  <si>
    <t>6ES7522-1BL01-0AB0</t>
  </si>
  <si>
    <t>Q6.0</t>
  </si>
  <si>
    <t>Q6.1</t>
  </si>
  <si>
    <t>Q6.2</t>
  </si>
  <si>
    <t>Q6.3</t>
  </si>
  <si>
    <t>Q6.4</t>
  </si>
  <si>
    <t>Q6.5</t>
  </si>
  <si>
    <t>Q6.6</t>
  </si>
  <si>
    <t>Q6.7</t>
  </si>
  <si>
    <t>Q7.0</t>
  </si>
  <si>
    <t>Q7.1</t>
  </si>
  <si>
    <t>Q7.2</t>
  </si>
  <si>
    <t>Q7.3</t>
  </si>
  <si>
    <t>Q7.4</t>
  </si>
  <si>
    <t>Q7.5</t>
  </si>
  <si>
    <t>Q7.6</t>
  </si>
  <si>
    <t>Q7.7</t>
  </si>
  <si>
    <t>6GK1901-1BB10-2AA0</t>
  </si>
  <si>
    <t>6XV1840-2AT10</t>
  </si>
  <si>
    <t>6ES7590-1AF30-0AA0</t>
  </si>
  <si>
    <t>6ES7592-1AM00-0XB0</t>
  </si>
  <si>
    <t>6AV2128-3QB06-0AX1</t>
  </si>
  <si>
    <t>6EP1336-3BA10</t>
  </si>
  <si>
    <t>6EP4347-7RB00-0AX0</t>
  </si>
  <si>
    <t>6EP4438-7EB00-3DX0</t>
  </si>
  <si>
    <t>Prema izvedbenom strojarskom, auma ima 24 V</t>
  </si>
  <si>
    <t>Weidmuller</t>
  </si>
  <si>
    <t>Izolacijska U/I na U/I</t>
  </si>
  <si>
    <t>Izlazni releji</t>
  </si>
  <si>
    <t>2NO modul</t>
  </si>
  <si>
    <t>704.911.3-1</t>
  </si>
  <si>
    <t>Phoenix Contact</t>
  </si>
  <si>
    <t>6 paketa po 100 kom</t>
  </si>
  <si>
    <t>2 paketa po 50 kom</t>
  </si>
  <si>
    <t>1 paket po 20 kom 6-pinskih brika</t>
  </si>
  <si>
    <t>3 paketa po 20 kom 10-pinskih brika</t>
  </si>
  <si>
    <t>3 paketa po 5 kom 30-pinskih brika</t>
  </si>
  <si>
    <t>3UG5616-1CR20</t>
  </si>
  <si>
    <t>LAD9R1V</t>
  </si>
  <si>
    <t>Dehn</t>
  </si>
  <si>
    <t>Socomec</t>
  </si>
  <si>
    <t>ATS</t>
  </si>
  <si>
    <t>A9F94303</t>
  </si>
  <si>
    <t>iC60L - minijaturni prekidač - 3P - 3 A - C krivulja</t>
  </si>
  <si>
    <t>Pomoćni kontakt, Acti9 A9A, iOF/SD+OF, 2 C/O, 100mA do 6A, 24VAC do 415VAC, 24VDC do 130VDC, gornji i donji priključak</t>
  </si>
  <si>
    <t>Oprema za +Y BJP14</t>
  </si>
  <si>
    <t>GN20-53-U</t>
  </si>
  <si>
    <t>1 - 0 - 2 grebenjače, 60 stupnjeva kut</t>
  </si>
  <si>
    <t>A9A26909</t>
  </si>
  <si>
    <t>Za MCB-ove u oba ormara</t>
  </si>
  <si>
    <t>TeSys GV2-termo-magnetski-prekidač-1...1,6 A-priključci vijčanim stezaljkama</t>
  </si>
  <si>
    <t>GVAE11</t>
  </si>
  <si>
    <t>A9F94302</t>
  </si>
  <si>
    <t>A9F94306</t>
  </si>
  <si>
    <t>A9F94310</t>
  </si>
  <si>
    <t>A9F94106</t>
  </si>
  <si>
    <t>A9D32613</t>
  </si>
  <si>
    <t>Ostatak izvoda za Y BJP14</t>
  </si>
  <si>
    <t>A9N26909</t>
  </si>
  <si>
    <t>A9N61526</t>
  </si>
  <si>
    <t>SKKE162</t>
  </si>
  <si>
    <t>SEMIKRON</t>
  </si>
  <si>
    <t>1280B IL224</t>
  </si>
  <si>
    <t>AX 1350000</t>
  </si>
  <si>
    <t>Oprema za +Y BJP14GH001</t>
  </si>
  <si>
    <t xml:space="preserve"> 700-HA33A2-3-4L</t>
  </si>
  <si>
    <t>700-HN157</t>
  </si>
  <si>
    <t>700-HN205</t>
  </si>
  <si>
    <t>ALLEN BRADLEY</t>
  </si>
  <si>
    <t>DONJA VODA - VODLJIVOST VODE AGREGATA A</t>
  </si>
  <si>
    <t>DONJA VODA - VODLJIVOST VODE AGREGATA B</t>
  </si>
  <si>
    <t>DONJA VODA - VODLJIVOST VODE AGREGATA C</t>
  </si>
  <si>
    <t xml:space="preserve">Nadzor - 3UG5616-1CR20
MCB - A9F94303
Pom kontakt za MCB - A9A26909
</t>
  </si>
  <si>
    <t>PROCESNA STANICA ZAJEDNIČKIH UREĐAJA SIGNAL 1</t>
  </si>
  <si>
    <t>PROCESNA STANICA ZAJEDNIČKIH UREĐAJA SIGNAL 2</t>
  </si>
  <si>
    <t>PROCESNA STANICA ZAJEDNIČKIH UREĐAJA SIGNAL 3</t>
  </si>
  <si>
    <t>Signali od procesne za omogućenje upravljanja, za odabir izvora napajanja prema ATS-u</t>
  </si>
  <si>
    <t>ATS ULAZ 1</t>
  </si>
  <si>
    <t>ATS ULAZ 2</t>
  </si>
  <si>
    <t>ATS ULAZ 3</t>
  </si>
  <si>
    <t>ništa</t>
  </si>
  <si>
    <t>ACT20M-AI-AO-E-S - 1176010001</t>
  </si>
  <si>
    <t>ACT20M-AI-AO-E-S - 1176010002</t>
  </si>
  <si>
    <t>ACT20M-AI-AO-E-S - 1176010004</t>
  </si>
  <si>
    <t>TRS 24VDC 2CO - 1123490000</t>
  </si>
  <si>
    <t>BAZEN RASHLADNE VODE - PLOVNA SKLOPKA - MAKSIMALNA RAZINA</t>
  </si>
  <si>
    <t>signal po prekidača - trip signal</t>
  </si>
  <si>
    <t>Stavljen odvodnik bez MCB-a, TN-S odvodnik od DEHN-a DG MD TNS 275 FM - 943405</t>
  </si>
  <si>
    <t>FU1</t>
  </si>
  <si>
    <t>Motor i sensors lista za veličinu izvoda - MCB - A9F94302
Pom kontakt - A9A26909</t>
  </si>
  <si>
    <t>UPRAVLJAČKI NAPON REGULACIJSKOG VENTILA RKPV</t>
  </si>
  <si>
    <t>VENTIL NA GLAVNOM DOVODNOM CJEVOVODU - UPRAVLJANJE RUČNO</t>
  </si>
  <si>
    <t>VENTIL NA GLAVNOM DOVODNOM CJEVOVODU - UPRAVLJANJE AUTOMATSKI</t>
  </si>
  <si>
    <t>VENTIL NA GLAVNOM DOVODNOM CJEVOVODU - UPRAVLJANJE OMOGUĆENO</t>
  </si>
  <si>
    <t>VENTIL NA GLAVNOM DOVODNOM CJEVOVODU - OTVOREN</t>
  </si>
  <si>
    <t>VENTIL NA GLAVNOM DOVODNOM CJEVOVODU - ZATVOREN</t>
  </si>
  <si>
    <t>VENTIL NA GLAVNOM DOVODNOM CJEVOVODU - KVAR</t>
  </si>
  <si>
    <t>VENTIL NA GLAVNOM DOVODNOM CJEVOVODU - UKLJUČENJE</t>
  </si>
  <si>
    <t>VENTIL NA GLAVNOM DOVODNOM CJEVOVODU - ISKLJUČENJE</t>
  </si>
  <si>
    <t>VENTIL NA GLAVNOM DOVODNOM CJEVOVODU - STOP</t>
  </si>
  <si>
    <t>Lampice, tipkala, tipkala s lampicom</t>
  </si>
  <si>
    <t>DOVOD 1 AC NAPONA UKLJUČEN</t>
  </si>
  <si>
    <t>DOVOD 2 AC NAPONA UKLJUČEN</t>
  </si>
  <si>
    <t>AC NAPON NA SABIRNICAMA ISPRAVAN</t>
  </si>
  <si>
    <t>ISPAD PREKIDAČA AC NAPONA</t>
  </si>
  <si>
    <t>lampica, zelena</t>
  </si>
  <si>
    <t>lampica, crvena</t>
  </si>
  <si>
    <t>VENTIL NA OTCJEPU ZATVARANJE U NUŽDI</t>
  </si>
  <si>
    <t>tipkalo s lampicom, crveno</t>
  </si>
  <si>
    <t>VENTIL NA POMOĆNOM DOVODNOM CJEVOVODU - UPRAVLJANJE OMOGUĆENO</t>
  </si>
  <si>
    <t>lampica, prozirna</t>
  </si>
  <si>
    <t>VENTIL NA POMOĆNOM DOVODNOM CJEVOVODU - KVAR</t>
  </si>
  <si>
    <t>VENTIL NA POMOĆNOM DOVODNOM CJEVOVODU - ZATVARANJE/ZATVOREN</t>
  </si>
  <si>
    <t>VENTIL NA POMOĆNOM DOVODNOM CJEVOVODU - STOP</t>
  </si>
  <si>
    <t>tipkalo, bijelo</t>
  </si>
  <si>
    <t>VENTIL NA POMOĆNOM DOVODNOM CJEVOVODU - OTVARANJE/OTVOREN</t>
  </si>
  <si>
    <t>tipkalo s lampicom, zeleno</t>
  </si>
  <si>
    <t>REGULACIJSKI VENTIL NA POMOĆNOM DOVODNOM CJEVOVODU - UPRAVLJANJE OMOGUĆENO</t>
  </si>
  <si>
    <t>REGULACIJSKI VENTIL NA POMOĆNOM DOVODNOM CJEVOVODU - KVAR</t>
  </si>
  <si>
    <t>REGULACIJSKI VENTIL NA POMOĆNOM DOVODNOM CJEVOVODU - ZATVARANJE/ZATVOREN</t>
  </si>
  <si>
    <t>REGULACIJSKI VENTIL NA POMOĆNOM DOVODNOM CJEVOVODU - STOP</t>
  </si>
  <si>
    <t>REGULACIJSKI VENTIL NA POMOĆNOM DOVODNOM CJEVOVODU - OTVARANJE/OTVOREN</t>
  </si>
  <si>
    <t>VENTIL NA GLAVNOM DOVODNOM CJEVOVODU - ZATVARANJE/ZATVOREN</t>
  </si>
  <si>
    <t>VENTIL NA GLAVNOM DOVODNOM CJEVOVODU - OTVARANJE/OTVOREN</t>
  </si>
  <si>
    <t>KVAR FILTERA 500 mm</t>
  </si>
  <si>
    <t>KVAR FILTERA 200 mm</t>
  </si>
  <si>
    <t xml:space="preserve">KVAR FILTERA </t>
  </si>
  <si>
    <t>UPRAVLJANJE CRPKOM 1 - CRPKA U RADU</t>
  </si>
  <si>
    <t>UPRAVLJANJE CRPKOM 1 - KVAR CRPKE</t>
  </si>
  <si>
    <t>UPRAVLJANJE CRPKOM 1 - PREVISOKI SALINITET DONJE VODE</t>
  </si>
  <si>
    <t>lampica, žuta</t>
  </si>
  <si>
    <t>UPRAVLJANJE CRPKOM 2 - CRPKA U RADU</t>
  </si>
  <si>
    <t>UPRAVLJANJE CRPKOM 2 - KVAR CRPKE</t>
  </si>
  <si>
    <t>UPRAVLJANJE CRPKOM 2 - PREVISOKI SALINITET DONJE VODE</t>
  </si>
  <si>
    <t>UPRAVLJANJE CRPKOM 3 - CRPKA U RADU</t>
  </si>
  <si>
    <t>UPRAVLJANJE CRPKOM 3 - KVAR CRPKE</t>
  </si>
  <si>
    <t>UPRAVLJANJE CRPKOM 3 - PREVISOKI SALINITET DONJE VODE</t>
  </si>
  <si>
    <t>UPRAVLJANJE CRPKOM 1 - DALJINSKO UPRAVLJANJE OMOGUĆENO</t>
  </si>
  <si>
    <t>UPRAVLJANJE CRPKOM 2 - DALJINSKO UPRAVLJANJE OMOGUĆENO</t>
  </si>
  <si>
    <t>UPRAVLJANJE CRPKOM 3 - DALJINSKO UPRAVLJANJE OMOGUĆENO</t>
  </si>
  <si>
    <t>KVAR RAZVODA DC NAPONA 24 VDC</t>
  </si>
  <si>
    <t>NESTANAK DC NAPONA 24 VDC</t>
  </si>
  <si>
    <t>KVAR PROCESNE STANICE</t>
  </si>
  <si>
    <t>ISPITIVANJE SIGNALIZACIJE</t>
  </si>
  <si>
    <t>tip</t>
  </si>
  <si>
    <t>NARUČENO</t>
  </si>
  <si>
    <t>ZA NARUČITI</t>
  </si>
  <si>
    <t>distriblok 125 A</t>
  </si>
  <si>
    <t>A9A153010</t>
  </si>
  <si>
    <t>2500500K</t>
  </si>
  <si>
    <t>1K releji na 24 VDC</t>
  </si>
  <si>
    <t>1K releji na 220 VDC</t>
  </si>
  <si>
    <t>Končar</t>
  </si>
  <si>
    <t>704.229.700</t>
  </si>
  <si>
    <t>704.229.200</t>
  </si>
  <si>
    <t>LC1D09MD</t>
  </si>
  <si>
    <t>Odvodnik prenapona za TNS</t>
  </si>
  <si>
    <t>Kratkospojnik za “Change-over” sklopku 4P, 40...125A</t>
  </si>
  <si>
    <t>Pokrov kontakata za 4P sklopku 40...160A</t>
  </si>
  <si>
    <t>Stopica za priključak upravljačkog napona 2 komada</t>
  </si>
  <si>
    <t>GV2ME06AP</t>
  </si>
  <si>
    <t>KL-295(P3)/180</t>
  </si>
  <si>
    <t>IME</t>
  </si>
  <si>
    <t>AN25DDC400</t>
  </si>
  <si>
    <t>C103100S</t>
  </si>
  <si>
    <t>Dodatno naručiti - poslati danas zahtjevnice Lazeti</t>
  </si>
  <si>
    <t>IKBC4016-A</t>
  </si>
  <si>
    <t>Schrack</t>
  </si>
  <si>
    <t>Špula 24 VDC</t>
  </si>
  <si>
    <t>Špula 220 VDC</t>
  </si>
  <si>
    <t>700-HA33Z2-3</t>
  </si>
  <si>
    <t>700-HA33Z24-3-4</t>
  </si>
  <si>
    <t>Retainer</t>
  </si>
  <si>
    <t>11-pin podnožje</t>
  </si>
  <si>
    <t>Timer modul</t>
  </si>
  <si>
    <t>700-HT3</t>
  </si>
  <si>
    <t>Allen Bradley</t>
  </si>
  <si>
    <t>-A111...-A113</t>
  </si>
  <si>
    <t>-U111</t>
  </si>
  <si>
    <t>-A121…-A122</t>
  </si>
  <si>
    <t>-A131…-A135</t>
  </si>
  <si>
    <t>-A100</t>
  </si>
  <si>
    <t>-U101, -U102</t>
  </si>
  <si>
    <t>-V101</t>
  </si>
  <si>
    <t>-F201, -F202</t>
  </si>
  <si>
    <t>-U151…-U166</t>
  </si>
  <si>
    <t>-1K01…-1K98</t>
  </si>
  <si>
    <t>-1K101…-1K198</t>
  </si>
  <si>
    <t>-FU1</t>
  </si>
  <si>
    <t>-S1</t>
  </si>
  <si>
    <t>F201.1</t>
  </si>
  <si>
    <t>F201.2</t>
  </si>
  <si>
    <t>F201.3</t>
  </si>
  <si>
    <t>F201.4</t>
  </si>
  <si>
    <t>F201.5</t>
  </si>
  <si>
    <t>F201.6</t>
  </si>
  <si>
    <t>F201.7</t>
  </si>
  <si>
    <t>F201.8</t>
  </si>
  <si>
    <t>F202.1</t>
  </si>
  <si>
    <t>F202.2</t>
  </si>
  <si>
    <t>F202.3</t>
  </si>
  <si>
    <t>F202.4</t>
  </si>
  <si>
    <t>F202.5</t>
  </si>
  <si>
    <t>F202.6</t>
  </si>
  <si>
    <t>F202.7</t>
  </si>
  <si>
    <t>F202.8</t>
  </si>
  <si>
    <t>HIDOSTATSKI MJERAČI RAZINE BAZENA RASHLADNE VODE</t>
  </si>
  <si>
    <t>-V1, -V2</t>
  </si>
  <si>
    <t>Spajanje NSX100NA na 220 VDC dovod prema slici desno</t>
  </si>
  <si>
    <t>-K411</t>
  </si>
  <si>
    <t>-P101</t>
  </si>
  <si>
    <t>-P201, -P202</t>
  </si>
  <si>
    <t>-K401…-K405</t>
  </si>
  <si>
    <t>F31</t>
  </si>
  <si>
    <t>F32</t>
  </si>
  <si>
    <t>F33</t>
  </si>
  <si>
    <t>F34</t>
  </si>
  <si>
    <t>F35</t>
  </si>
  <si>
    <t>F36</t>
  </si>
  <si>
    <t>F37</t>
  </si>
  <si>
    <t>F38</t>
  </si>
  <si>
    <t>F39</t>
  </si>
  <si>
    <t>Y CDP01</t>
  </si>
  <si>
    <t>Y CDP01, Y BJP14</t>
  </si>
  <si>
    <t>Y BJP14</t>
  </si>
  <si>
    <t>-K3.1, -K3.2,…-K5.1, -K5.2</t>
  </si>
  <si>
    <t>GV2ME06AP
GVAE11
2 x LC1D09MD</t>
  </si>
  <si>
    <t>Izvode nacrtati ispod diode
A9N61526
A9N26909</t>
  </si>
  <si>
    <t>A9N61526
A9N26909</t>
  </si>
  <si>
    <t>Sto jos nije doslo</t>
  </si>
  <si>
    <t>Schneider VFD</t>
  </si>
  <si>
    <t>Indikatori za vrata</t>
  </si>
  <si>
    <t>Dodatni ControlTech</t>
  </si>
  <si>
    <t>Odvodnik prenapona</t>
  </si>
  <si>
    <t>U preglednom nisu ubačeni 1K i 2K releji</t>
  </si>
  <si>
    <t>rpvojeriti idu li na stezaljke pa van</t>
  </si>
  <si>
    <t>izvaditi sve napomene za projektiranje</t>
  </si>
  <si>
    <t>napraviti karakteristicne stranice za projektiranje</t>
  </si>
  <si>
    <t>Projektni zadatak</t>
  </si>
  <si>
    <t>20% slobodnog prostora na montažnoj</t>
  </si>
  <si>
    <t>Na svakoj PE sabirnici u ormaru je potrebno predvidjeti rupu za 25 mm2 bakreno uže</t>
  </si>
  <si>
    <t>Uzemljenje širmova na stezaljkama</t>
  </si>
  <si>
    <t>Naručiti 100 WPE 4 - 1010100000</t>
  </si>
  <si>
    <t>sve izvana mora doći prvo na stezaljke - to znači da špule 1K releja idu na stezaljke</t>
  </si>
  <si>
    <t>žice otporne na plamen min 30 min</t>
  </si>
  <si>
    <t>presjek vodiča 1,5 mm2</t>
  </si>
  <si>
    <t>Kabeli s više od 7 žila moraju imati 20% rezerve</t>
  </si>
  <si>
    <t>Spare žile kabela moramo spojiti na stezaljke</t>
  </si>
  <si>
    <t>Upravljački i mjerni signali - napon ispod 60 V - kabeli žila 0,75 mm2</t>
  </si>
  <si>
    <t>20% rezerve na svakoj stezaljki</t>
  </si>
  <si>
    <t>potrebno generirati terminal diagram</t>
  </si>
  <si>
    <t>BOJE ŽICA - 400/230 VAC</t>
  </si>
  <si>
    <t>Boje ŽICA - DC - isto vrijedi za 220 VDC, 24 VDC i upravljačke - prokomentirati to s Krapinecom</t>
  </si>
  <si>
    <t>Natpisne pločice</t>
  </si>
  <si>
    <t>Dovod je riješen preko ATS-a ATyS t M Socomec - 93444012  - 1 kom
Spojnica za izlaz iz ATS-a - 13094006 - 3 kom
Pleksi za zaštitu od dodira - 22944016  - 1 set
Voltage sensing kit - 13994006  - 1 set
Blok pomocnih kontakata - 13091001 - 1 kom
Distriblok - Schrack - IKBC4016-A</t>
  </si>
  <si>
    <t>S0</t>
  </si>
  <si>
    <t>bijela lampica - MCB on odnosno VALVE RDY</t>
  </si>
  <si>
    <t>ZA STOP VENTILA</t>
  </si>
  <si>
    <t>PLC VREMENSKI RELEJ 1</t>
  </si>
  <si>
    <t>PLC VREMENSKI RELEJ 2</t>
  </si>
  <si>
    <t>Dodatno - 10.7.2026</t>
  </si>
  <si>
    <t>V101</t>
  </si>
  <si>
    <t>NSX - C103100S
29450</t>
  </si>
  <si>
    <t>6EP4438-7EB00-3DX0, otvoriti manual za prikaz spajanja, također podloga - Massenza ASM</t>
  </si>
  <si>
    <t>Lampica - staviti oznaku</t>
  </si>
  <si>
    <t>Pollmann</t>
  </si>
  <si>
    <t>Distriblok 1 - pole za 220 VDC</t>
  </si>
  <si>
    <t>IKBC1035--</t>
  </si>
  <si>
    <t> IKB01025N</t>
  </si>
  <si>
    <t>Ormar samostojeći VX25, š×v×d: 800×2000×800 mm, IP 55, s prednjim i stražnjim vratima, s 2 montažne ploče</t>
  </si>
  <si>
    <t>Međuploča montažna, za ormare visine 2000 mm</t>
  </si>
  <si>
    <t>Proizvođač</t>
  </si>
  <si>
    <t>Tip količine</t>
  </si>
  <si>
    <t>Stranica bočna VX25, v×d: 2000×800mm, pak=2</t>
  </si>
  <si>
    <t>Spojnik ormara Vanjski, VX25/VX25, pak=6</t>
  </si>
  <si>
    <t>Pokrov za spoj polja ormara TS8/VX25 dubine 800 mm</t>
  </si>
  <si>
    <t>Kabel za napajanje LED rasvjete (narančasti), 100...240 V AC, 3-pol, 3m</t>
  </si>
  <si>
    <t>Rasvjeta LED, 100...240V AC, 900 lm, L=437 mm, bez utičnice</t>
  </si>
  <si>
    <t>Kabel međuspojni za LED rasvjetu (narančasti) UL, 100...240 V AC, 3-pol, 1m</t>
  </si>
  <si>
    <t>Kuke transportne VX25, M12, pak=4</t>
  </si>
  <si>
    <t>Ručica COMFORT VX25, bez umetka, RAL 7035, za polucilindar umetke</t>
  </si>
  <si>
    <t>Higrostat 50...100%, 24-230V AC / 24 - 48V DC</t>
  </si>
  <si>
    <t>Sekcija za ulaz kabela VX25, Centralna za ormar širine 800 mm, pak=2</t>
  </si>
  <si>
    <t>Džep za nacrte metalni, š×v×d: 655×210×90 mm, za montažu vijcima na okvir vrata</t>
  </si>
  <si>
    <t>-R101, -R102</t>
  </si>
  <si>
    <t>-S101, -S102, -S103, -S104</t>
  </si>
  <si>
    <t>-B101</t>
  </si>
  <si>
    <t>-E101, -E102</t>
  </si>
  <si>
    <t>Distriblok za N</t>
  </si>
  <si>
    <t>-B102</t>
  </si>
  <si>
    <t>-X101, -X102</t>
  </si>
  <si>
    <t>-S110, -S101, -S201, -S301</t>
  </si>
  <si>
    <t>-S111, -S211, -S311, -S411, -S511, -S611, -S911</t>
  </si>
  <si>
    <t>-H8, -H101, -H201, -H301, -H404, -H504, -H604</t>
  </si>
  <si>
    <t>-H4, -H5, -H6, -H7, -H102, -H202, -H302, -H402, -H502, -H602, -H701, -H702, -H703, H801, -H802</t>
  </si>
  <si>
    <t>-S102, -S202, -S302</t>
  </si>
  <si>
    <t>-S103, -S203, -S303</t>
  </si>
  <si>
    <t>-H1, -H2, -H3, -H401, -H501, -H601</t>
  </si>
  <si>
    <t>-H403, H503, -H603</t>
  </si>
  <si>
    <t>-F2</t>
  </si>
  <si>
    <t>-F3, -F4, -F5</t>
  </si>
  <si>
    <t>-F6, -F7, -F8, -F9, -F10, -F13</t>
  </si>
  <si>
    <t>-F12</t>
  </si>
  <si>
    <t>-F11</t>
  </si>
  <si>
    <t>-F31, -F32, -F33, -F34, -F36, -F37, -F38</t>
  </si>
  <si>
    <t>-F35, -F39</t>
  </si>
  <si>
    <t>-F101,…-F106</t>
  </si>
  <si>
    <t>-S101, -S102</t>
  </si>
  <si>
    <t>-H110, -H111</t>
  </si>
  <si>
    <t>-X1</t>
  </si>
  <si>
    <t>-X500, -X501, -X502</t>
  </si>
  <si>
    <t>-X110, -X111</t>
  </si>
  <si>
    <t>-2K01…2K48</t>
  </si>
  <si>
    <t>-S301</t>
  </si>
  <si>
    <t>704.927.9</t>
  </si>
  <si>
    <t>Spajamo 230 VAC releje ispod ATS-a</t>
  </si>
  <si>
    <t>kontakt 63/64</t>
  </si>
  <si>
    <t>Dodatni kontakt C/O pinovi 01/02/04 - spojiti na 01 i 04</t>
  </si>
  <si>
    <t>Dodatni kontakt C/O pinovi 21/22/24 - spojiti na 21 i 24</t>
  </si>
  <si>
    <t>Dodatni kontakt C/O pinovi 11/12/14 - spojiti na 11 i 14</t>
  </si>
  <si>
    <t>NO kontakt od F4 spojiti na TRS 24VDC 2CO - 1123490000 na posebnoj, QA stranici. Jedan kontakt od releja spojiti na PLC DI, drugi kontakt na lampicu</t>
  </si>
  <si>
    <t>NO kontakt od F3 spojiti na TRS 24VDC 2CO - 1123490000 na posebnoj, QA stranici. Jedan kontakt od releja spojiti na PLC DI, drugi kontakt na lampicu</t>
  </si>
  <si>
    <t>NO kontakt od F5 spojiti na TRS 24VDC 2CO - 1123490000 na posebnoj, QA stranici. Jedan kontakt od releja spojiti na PLC DI, drugi kontakt na lampicu</t>
  </si>
  <si>
    <t>NC kontakt od F4 spojiti na TRS 24VDC 2CO - 1123490000 na posebnoj, QA stranici. Jedan kontakt od releja spojiti na PLC DI, drugi kontakt na lampicu</t>
  </si>
  <si>
    <t>NC kontakt od F3 spojiti na TRS 24VDC 2CO - 1123490000 na posebnoj, QA stranici. Jedan kontakt od releja spojiti na PLC DI, drugi kontakt na lampicu</t>
  </si>
  <si>
    <t>NC kontakt od F5 spojiti na TRS 24VDC 2CO - 1123490000 na posebnoj, QA stranici. Jedan kontakt od releja spojiti na PLC DI, drugi kontakt na lampicu</t>
  </si>
  <si>
    <t>GRUBI FILTAR 1 NA ULAZU U RASHLADNI BAZEN - KVAR</t>
  </si>
  <si>
    <t>GRUBI FILTAR 2 NA ULAZU U RASHLADNI BAZEN - KVAR</t>
  </si>
  <si>
    <t>FINI FILTAR NA ULAZU U RASHLADNI BAZEN - KVAR</t>
  </si>
  <si>
    <t>NC kontakt od F6 spojiti na TRS 24VDC 2CO - 1123490000 na posebnoj, QA stranici. Jedan kontakt od releja spojiti na PLC DI, drugi kontakt na lampicu</t>
  </si>
  <si>
    <t>signal od U101</t>
  </si>
  <si>
    <t>signal od U102</t>
  </si>
  <si>
    <t>signal od serija -F104 i -F106</t>
  </si>
  <si>
    <t>signal -F103</t>
  </si>
  <si>
    <t>24 VDC NAPAJANJE UNUTARNJIH UREĐAJA - OK</t>
  </si>
  <si>
    <t>24 VDC NAPAJANJE VANJSKIH UREĐAJA - OK</t>
  </si>
  <si>
    <t>signal od -F201</t>
  </si>
  <si>
    <t>signal od -F202</t>
  </si>
  <si>
    <t>Signal od gljive</t>
  </si>
  <si>
    <t>VENTIL NA OTCJEPU S TLAČNOG CJEVOVODA - OTVARANJE</t>
  </si>
  <si>
    <t>VENTIL NA OTCJEPU S TLAČNOG CJEVOVODA - ZATVARANJE</t>
  </si>
  <si>
    <t>REGULACIJSKI VENTIL POMOĆNOG SUSTAVA OPSKRBE RASHLADNOM VODOM - OTVARANJE</t>
  </si>
  <si>
    <t>REGULACIJSKI VENTIL POMOĆNOG SUSTAVA OPSKRBE RASHLADNOM VODOM - ZATVARANJE</t>
  </si>
  <si>
    <t>VENTIL NA GLAVNOM DOVODNOM CJEVOVODU - OTVARANJE</t>
  </si>
  <si>
    <t>VENTIL NA GLAVNOM DOVODNOM CJEVOVODU - ZATVARANJE</t>
  </si>
  <si>
    <t>v5-dodatni signal</t>
  </si>
  <si>
    <t>Naručeni broj</t>
  </si>
  <si>
    <t>Kutnik spojni za raspodjelu vlačnih sila tijekom transporta  ormara, pak=4</t>
  </si>
  <si>
    <t>Podnožje prednje/ stražnje VX25, š×v: 800×100 mm, crno, pak=2</t>
  </si>
  <si>
    <t>Prekidač za vrata za LED sistemsku rasvjetu, sa kabelom 0,8 m</t>
  </si>
  <si>
    <t>Grijač PTC TopTherm, 130..150 W, 110-240V AC/DC, Izvedba bez ventilatora</t>
  </si>
  <si>
    <t>Unutarnji spojni nosač za spajanje ormara, VX25/VX25, materijal: pocinčani čelični lim, pak=6</t>
  </si>
  <si>
    <t>Unutarnji termostat za kućište +5...+60°C, 24-230V AC, 24-60V DC</t>
  </si>
  <si>
    <t>Stranica podnožja bočna, čelični lim, VX25, v×d: 100×800 mm, pak=2</t>
  </si>
  <si>
    <t>Šina perforirana DIN, 35/ 7,5 mm, L=2000 mm, ZN vrh: NS 35/ 7,5</t>
  </si>
  <si>
    <t>Montažni nosač za pričvršćivanje prekidača s upravljanjem vratima na okvir VX, VX IT</t>
  </si>
  <si>
    <t>Komplet za montažu s magnetom za LED sustavnu svjetiljku, za lijepljenje na stražnju stranu svjetala bez grla</t>
  </si>
  <si>
    <t>Utičnica 2P+PE 10/16A, 250V AC (DIN standard) za montažu na DIN nosač</t>
  </si>
  <si>
    <t>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t>
  </si>
  <si>
    <t>prekidač</t>
  </si>
  <si>
    <t>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t>
  </si>
  <si>
    <t>SCALANCE X pribor; Primopredajnik SFP991-1; 1x 100 Mbps LC port, optički; višemodno staklo do maks. 5 km (s OM2++ vlaknom)</t>
  </si>
  <si>
    <t>SIMATIC S7-1500, CPU 1513-1 PN, centralna procesorska jedinica s radnom memorijom od 600 KB za program i 2,5 MB za podatke, 1. sučelje: PROFINET IRT s 2-portnim preklopnikom, performanse od 6 ns bita, potrebna SIMATIC memorijska kartica</t>
  </si>
  <si>
    <t>SIMATIC S7, memorijske kartice za S7-1x00 CPU/SINAMICS, 3, 3V Flash, 12 MB</t>
  </si>
  <si>
    <t>SIMATIC S7-1500, digitalni ulazni modul DI 32x24 V DC HF, 32 kanala u grupama od 16; od kojih se 2 ulaza mogu koristiti kao brojači; kašnjenje ulaza 0,05..20 ms tip ulaza 3 (IEC 61131); dijagnostika; hardverski prekidi: prednji konektor (vijčani terminali ili utični) naručuje se zasebno</t>
  </si>
  <si>
    <t>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t>
  </si>
  <si>
    <t>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t>
  </si>
  <si>
    <t>Industrijski Ethernet FastConnect RJ45 utikač 180 2x 2, RJ45 utični konektor (10/100 Mbit/s) s robusnim metalnim kućištem i FC sustavom spajanja, za IE FC TP kabel 2x 2; izlaz kabela od 180° 1 pakiranje = 1 jedinica.</t>
  </si>
  <si>
    <t>IE FC TP standardni kabel GP 2x2 (PROFINET tip A), CAT5E, bus kabel s 4 žice, oklopljen, posebna konfiguracija za brzu montažu na IE FC RJ45 utikač 2x2, 100 m.</t>
  </si>
  <si>
    <t>SIMATIC S7-1500, montažna šina 530 mm (cca. 20,9 inča); uklj. vijak za uzemljenje, integrirana DIN šina za montažu dodatne opreme kao što su terminali, automatski prekidači i releji</t>
  </si>
  <si>
    <t>SIMATIC S7-1500, Prednji konektor Sustav spajanja vijčanim tipom, 40-polni za module širine 35 mm uklj. 4 potencijalna mosta i kabelske vezice</t>
  </si>
  <si>
    <t>SIMATIC HMI MTP1500, Unified Comfort Panel, upravljanje dodirom, 15,6" TFT zaslon širokog zaslona, 16 milijuna boja, PROFINET sučelje, konfigurabilno od WinCC Unified Comfort V16, sadrži softver otvorenog koda koji se pruža besplatno, pogledajte priloženi DVD</t>
  </si>
  <si>
    <t xml:space="preserve"> SITOP PSU8200 20 A stabilizirano napajanje ulaz: 120-230 V AC 110-220 V DC izlaz: 24 V DC/20 A</t>
  </si>
  <si>
    <t>SITOP RED1200 redundantni modul Ulaz/izlaz: 24/48 V DC/40 A Pogodan za odvajanje dva SITOP napajanja s maks. izlaznom strujom od 20 A svaki</t>
  </si>
  <si>
    <t>SITOP SEL1400 10 A selektivni modul 8-kanalni s graničnom karakteristikom ulaz: 24 V DC/60 A izlaz: 24 V DC/8x 10 A podesivi prag 2-10 A s nadzornim sučeljem</t>
  </si>
  <si>
    <t>ACT20M-AI-AO-ES Analogno izolacijsko pojačalo, Konfigurabilno, bez napajanja senzora, Točnost &lt;0,2 % mjernog raspona, Ulaz: I / U, Izlaz: I / U</t>
  </si>
  <si>
    <t>Weidmüller</t>
  </si>
  <si>
    <t>MF 5/7.5 MC NE WS MultiFit, Oznaka za terminale, 5 x 7,5 mm, Razmak u mm (P): 7,50 Adels RKW, Phoenix, temperaturni raspon od -40 °C do +100 °C, bijela boja</t>
  </si>
  <si>
    <t>Držač markera za izolaciju</t>
  </si>
  <si>
    <t>TRS 230VUC 2CO TERMSERIES, Relejni modul, 87.8 x  89.6 x 12.8  mm, Broj kontakata: 2, CO kontakt AgNi, Nazivni upravljački napon: 230 V UC ±5 %, Trajna struja: 8 A, Vijčani priključak, Dostupna tipka za testiranje: Ne</t>
  </si>
  <si>
    <t>TCC 12.8/26 BL TERMSERIES poprečni spojni most TCC 12.8/26 BL; 26-polni; razmak 12,8 mm; nazivni napon 300 V; nazivna struja 17,5 A; mogućnost rezanja na željenu duljinu; izoliran i zaštićen od dodira; plava boja; montaža uticanjem</t>
  </si>
  <si>
    <t>U paketu od 10 komada</t>
  </si>
  <si>
    <t>TRS 24VDC 1CO TERMSERIES, Relejni modul, Broj kontakata: 1, CO kontakt AgNi, Nazivni upravljački napon: 24 V DC ±20 %, Trajna struja: 6 A, Vijčani priključak, zaštitna dioda, Dostupna tipka za testiranje: Ne</t>
  </si>
  <si>
    <t>TRS 24VDC 2CO TERMSERIES, Relejni modul, Broj kontakata: 2, CO kontakt AgNi, Nazivni upravljački napon: 24 V DC ±20 %, Trajna struja: 8 A, Vijčani priključak, zaštitna dioda, Dostupna tipka za testiranje: Ne</t>
  </si>
  <si>
    <t>TW TXS/TXZ R3.2 TERMSERIES pregradna ploča TW TXS/TXZ R3.2; debljina 3,2 mm; za montažu na DIN šinu TS 35; narančasta boja; nezapaljivo kućište prema UL94 V-0</t>
  </si>
  <si>
    <t>TCC 6.4/51 BL TERMSERIES poprečni spojni most TCC 6.4/51 BL; 51-polni; razmak (raster) 6,4 mm; nazivni napon 300 V; nazivna struja 17,5 A; mogućnost rezanja na željenu duljinu; izoliran i zaštićen od dodira; plava boja; montaža uticanjem</t>
  </si>
  <si>
    <t>-X100, - X200, itd.</t>
  </si>
  <si>
    <t>WDU 4 - Prolazni terminalni blok, Vijčani priključak, tamnobež, 4 mm², 32 A, 800 V, Broj priključaka: 2</t>
  </si>
  <si>
    <t>WEW 35/2 - Završna konzola, tamno bež, TS 35, HB, Wemid, Širina: 8 mm, 100 °C</t>
  </si>
  <si>
    <t>ZQV 4N/6 RD - Križni konektor (terminalni), Utikač, crveni, 32 A, Broj polova: 6, Razmak u mm (P): 6,10, Izolirano: Da, Širina: 181,7 mm</t>
  </si>
  <si>
    <t>ZQV 4N/10 RD - Križni konektor (terminalni), Utikač, crveni, 32 A, Broj polova: 10, Razmak u mm (P): 6,10, Izolirano: Da, Širina: 181,7 mm</t>
  </si>
  <si>
    <t>ZQV 4N/30 RD - Križni konektor (terminalni), Utikač, crveni, 32 A, Broj polova: 30, Razmak u mm (P): 6,10, Izolirano: Da, Širina: 181,7 mm</t>
  </si>
  <si>
    <t xml:space="preserve"> WAP 2.5-10 - Završna ploča za terminale, tamno bež, Visina: 56 mm, Širina: 1,5 mm, V-0, Wemid, Pričvršćivanje: Ne</t>
  </si>
  <si>
    <t xml:space="preserve"> WDU 16 - Prolazni terminalni blok, Vijčani priključak, tamnobež, 16 mm², 76 A, 1000 V, Broj priključaka: 2</t>
  </si>
  <si>
    <t>1 paketić po 50 kom</t>
  </si>
  <si>
    <t xml:space="preserve"> WEW 35/1 - Završna konzola, tamnobež, TS 35, V-2, Wemid, Širina: 12 mm, 100 °C</t>
  </si>
  <si>
    <t>WAP 16+35 WTW 2.5-10 - Završna i pregradna ploča za terminale, tamno bež, Visina: 56 mm, Širina: 1,5 mm, V-0, Wemid</t>
  </si>
  <si>
    <t>EMG 90-DIO 32M Modul za ispitivanje lampi, 2 diode  sa zajedničkom katodom: sa 16 parova, sa zajedničkim okidanjem, maks. radni napon 250 V AC; vršni reverzni napon 1300 V;</t>
  </si>
  <si>
    <t>Ispitivanje Za lampe</t>
  </si>
  <si>
    <t>LED sijalica: BIJELA; BA9s podnožje, nazivni napon/struja: 24Vdc/15mA</t>
  </si>
  <si>
    <t>NO/NC modul - kontakti: 1NC + 1NO; Au/Ag; vijčani priključak</t>
  </si>
  <si>
    <t>2NC modul - kontakti: 2NC; Au/Ag; vijčani priključak</t>
  </si>
  <si>
    <t>2NO modul - kontakti: 2NC; Au/Ag; vijčani priključak</t>
  </si>
  <si>
    <t>Sklopka grebenasta, preklopka s “0” položajem, Broj polova: 3, Broj elemenata: 3, Oblik ugradnje: ugradna</t>
  </si>
  <si>
    <t>Svjetleće tijelo, leća: CRVENA, prednji okvir: sivi; 35×35mm, podnožje za sijalicu sa vijčanim priključkom</t>
  </si>
  <si>
    <t xml:space="preserve"> 704.202.208</t>
  </si>
  <si>
    <t>Svjetleće tijelo, leća: ZELENA, prednji okvir: sivi; 35×35mm, podnožje za sijalicu sa vijčanim priključkom</t>
  </si>
  <si>
    <t>Svjetleće tijelo, leća: PROZIRNA, prednji okvir: sivi; 35×35mm, podnožje za sijalicu sa vijčanim priključkom</t>
  </si>
  <si>
    <t>Svjetleće tijelo, leća: ŽUTA, prednji okvir: sivi; 35×35mm, podnožje za sijalicu sa vijčanim priključkom</t>
  </si>
  <si>
    <t>Svjetleće tipkalo, leća: CRVENA, prednji okvir: crni; 35×35mm, podnožje za sijalicu sa vijčanim priključkom</t>
  </si>
  <si>
    <t>Svjetleće tipkalo, leća: ZELENA, prednji okvir: crni; 35×35mm, podnožje za sijalicu sa vijčanim priključkom</t>
  </si>
  <si>
    <t>Svjetleće tipkalo, leća: PROZIRNA, prednji okvir: crni; 35×35mm, podnožje za sijalicu sa vijčanim priključkom</t>
  </si>
  <si>
    <t>Tipkalo za isklop u nuždi, gljivasta glava: crvena, Ø40mm, prednji okvir: aluminijski, reset: zakret u smjeru kazaljke na satu</t>
  </si>
  <si>
    <t>E-stop zaštitni prsten, plastičan, Ø83 mm, boja: žuta</t>
  </si>
  <si>
    <t>Digitalno podesivi nadzorni relej za ispad faze, redoslijed faza, asimetriju, frekvenciju, nadzor prenapona i podnapona 3x 90-690 V AC, 15-70 Hz 2 preklopna kontakta vijčani priključak</t>
  </si>
  <si>
    <t>Sklopnik TeSys D - 3P (3 NO) - AC-3 - &lt;= 440 V 9 A - Zavojnica 220 V DC, namjena: upravljanje motorom / ohmski teret</t>
  </si>
  <si>
    <t>Komplet za reverzni sklopnik , 3P, 32 A, sastav opreme: električna i mehanička blokada, set priključaka za napajanje</t>
  </si>
  <si>
    <t>Odvodnik prenapona za TNC sustav, DG MD TNS 275 FM, DEHNGuard Modular</t>
  </si>
  <si>
    <t>Sklopka preklopna motorizirana - 4P - 125A - sa uređajima za automatsko prebacivanje - napajanje 230/400 V AC - tip: ATyS t M</t>
  </si>
  <si>
    <t>Blok pomoćnik kontakata 1R + 1M, za signalizaciju položaja sklopke trostruki preklopni kontakt (I - 0 - 2)</t>
  </si>
  <si>
    <t>Motori za ventile</t>
  </si>
  <si>
    <t>TeSys GV blok pomoćnih kontakata, za motorne prekidače GV2 i GV3, pomoćni kontakt - 1 NO + 1 NC, Nazivni radni napon: 24...240 V AC, 24...60 V DC</t>
  </si>
  <si>
    <t>iC60L, minijaturni prekidač (MCB), 3P, Nazivna struja 2 A, C krivulja isključenja</t>
  </si>
  <si>
    <t>iC60L, minijaturni prekidač (MCB), 3P, Nazivna struja 6 A, C krivulja isključenja</t>
  </si>
  <si>
    <t>iC60L, minijaturni prekidač (MCB), 3P, Nazivna struja 10 A, C krivulja isključenja</t>
  </si>
  <si>
    <t>iC60L,  minijaturni prekidač (MCB), P, Nazivna struja 6 A, C krivulja isključenja</t>
  </si>
  <si>
    <t>FID, 13 A/C, 30 mA, Acti9 iDPN N Vigi kombinirana zaštitna sklopka, 1P + N, 300 mA klasa A, C krivulja, 6000A</t>
  </si>
  <si>
    <t>Pomoćni kontakt, Acti9, OF/SD+OF, 2 C/O, 100mA do 6A, 24VAC do 415VAC, 24VDC do 130VDC, gornji i donji priključak</t>
  </si>
  <si>
    <t>Acti9, minijaturni prekidač (MCB), C60H-DC, 2P, 6A, C krivulja, 6kA (IEC/EN 60947-2)</t>
  </si>
  <si>
    <t>Rastavna sklopka, ComPacT NSX100NA, 3 pola, fiksna, termička struja 100A,Vrsta upravljanja: ručica</t>
  </si>
  <si>
    <t>Pomoćni kontakt - za signalizaciju stanja (1OF) ili okidanja (1SD) ili prorade zaštite (1SDE) ili prorade diferencijalne zaštite (1SDV) za prekidače NSX</t>
  </si>
  <si>
    <t>Diodni modul za 220 VDC dovod</t>
  </si>
  <si>
    <t>dioda za 220 VDC</t>
  </si>
  <si>
    <t xml:space="preserve"> Zajedničko hladilo za dvije diode</t>
  </si>
  <si>
    <t>Voltmetar - tip: kao FQ 0307, - mjerni sustav: pomično željezo, - dimenzije: 72×72 mm, - priključak: 400/230V, 50Hz (izravno), - skala: 90° baždarena linearno u mjernom području: 0…400V.</t>
  </si>
  <si>
    <t>MCR-SL-DUI - Digitalni zaslon za mjerenje i prikaz standardnih signala, 5-fig. Zaslon, Konfiguracijska: tipkovnica</t>
  </si>
  <si>
    <t>Indikator položaja sklopke za daljinsku indikaciju položaja kontakata s maskom rastavljača</t>
  </si>
  <si>
    <t xml:space="preserve"> GOSSEN MUELLER &amp; WEIGERT</t>
  </si>
  <si>
    <t>Zidni ormarić, 500x500x300 mm s montažnom pločom, čelični lim, kompaktno kućište AX s integriranim lokatorima kućišta u krovu, podnožju i bočnoj strani</t>
  </si>
  <si>
    <t>Zidni nosač za AX čelični lim, KX čelični lim, AX IT, EL, Dijelovi: Zidni nosač, poklopac, Dijelovi za montažu, Udaljenost od zida: 40 mm</t>
  </si>
  <si>
    <t>AX 2503020</t>
  </si>
  <si>
    <t>Pomoćni (neblokirajući) relej,  zavojnica 240 V AC, preklopna struja 10 A, 3 preklopna kontakta (3PDT/3 Form C), 3 pola, jednopolni AgNi kontakti</t>
  </si>
  <si>
    <t>Rockwell Automation 700-HN serija pričvrsnih kopči za podnožja 700-HN100, 700-HN204, 700-HN101, 700-HN205 s relejima 700-HA, Učvršćuje relej u podnožju</t>
  </si>
  <si>
    <t>Rockwell Automation podnožje releja 700-HN205; 11-pinsko podnožje; za cijevne releje serije 700-H; vijčani priključak; zaštićeni priključci sigurni od dodira (Touch-Safe); s utorom za vremenski modul</t>
  </si>
  <si>
    <t>1 paketić po 100 kom</t>
  </si>
  <si>
    <t>Distriblok, Glavna grana, 4-polna, 125A, ulaz 2x25mm², izlaz 5x6mm² 4-polna, Ulaz 2 x 10-25mm² (10-16mm² s ferulom), Izlazi 5 x 2,5-6mm² (2,5-4mm² s ferulom)</t>
  </si>
  <si>
    <t>Distributor za 24 VDC- 1-polni distribucijski blok, za bakrene vodiče, priključne stezaljke: ulazne 2 x 25mm², izlazne 6 x (1.5 – 10mm²), montaža na DIN nosač ili na montažnu ploču, nazivna struja IEC: 100A, 54x29x50mm (VxŠxD)</t>
  </si>
  <si>
    <t>IKB01025N</t>
  </si>
  <si>
    <t>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t>
  </si>
  <si>
    <t>CRPNI AGREGAT A - UKLJUČENJE</t>
  </si>
  <si>
    <t>CRPNI AGREGAT A - ISKLJUČENJE</t>
  </si>
  <si>
    <t>CRPNI AGREGAT B - UKLJUČENJE</t>
  </si>
  <si>
    <t>CRPNI AGREGAT B - ISKLJUČENJE</t>
  </si>
  <si>
    <t>CRPNI AGREGAT C - UKLJUČENJE</t>
  </si>
  <si>
    <t>CRPNI AGREGAT C - ISKLJUČENJE</t>
  </si>
  <si>
    <t>N2XCH 4×16/16  mm2</t>
  </si>
  <si>
    <t>N2XCH 4×2,5/2,5 mm2</t>
  </si>
  <si>
    <t>N2XCH 3×2,5/2,5 mm2</t>
  </si>
  <si>
    <t>Vrsta kabela</t>
  </si>
  <si>
    <t>Energetski</t>
  </si>
  <si>
    <t>Tip</t>
  </si>
  <si>
    <t>Signalni</t>
  </si>
  <si>
    <t>N2XCH 2×1,5/1,5 mm2</t>
  </si>
  <si>
    <t>Za dovod AC</t>
  </si>
  <si>
    <t>Izvodi AC</t>
  </si>
  <si>
    <t>Izvodi DC</t>
  </si>
  <si>
    <t>Za primanje signala i slanje komandi</t>
  </si>
  <si>
    <t>BITNO</t>
  </si>
  <si>
    <t>Nikad, ali nikad u istom kabelu ne miješati naponske razine, tako se povećava šansa da nešto izgori</t>
  </si>
  <si>
    <t>Imenovanje kabela</t>
  </si>
  <si>
    <t>IMEORMARA/WBROJ</t>
  </si>
  <si>
    <t>Primjer signal izvoda -F3 iz Y BJP14 prema ventilu - YBJP14/W003</t>
  </si>
  <si>
    <t>Nikad ne spajati signalne kabele za digitalne signale s kabelima za analogne. Što se tiče analognih signala, spajati ih po jedan kabel po signalu</t>
  </si>
  <si>
    <t>PRIČUVA (MJERAČ SALINITETA U ODVODNOM TUNELU AGREGATA A)</t>
  </si>
  <si>
    <t>PRIČUVA (MJERAČ SALINITETA U ODVODNOM TUNELU AGREGATA B)</t>
  </si>
  <si>
    <t>PRIČUVA (MJERAČ SALINITETA U ODVODNOM TUNELU AGREGATA C)</t>
  </si>
  <si>
    <t>CRPNI AGREGAT A - TEMPERATURA NAMOTAJA L1</t>
  </si>
  <si>
    <t>CRPNI AGREGAT A - TEMPERATURA NAMOTAJA L2</t>
  </si>
  <si>
    <t>CRPNI AGREGAT A - TEMPERATURA NAMOTAJA L3</t>
  </si>
  <si>
    <t>CRPNI AGREGAT A - TEMPERATURA LEŽAJA D</t>
  </si>
  <si>
    <t>CRPNI AGREGAT A - TEMPERATURA LEŽAJA ND</t>
  </si>
  <si>
    <t>CRPNI AGREGAT A - TEMPERATURA LEŽAJA HIDRAULIKE 1</t>
  </si>
  <si>
    <t>CRPNI AGREGAT A - TEMPERATURA LEŽAJA HIDRAULIKE 2</t>
  </si>
  <si>
    <t>CRPNI AGREGAT B - TEMPERATURA NAMOTAJA L1</t>
  </si>
  <si>
    <t>CRPNI AGREGAT B - TEMPERATURA NAMOTAJA L2</t>
  </si>
  <si>
    <t>CRPNI AGREGAT B - TEMPERATURA NAMOTAJA L3</t>
  </si>
  <si>
    <t>CRPNI AGREGAT B - TEMPERATURA LEŽAJA D</t>
  </si>
  <si>
    <t>CRPNI AGREGAT B - TEMPERATURA LEŽAJA ND</t>
  </si>
  <si>
    <t>CRPNI AGREGAT B - TEMPERATURA LEŽAJA HIDRAULIKE 1</t>
  </si>
  <si>
    <t>CRPNI AGREGAT B - TEMPERATURA LEŽAJA HIDRAULIKE 2</t>
  </si>
  <si>
    <t>CRPNI AGREGAT C - TEMPERATURA NAMOTAJA L1</t>
  </si>
  <si>
    <t>CRPNI AGREGAT C - TEMPERATURA NAMOTAJA L2</t>
  </si>
  <si>
    <t>CRPNI AGREGAT C - TEMPERATURA NAMOTAJA L3</t>
  </si>
  <si>
    <t>CRPNI AGREGAT C - TEMPERATURA LEŽAJA D</t>
  </si>
  <si>
    <t>CRPNI AGREGAT C - TEMPERATURA LEŽAJA ND</t>
  </si>
  <si>
    <t>CRPNI AGREGAT C - TEMPERATURA LEŽAJA HIDRAULIKE 1</t>
  </si>
  <si>
    <t>CRPNI AGREGAT C - TEMPERATURA LEŽAJA HIDRAULIKE 2</t>
  </si>
  <si>
    <t>IW120</t>
  </si>
  <si>
    <t>IW124</t>
  </si>
  <si>
    <t>IW128</t>
  </si>
  <si>
    <t>IW140</t>
  </si>
  <si>
    <t>PK_rev7: Dodatne 2 AI kartica</t>
  </si>
  <si>
    <t>IW144</t>
  </si>
  <si>
    <t>IW148</t>
  </si>
  <si>
    <t>PK_rev7: Pola kartice odnosno 4 kanala će biti 4…20 mA, a druga polovica kartice 2 x RTD - 4 x ACT20M-AI-AO-E-S - 1176010000 će postati spare!</t>
  </si>
  <si>
    <t>PK_rev7: Spojiti sva mjerenja direktno na PLC, a ona dodatna kartica AI za VFD nećemo naručivati za druge runde</t>
  </si>
  <si>
    <t>HSLCH 3×1,5 mm2</t>
  </si>
  <si>
    <t>HSLCH 7×1,5 mm2</t>
  </si>
  <si>
    <t>Kabel nema PE kao širm kao N2XCH, širm se zemlji zasebno</t>
  </si>
  <si>
    <t xml:space="preserve"> </t>
  </si>
  <si>
    <t>PK_rev7: pričuva</t>
  </si>
  <si>
    <t>CRPNI AGREGAT C - UPRAVLJANJE DALJINSKI</t>
  </si>
  <si>
    <t>CRPNI AGREGAT C - UPRAVLJANJE RUČNO</t>
  </si>
  <si>
    <t>CRPNI AGREGAT B - UPRAVLJANJE DALJINSKI</t>
  </si>
  <si>
    <t>CRPNI AGREGAT B - UPRAVLJANJE RUČNO</t>
  </si>
  <si>
    <t>CRPNI AGREGAT A - UPRAVLJANJE DALJINSKI</t>
  </si>
  <si>
    <t>CRPNI AGREGAT A - UPRAVLJANJE RUČNO</t>
  </si>
  <si>
    <t>PK_rev7: Na relej, pa njegov kontakt na lampicu zbog lamp testa</t>
  </si>
  <si>
    <t>-S11, -S12</t>
  </si>
  <si>
    <t>-V11, -V12</t>
  </si>
  <si>
    <t>Narudžbeni broj</t>
  </si>
  <si>
    <t>6.1.4</t>
  </si>
  <si>
    <t>6.1.5</t>
  </si>
  <si>
    <t>6.1.6</t>
  </si>
  <si>
    <t>6.1.8</t>
  </si>
  <si>
    <t>6.1.9</t>
  </si>
  <si>
    <t>6.1.10</t>
  </si>
  <si>
    <t>6.1.11</t>
  </si>
  <si>
    <t>6.1.12</t>
  </si>
  <si>
    <t>6.1.14</t>
  </si>
  <si>
    <t>6.1.15</t>
  </si>
  <si>
    <t>6.1.16</t>
  </si>
  <si>
    <t>6.1.17</t>
  </si>
  <si>
    <t>6.1.18</t>
  </si>
  <si>
    <t>6.1.19</t>
  </si>
  <si>
    <t>6.1.20</t>
  </si>
  <si>
    <t>6.1.21</t>
  </si>
  <si>
    <t>6.1.22</t>
  </si>
  <si>
    <t>6.1.23</t>
  </si>
  <si>
    <t>6.1.24</t>
  </si>
  <si>
    <t>6.1.25</t>
  </si>
  <si>
    <t>6.1.26</t>
  </si>
  <si>
    <t>6.1.27</t>
  </si>
  <si>
    <t>6.1.28</t>
  </si>
  <si>
    <t>6.1.30</t>
  </si>
  <si>
    <t>6.1.31</t>
  </si>
  <si>
    <t>6.1.33</t>
  </si>
  <si>
    <t>6.1.34</t>
  </si>
  <si>
    <t>6.1.35</t>
  </si>
  <si>
    <t>6.1.37</t>
  </si>
  <si>
    <t>6.1.39</t>
  </si>
  <si>
    <t>6.1.40</t>
  </si>
  <si>
    <t>6.1.41</t>
  </si>
  <si>
    <t>6.1.42</t>
  </si>
  <si>
    <t>6.1.43</t>
  </si>
  <si>
    <t>6.1.44</t>
  </si>
  <si>
    <t>6.1.45</t>
  </si>
  <si>
    <t>6.1.48</t>
  </si>
  <si>
    <t>6.1.49</t>
  </si>
  <si>
    <t>6.1.50</t>
  </si>
  <si>
    <t>6.1.51</t>
  </si>
  <si>
    <t>6.1.53</t>
  </si>
  <si>
    <t>6.1.54</t>
  </si>
  <si>
    <t>6.1.56</t>
  </si>
  <si>
    <t>6.1.57</t>
  </si>
  <si>
    <t>6.1.59</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</si>
  <si>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</si>
  <si>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</si>
  <si>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</si>
  <si>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</si>
  <si>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</si>
  <si>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</si>
  <si>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</si>
  <si>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</si>
  <si>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</si>
  <si>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</si>
  <si>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</si>
  <si>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</si>
  <si>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</si>
  <si>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</si>
  <si>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</si>
  <si>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</si>
  <si>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</si>
  <si>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</si>
  <si>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</si>
  <si>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</si>
  <si>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</si>
  <si>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</si>
  <si>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</si>
  <si>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</si>
  <si>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</si>
  <si>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</si>
  <si>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</si>
  <si>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</si>
  <si>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</si>
  <si>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</si>
  <si>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</si>
  <si>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</si>
  <si>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</si>
  <si>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</si>
  <si>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</si>
  <si>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</si>
  <si>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</si>
  <si>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6.1.100</t>
  </si>
  <si>
    <t>6.1.101</t>
  </si>
  <si>
    <t>6.1.102</t>
  </si>
  <si>
    <t>6.1.103</t>
  </si>
  <si>
    <t>6.1.104</t>
  </si>
  <si>
    <t>6.1.105</t>
  </si>
  <si>
    <t>6.1.106</t>
  </si>
  <si>
    <t>6.1.107</t>
  </si>
  <si>
    <t>6.1.108</t>
  </si>
  <si>
    <t>Za dobivanje sekvence od N brojeva treba koristiti ="6.X."&amp;SEQUENCE(N)</t>
  </si>
  <si>
    <t>Specifikacija opreme ormara ventila i filtera +Y BJP14 i LPJ sustava rashlade +Y CDP01</t>
  </si>
  <si>
    <t>Specifikacija opreme ormarića mjerenja razine vode bazena rashlade +Y BJP14 GH001</t>
  </si>
  <si>
    <t>-S151, -S152, -S153, -S154</t>
  </si>
  <si>
    <t>ACT20M-AI-AO-S Analogno izolacijsko pojačalo, Konfigurabilno, bez napajanja senzora, Točnost &lt;0,2 % mjernog raspona, Ulaz: I / U, Izlaz: I / U</t>
  </si>
  <si>
    <t>-U151…-U162</t>
  </si>
  <si>
    <t>-K101, -K102, -K103, -K104</t>
  </si>
  <si>
    <t>Pomoćni (neblokirajući) relej,  zavojnica 220 V DC, preklopna struja 10 A, 3 preklopna kontakta (3PDT/3 Form C), 3 pola, jednopolni AgNi kontakti</t>
  </si>
  <si>
    <t>Timer modul za 700-HA relej</t>
  </si>
  <si>
    <t xml:space="preserve">700-HA33Z24-3-4 </t>
  </si>
  <si>
    <t>Pomoćni (neblokirajući) relej,  zavojnica 24 V DC, preklopna struja 10 A, 3 preklopna kontakta (3PDT/3 Form C), 3 pola, jednopolni AgNi kontakti</t>
  </si>
  <si>
    <t>Specifikacija opreme ormara crpnog agregata rashladne vode B +Y BJP12</t>
  </si>
  <si>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t>
  </si>
  <si>
    <t>6.1.109</t>
  </si>
  <si>
    <t>6.2.1</t>
  </si>
  <si>
    <t>6.2.2</t>
  </si>
  <si>
    <t>6.2.3</t>
  </si>
  <si>
    <t>6.3.1</t>
  </si>
  <si>
    <t>GRIJAČ ORMARA CRPNOG AGREGATA A</t>
  </si>
  <si>
    <t>GRIJAČ ORMARA CRPNOG AGREGATA B</t>
  </si>
  <si>
    <t>GRIJAČ ORMARA CRPNOG AGREGATA C</t>
  </si>
  <si>
    <t>-K102.1, -2K12, -2K13</t>
  </si>
  <si>
    <t>-K401…-K405, -K101…-K104, -2K12, -2K13</t>
  </si>
  <si>
    <t>-2K12, -2K13</t>
  </si>
  <si>
    <t>6.2.4</t>
  </si>
  <si>
    <t>6.2.5</t>
  </si>
  <si>
    <t>-X1, -X2</t>
  </si>
  <si>
    <t>-R101</t>
  </si>
  <si>
    <t>6.2.6</t>
  </si>
  <si>
    <t>Grijač 50W, 230V, 50Hz s priključnim kabelom</t>
  </si>
  <si>
    <t>3110.000</t>
  </si>
  <si>
    <t>3105.340</t>
  </si>
  <si>
    <t>Termostat, mjerni opseg: 5-55 °C</t>
  </si>
  <si>
    <t>3118.000</t>
  </si>
  <si>
    <t>Higrostat, mjerni opseg: 50-100 %</t>
  </si>
  <si>
    <t>6.2.7</t>
  </si>
  <si>
    <t>-E101</t>
  </si>
  <si>
    <t>-S101</t>
  </si>
  <si>
    <t>2500.100</t>
  </si>
  <si>
    <t>2500.460.</t>
  </si>
  <si>
    <t>Rasvjetna armatura 400 lm, 230 Vac, širine 262 mm s preklopkom</t>
  </si>
  <si>
    <t>Krajnja sklopka s priključnim kabelom duljine 800mm</t>
  </si>
  <si>
    <t>6.2.8</t>
  </si>
  <si>
    <t>CRPNI AGREGAT B - UPRAVLJANJE LOKALNO</t>
  </si>
  <si>
    <t>PK_rev7: signal s vrata VFD-a od preklopke lokalno-daljinski</t>
  </si>
  <si>
    <t>Ovaj signal ide i na PLC i na pokazni uređaj na vratima</t>
  </si>
  <si>
    <t>Izbačeni signali iz GP-a</t>
  </si>
  <si>
    <t>Broj revizije</t>
  </si>
  <si>
    <t>Autor</t>
  </si>
  <si>
    <t>rev7</t>
  </si>
  <si>
    <t>Patrik Kovač</t>
  </si>
  <si>
    <t>Predaja signal liste za programiranje</t>
  </si>
  <si>
    <t>Datum</t>
  </si>
  <si>
    <t>RV-1</t>
  </si>
  <si>
    <t>RDV-1</t>
  </si>
  <si>
    <t>LZ-6</t>
  </si>
  <si>
    <t>sto bi ovo trebalo biti</t>
  </si>
  <si>
    <t>Napomena</t>
  </si>
  <si>
    <t>nema oznake</t>
  </si>
  <si>
    <t>nema oznake (500um)</t>
  </si>
  <si>
    <t>nema oznake (200um)</t>
  </si>
  <si>
    <t>nema oznake (500um) kod LT-2,LZ-3 ?</t>
  </si>
  <si>
    <t>iz ormara BJP12</t>
  </si>
  <si>
    <t>samo signalizacija ?</t>
  </si>
  <si>
    <t>ovisi o konfiguraciji vfd-a?</t>
  </si>
  <si>
    <t>CRPNI AGREGAT A - RESET</t>
  </si>
  <si>
    <t>orginalno je bio "uvijeti za rad ispunjeni"</t>
  </si>
  <si>
    <t>CRPNI AGREGAT B - RESET</t>
  </si>
  <si>
    <t>CRPNI AGREGAT C - RESET</t>
  </si>
  <si>
    <t>CRPNI AGREGAT A - REFERENCA BRZINE ZA VFD</t>
  </si>
  <si>
    <t>CRPNI AGREGAT B - REFERENCA BRZINE ZA VFD</t>
  </si>
  <si>
    <t>CRPNI AGREGAT C - REFERENCA BRZINE ZA VFD</t>
  </si>
  <si>
    <t>QW40</t>
  </si>
  <si>
    <t>QW42</t>
  </si>
  <si>
    <t>IW82</t>
  </si>
  <si>
    <t>IW86</t>
  </si>
  <si>
    <t>QW44</t>
  </si>
  <si>
    <t>QW46</t>
  </si>
  <si>
    <t>HWInp220VDC_MCBAlarmGroupOk</t>
  </si>
  <si>
    <t>HWInp220VDC_MCBTripGroupOk</t>
  </si>
  <si>
    <t>HWInp_Spare_1_6</t>
  </si>
  <si>
    <t>HWInp_Spare_1_7</t>
  </si>
  <si>
    <t>HWInpACVoltageOk</t>
  </si>
  <si>
    <t>HyCon symbolic name</t>
  </si>
  <si>
    <t>HWInpGravityPipeFilterFault</t>
  </si>
  <si>
    <t>HWInp_Spare_7_0</t>
  </si>
  <si>
    <t>HWInp_Spare_7_4</t>
  </si>
  <si>
    <t>HWInp_Spare_7_5</t>
  </si>
  <si>
    <t>HWInp_Spare_7_6</t>
  </si>
  <si>
    <t>HWInp_Spare_7_7</t>
  </si>
  <si>
    <t>HWInp_Spare_8_0</t>
  </si>
  <si>
    <t>HWInp_Spare_8_1</t>
  </si>
  <si>
    <t>HWInp_Spare_9_2</t>
  </si>
  <si>
    <t>HWInp_Spare_9_3</t>
  </si>
  <si>
    <t>HWInp_Spare_10_4</t>
  </si>
  <si>
    <t>HWInp_Spare_10_5</t>
  </si>
  <si>
    <t>HWInp_Spare_11_6</t>
  </si>
  <si>
    <t>HWInp_Spare_11_7</t>
  </si>
  <si>
    <t>HWInpPumpAMan</t>
  </si>
  <si>
    <t>HWInpPumpAAuto</t>
  </si>
  <si>
    <t>HWInpPumpALocal</t>
  </si>
  <si>
    <t>HWInpPumpARemote</t>
  </si>
  <si>
    <t>HWInpPumpARunning</t>
  </si>
  <si>
    <t>HWInpPumpAFault</t>
  </si>
  <si>
    <t>HWInpPumpATrip</t>
  </si>
  <si>
    <t>HWInpPumpBMan</t>
  </si>
  <si>
    <t>HWInpPumpBAuto</t>
  </si>
  <si>
    <t>HWInpPumpBLocal</t>
  </si>
  <si>
    <t>HWInpPumpBRemote</t>
  </si>
  <si>
    <t>HWInpPumpBRunning</t>
  </si>
  <si>
    <t>HWInpPumpBFault</t>
  </si>
  <si>
    <t>HWInpPumpBTrip</t>
  </si>
  <si>
    <t>HWInpPumpCMan</t>
  </si>
  <si>
    <t>HWInpPumpCAuto</t>
  </si>
  <si>
    <t>HWInpPumpCLocal</t>
  </si>
  <si>
    <t>HWInpPumpCRemote</t>
  </si>
  <si>
    <t>HWInpPumpCRunning</t>
  </si>
  <si>
    <t>HWInpPumpCFault</t>
  </si>
  <si>
    <t>HWInpPumpCTrip</t>
  </si>
  <si>
    <t>HWOutPlcWatchdog1</t>
  </si>
  <si>
    <t>HWOutPlcWatchDog2</t>
  </si>
  <si>
    <t>HWOutPumpAStartCmd</t>
  </si>
  <si>
    <t>HWOutPumpAStopCmd</t>
  </si>
  <si>
    <t>HWOutPumpAResetCmd</t>
  </si>
  <si>
    <t>HWOutPumpBStartCmd</t>
  </si>
  <si>
    <t>HWOutPumpBStopCmd</t>
  </si>
  <si>
    <t>HWOutPumpBResetCmd</t>
  </si>
  <si>
    <t>HWOutPumpCStartCmd</t>
  </si>
  <si>
    <t>HWOutPumpCStopCmd</t>
  </si>
  <si>
    <t>HWOutPumpCResetCmd</t>
  </si>
  <si>
    <t>HWOut_Spare_3_4</t>
  </si>
  <si>
    <t>HWOut_Spare_3_5</t>
  </si>
  <si>
    <t>HWOut_Spare_3_6</t>
  </si>
  <si>
    <t>HWOut_Spare_3_7</t>
  </si>
  <si>
    <t>HWOut_Spare_4_0</t>
  </si>
  <si>
    <t>HWOut_Spare_4_1</t>
  </si>
  <si>
    <t>HWOut_Spare_4_2</t>
  </si>
  <si>
    <t>HWOut_Spare_4_3</t>
  </si>
  <si>
    <t>HWOut_Spare_4_4</t>
  </si>
  <si>
    <t>HWOut_Spare_4_5</t>
  </si>
  <si>
    <t>HWOut_Spare_4_6</t>
  </si>
  <si>
    <t>HWOut_Spare_4_7</t>
  </si>
  <si>
    <t>HWOut_Spare_5_0</t>
  </si>
  <si>
    <t>HWOut_Spare_5_1</t>
  </si>
  <si>
    <t>HWOut_Spare_5_2</t>
  </si>
  <si>
    <t>HWOut_Spare_5_3</t>
  </si>
  <si>
    <t>HWOut_Spare_5_4</t>
  </si>
  <si>
    <t>HWOut_Spare_5_5</t>
  </si>
  <si>
    <t>HWOut_Spare_5_6</t>
  </si>
  <si>
    <t>HWOut_Spare_5_7</t>
  </si>
  <si>
    <t>HWOut_Spare_6_0</t>
  </si>
  <si>
    <t>HWOut_Spare_6_1</t>
  </si>
  <si>
    <t>HWOut_Spare_6_2</t>
  </si>
  <si>
    <t>HWOut_Spare_6_3</t>
  </si>
  <si>
    <t>HWOut_Spare_6_4</t>
  </si>
  <si>
    <t>HWOut_Spare_6_5</t>
  </si>
  <si>
    <t>HWOut_Spare_6_6</t>
  </si>
  <si>
    <t>HWOut_Spare_6_7</t>
  </si>
  <si>
    <t>HWOut_Spare_7_0</t>
  </si>
  <si>
    <t>HWOut_Spare_7_1</t>
  </si>
  <si>
    <t>HWOut_Spare_7_2</t>
  </si>
  <si>
    <t>HWOut_Spare_7_3</t>
  </si>
  <si>
    <t>HWOut_Spare_7_4</t>
  </si>
  <si>
    <t>HWOut_Spare_7_5</t>
  </si>
  <si>
    <t>HWOut_Spare_7_6</t>
  </si>
  <si>
    <t>HWOut_Spare_7_7</t>
  </si>
  <si>
    <t>HWInpTailwaterASalinityMeasurement</t>
  </si>
  <si>
    <t>HWInpTailwaterBSalinityMeasurement</t>
  </si>
  <si>
    <t>HWInpTailwaterCSalinityMeasurement</t>
  </si>
  <si>
    <t>HWInp_Spare_62</t>
  </si>
  <si>
    <t>nisam pronašao oznaku u tekstu</t>
  </si>
  <si>
    <t>HWOutPumpASpeedSetpoint</t>
  </si>
  <si>
    <t>HWOutPumpBSpeedSetpoint</t>
  </si>
  <si>
    <t>HWOut_Spare_46</t>
  </si>
  <si>
    <t>ZASUN NA OTCJEPU S TLAČNOG CJEVOVODA - KUĆNA MAŠINA - UPRAVLJANJE OMOGUĆENO</t>
  </si>
  <si>
    <t>ZASUN NA OTCJEPU S TLAČNOG CJEVOVODA - KUĆNA MAŠINA - OTVOREN</t>
  </si>
  <si>
    <t>ZASUN NA OTCJEPU S TLAČNOG CJEVOVODA - KUĆNA MAŠINA - ZATVOREN</t>
  </si>
  <si>
    <t>ZASUN NA OTCJEPU S TLAČNOG CJEVOVODA - KUĆNA MAŠINA - KVAR</t>
  </si>
  <si>
    <t>dodano 11.8</t>
  </si>
  <si>
    <t>ZASUN NA OTCJEPU S TLAČNOG CJEVOVODA - KUĆNA MAŠINA - UKLJUČENJE</t>
  </si>
  <si>
    <t>ZASUN NA OTCJEPU S TLAČNOG CJEVOVODA - KUĆNA MAŠINA - ISKLJUČENJE</t>
  </si>
  <si>
    <t>HWInp_Spare_2_0</t>
  </si>
  <si>
    <t>HWInp_Spare_2_1</t>
  </si>
  <si>
    <t>HWInp_Spare_2_2</t>
  </si>
  <si>
    <t>HWInpATSReady</t>
  </si>
  <si>
    <t>HyCon description</t>
  </si>
  <si>
    <t>SPARE</t>
  </si>
  <si>
    <t>rev8</t>
  </si>
  <si>
    <t>Borko Dimitrijević</t>
  </si>
  <si>
    <t>Pripremljena symbol lista</t>
  </si>
  <si>
    <t>rev9</t>
  </si>
  <si>
    <t>Antonio Aleksić</t>
  </si>
  <si>
    <t>Finalizirana symbol lista</t>
  </si>
  <si>
    <t>HWInpControlVoltage1Ok</t>
  </si>
  <si>
    <t>HWInpControlVoltage2Ok</t>
  </si>
  <si>
    <t>HWInp24VDCPowerSupplyInternalSignalsOk</t>
  </si>
  <si>
    <t>HWInp24VDCPowerSupplyExternalSignalsOk</t>
  </si>
  <si>
    <t>HWInpEmergencyPushbuttonOk</t>
  </si>
  <si>
    <t>AA: Voithov standardni signal, iskoristiti pripremljeni alarm</t>
  </si>
  <si>
    <t>AA: tekst alarma neka bude sličan postojećem samo dodatno opisano da se radi od 220VDC</t>
  </si>
  <si>
    <t>AA: tekst alarma neka bude sličan postojećem samo dodatno opisano da se radi o internim signalima</t>
  </si>
  <si>
    <t>AA: tekst alarma neka bude sličan postojećem samo dodatno opisano da se radi o eksternim signalima</t>
  </si>
  <si>
    <t>HWInpACSupply1On</t>
  </si>
  <si>
    <t>HWInpACSupply2On</t>
  </si>
  <si>
    <t>HWInpACBothSuppliesOff</t>
  </si>
  <si>
    <t>HWInpATSSurgeArresterNotOk</t>
  </si>
  <si>
    <t>HWInpBothACSuppliesVoltageNotOk</t>
  </si>
  <si>
    <t>HWInpBackupFillingLineInletValveMan</t>
  </si>
  <si>
    <t>HWInpBackupFillingLineInletValveAuto</t>
  </si>
  <si>
    <t>HWOutBackupFillingLineValveOpenCmd</t>
  </si>
  <si>
    <t>HWOutBackupFillingLineValveCloseCmd</t>
  </si>
  <si>
    <t>HWOutBackupFillingLineValveStopCmd</t>
  </si>
  <si>
    <t>HWInpBackupFillingLineInletValveOpeningActive</t>
  </si>
  <si>
    <t>HWInpBackupFillingLineInletValveClosingActive</t>
  </si>
  <si>
    <t>HWInpBackupFillingLineInletValveOpen</t>
  </si>
  <si>
    <t>HWInpBackupFillingLineInletValveClosed</t>
  </si>
  <si>
    <t>HWInpBackupFillingLineInletValveFault</t>
  </si>
  <si>
    <t>HWInpBackupFillingLineControlValveMan</t>
  </si>
  <si>
    <t>HWInpBackupFillingLineControlValveAuto</t>
  </si>
  <si>
    <t>HWInpBackupFillingLineControlValveClosed</t>
  </si>
  <si>
    <t>HWInpBackupFillingLineControlValveFault</t>
  </si>
  <si>
    <t>HWInpBackupFillingLineControlValveReady</t>
  </si>
  <si>
    <t>HWInpBackupFillingLineControlValveOpeningActive</t>
  </si>
  <si>
    <t>HWInpBackupFillingLineControlValveClosingActive</t>
  </si>
  <si>
    <t>HWInpBackupFillingLineControlValveOpen</t>
  </si>
  <si>
    <t>HWInpMainFillingLineValveMan</t>
  </si>
  <si>
    <t>HWInpMainFillingLineValveAuto</t>
  </si>
  <si>
    <t>HWInpMainFillingLineValveClosed</t>
  </si>
  <si>
    <t>HWInpMainFillingLineValveFault</t>
  </si>
  <si>
    <t>HWInpMainFillingLineValveReady</t>
  </si>
  <si>
    <t>HWInpMainFillingLineValveOpeningAcitve</t>
  </si>
  <si>
    <t>HWInpMainFillingLineValveClosingActive</t>
  </si>
  <si>
    <t>HWInpMainFillingLineValveOpen</t>
  </si>
  <si>
    <t>HWInpCoolingWaterBasinCoarseFilter1Fault</t>
  </si>
  <si>
    <t>HWInpCoolingWaterBasinCoarseFilter2Fault</t>
  </si>
  <si>
    <t>HWInpCoolingWaterBasinFineFilterFault</t>
  </si>
  <si>
    <t>HWInpAirConditioningPipeFilterFault</t>
  </si>
  <si>
    <t>HWInpCoolingWaterBasinLevelLTPump1StartLim</t>
  </si>
  <si>
    <t>HWInpCoolingWaterBasinLevelLTPump2StartLim</t>
  </si>
  <si>
    <t>HWInp_UnitCtrlSignal1</t>
  </si>
  <si>
    <t>HWInp_UnitCtrlSignal2</t>
  </si>
  <si>
    <t>HWInp_UnitCtrlSignal3</t>
  </si>
  <si>
    <t>HWInpPumpAEmergencyPushbuttonOk</t>
  </si>
  <si>
    <t>HWInpPumpBEmergencyPushbuttonOk</t>
  </si>
  <si>
    <t>HWInpPumpCEmergencyPushbuttonOk</t>
  </si>
  <si>
    <t>HWOutBackupFillingLineControlValveOpenCmd</t>
  </si>
  <si>
    <t>HWOutBackupFillingLineControlValveCloseCmd</t>
  </si>
  <si>
    <t>HWOutBackupFillingLineControlValveStopCmd</t>
  </si>
  <si>
    <t>HWOutMainFillingLineValveOpenCmd</t>
  </si>
  <si>
    <t>HWOutMainFillingLineValveCloseCmd</t>
  </si>
  <si>
    <t>HWOutMainFillingLineValveStopCmd</t>
  </si>
  <si>
    <t>HWInpCoolingWaterBasinLevelLL</t>
  </si>
  <si>
    <t>HWInpCoolingWaterBasinLevelHH</t>
  </si>
  <si>
    <t>HWOutATS_PositionOffCmd</t>
  </si>
  <si>
    <t>HWOutATS_ACSupply2IsMainPowerSourceCmd</t>
  </si>
  <si>
    <t>HWOutATS_BlockOperationCmd</t>
  </si>
  <si>
    <t>AA: treba promijeniti tekst u shemama sa ATS ULAZ 1 na ATS POZICIJA "0"</t>
  </si>
  <si>
    <t>AA: treba promijeniti tekst u shemama sa ATS ULAZ 2 na DRUGI IZVOR NAPAJANJA JE PRIORITETNI</t>
  </si>
  <si>
    <t>AA: treba promijeniti tekst u shemama sa ATS ULAZ 3 na BLOKADA ATS-A</t>
  </si>
  <si>
    <t>HWInpCoolingWaterBasinLevel1</t>
  </si>
  <si>
    <t>HWInpCoolingWaterBasinLevel2</t>
  </si>
  <si>
    <t>HWOutTailwaterASalinityHHSignalization</t>
  </si>
  <si>
    <t>HWOutTailwaterBSalinityHHSignalization</t>
  </si>
  <si>
    <t>HWOutTailwaterCSalinityHHSignalization</t>
  </si>
  <si>
    <t>HWInpBackupFillingLineControlValvePos</t>
  </si>
  <si>
    <t>HWInpAirConditioningWaterFlow</t>
  </si>
  <si>
    <t>HWInpBackupFillingLineFlow</t>
  </si>
  <si>
    <t>POMOĆNI SUSTAV OPSKRBE RASHLADNOM VODOM - PROTOK</t>
  </si>
  <si>
    <t>AA: treba dodati signal u sheme, dolazi s protokomjera označenog plavom bojom na slici desno</t>
  </si>
  <si>
    <t>HWInpBackupFillingLineInletPress</t>
  </si>
  <si>
    <t>HWInpPumpAWindingL1Temp</t>
  </si>
  <si>
    <t>HWInpPumpAWindingL2Temp</t>
  </si>
  <si>
    <t>HWInpPumpAWindingL3Temp</t>
  </si>
  <si>
    <t>HWInpPumpADriveEndBearingTemp</t>
  </si>
  <si>
    <t>HWInpPumpANonDriveEndBearingTemp</t>
  </si>
  <si>
    <t>HWInpPumpAHydraulicBearing1Temp</t>
  </si>
  <si>
    <t>HWInpPumpAHydraulicBearing2Temp</t>
  </si>
  <si>
    <t>HWInpPumpBWindingL1Temp</t>
  </si>
  <si>
    <t>HWInpPumpBWindingL2Temp</t>
  </si>
  <si>
    <t>HWInpPumpBWindingL3Temp</t>
  </si>
  <si>
    <t>HWInpPumpBDriveEndBearingTemp</t>
  </si>
  <si>
    <t>HWInpPumpBNonDriveEndBearingTemp</t>
  </si>
  <si>
    <t>HWInpPumpBHydraulicBearing1Temp</t>
  </si>
  <si>
    <t>HWInpPumpBHydraulicBearing2Temp</t>
  </si>
  <si>
    <t>HWInpPumpCWindingL1Temp</t>
  </si>
  <si>
    <t>HWInpPumpCWindingL2Temp</t>
  </si>
  <si>
    <t>HWInpPumpCWindingL3Temp</t>
  </si>
  <si>
    <t>HWInpPumpCDriveEndBearingTemp</t>
  </si>
  <si>
    <t>HWInpPumpCNonDriveEndBearingTemp</t>
  </si>
  <si>
    <t>HWInpPumpCHydraulicBearing1Temp</t>
  </si>
  <si>
    <t>HWInpPumpCHydraulicBearing2Temp</t>
  </si>
  <si>
    <t>HWInpBackupFillingLineAndHouseloadUnitInletValveReady</t>
  </si>
  <si>
    <t>HWInpBackupFillingLineAndHouseloadUnitInletValveOpen</t>
  </si>
  <si>
    <t>HWInpBackupFillingLineAndHouseloadUnitInletValveClosed</t>
  </si>
  <si>
    <t>HWInpBackupFillingLineAndHouseloadUnitInletValveFault</t>
  </si>
  <si>
    <t>HWInpBackupFillingLineAndHouseloadUnitInletValveOpenCmd</t>
  </si>
  <si>
    <t>HWInpBackupFillingLineAndHouseloadUnitInletValveCloseCmd</t>
  </si>
  <si>
    <t>AA: provjeriti s proizvođačem kakvi su to ležajevi hidraulike kod pumpe, tu nešto smrdi</t>
  </si>
  <si>
    <t>HWInpBackupFillingLineInletValveReady</t>
  </si>
  <si>
    <t>rev10</t>
  </si>
  <si>
    <t>Dimitrijević Borko</t>
  </si>
  <si>
    <t>Definiranje alarma</t>
  </si>
  <si>
    <t>Alarm definition</t>
  </si>
  <si>
    <t>o</t>
  </si>
  <si>
    <t>x</t>
  </si>
  <si>
    <t>IW90</t>
  </si>
  <si>
    <t>HWOutPumpCSpeedSetpoint</t>
  </si>
  <si>
    <t>IW102</t>
  </si>
  <si>
    <t>IW106</t>
  </si>
  <si>
    <t>IW122</t>
  </si>
  <si>
    <t>IW126</t>
  </si>
  <si>
    <t>IW142</t>
  </si>
  <si>
    <t>IW146</t>
  </si>
  <si>
    <t>HWInp_Spare_148</t>
  </si>
  <si>
    <t>HWInpBackupFillingLine43-25ReducedPress</t>
  </si>
  <si>
    <t>HWInpBackupFillingLine25-10ReducedPress</t>
  </si>
  <si>
    <t>220_24 VDC PRETVARAČ 1 OK</t>
  </si>
  <si>
    <t>220_24 VDC PRETVARAČ 2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</si>
</sst>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k_n_-;\-* #,##0.00\ _k_n_-;_-* &quot;-&quot;??\ _k_n_-;_-@_-"/>
    <numFmt numFmtId="165" formatCode="#,##0.00\ _k_n"/>
  </numFmts>
  <fonts count="41">
    <font>
      <sz val="11"/>
      <color theme="1"/>
      <name val="Calibri"/>
      <family val="2"/>
      <scheme val="minor"/>
    </font>
    <font>
      <sz val="11"/>
      <color theme="1"/>
      <name val="Calibri"/>
      <family val="2"/>
      <charset val="238"/>
      <scheme val="minor"/>
    </font>
    <font>
      <sz val="11"/>
      <color rgb="FF006100"/>
      <name val="Calibri"/>
      <family val="2"/>
      <charset val="238"/>
      <scheme val="minor"/>
    </font>
    <font>
      <b/>
      <sz val="11"/>
      <color theme="1"/>
      <name val="Calibri"/>
      <family val="2"/>
      <charset val="238"/>
      <scheme val="minor"/>
    </font>
    <font>
      <b/>
      <sz val="11"/>
      <color theme="1"/>
      <name val="Calibri"/>
      <family val="2"/>
      <scheme val="minor"/>
    </font>
    <font>
      <sz val="11"/>
      <name val="Calibri"/>
      <family val="2"/>
      <charset val="238"/>
      <scheme val="minor"/>
    </font>
    <font>
      <sz val="11"/>
      <name val="Calibri"/>
      <family val="2"/>
      <scheme val="minor"/>
    </font>
    <font>
      <sz val="8"/>
      <name val="Calibri"/>
      <family val="2"/>
      <scheme val="minor"/>
    </font>
    <font>
      <sz val="11"/>
      <color theme="1"/>
      <name val="Calibri"/>
      <family val="2"/>
      <scheme val="minor"/>
    </font>
    <font>
      <sz val="11"/>
      <name val="Carlito"/>
    </font>
    <font>
      <b/>
      <sz val="11"/>
      <color rgb="FFFFFFFF"/>
      <name val="Carlito"/>
    </font>
    <font>
      <sz val="12"/>
      <name val="Arial"/>
      <family val="2"/>
      <charset val="238"/>
    </font>
    <font>
      <b/>
      <sz val="12"/>
      <color theme="1"/>
      <name val="Arial"/>
      <family val="2"/>
    </font>
    <font>
      <sz val="9"/>
      <color theme="1"/>
      <name val="Arial"/>
      <family val="2"/>
    </font>
    <font>
      <sz val="12"/>
      <name val="Arial"/>
      <family val="2"/>
    </font>
    <font>
      <sz val="12"/>
      <color theme="1"/>
      <name val="Arial"/>
      <family val="2"/>
    </font>
    <font>
      <b/>
      <sz val="9"/>
      <color theme="1"/>
      <name val="Arial"/>
      <family val="2"/>
    </font>
    <font>
      <b/>
      <sz val="9"/>
      <color theme="1"/>
      <name val="Arial"/>
      <family val="2"/>
      <charset val="238"/>
    </font>
    <font>
      <b/>
      <sz val="9"/>
      <name val="Arial"/>
      <family val="2"/>
      <charset val="238"/>
    </font>
    <font>
      <sz val="9"/>
      <name val="Arial"/>
      <family val="2"/>
    </font>
    <font>
      <sz val="9"/>
      <color theme="1"/>
      <name val="Arial"/>
      <family val="2"/>
      <charset val="238"/>
    </font>
    <font>
      <sz val="9"/>
      <color rgb="FF000000"/>
      <name val="Arial"/>
      <family val="2"/>
    </font>
    <font>
      <sz val="9"/>
      <name val="Arial"/>
      <family val="2"/>
      <charset val="238"/>
    </font>
    <font>
      <sz val="9"/>
      <color rgb="FFFF0000"/>
      <name val="Arial"/>
      <family val="2"/>
      <charset val="238"/>
    </font>
    <font>
      <sz val="10"/>
      <name val="Arial"/>
      <family val="2"/>
      <charset val="238"/>
    </font>
    <font>
      <b/>
      <sz val="10"/>
      <color theme="1"/>
      <name val="Arial"/>
      <family val="2"/>
    </font>
    <font>
      <sz val="10"/>
      <color theme="1"/>
      <name val="Arial"/>
      <family val="2"/>
    </font>
    <font>
      <sz val="9"/>
      <color theme="1"/>
      <name val="Calibri"/>
      <family val="2"/>
      <scheme val="minor"/>
    </font>
    <font>
      <b/>
      <sz val="11"/>
      <color theme="1"/>
      <name val="Arial"/>
      <family val="2"/>
    </font>
    <font>
      <vertAlign val="superscript"/>
      <sz val="9"/>
      <name val="Arial"/>
      <family val="2"/>
      <charset val="238"/>
    </font>
    <font>
      <vertAlign val="superscript"/>
      <sz val="9"/>
      <color theme="1"/>
      <name val="Arial"/>
      <family val="2"/>
      <charset val="238"/>
    </font>
    <font>
      <vertAlign val="subscript"/>
      <sz val="9"/>
      <color theme="1"/>
      <name val="Arial"/>
      <family val="2"/>
      <charset val="238"/>
    </font>
    <font>
      <vertAlign val="superscript"/>
      <sz val="9"/>
      <name val="Arial"/>
      <family val="2"/>
    </font>
    <font>
      <sz val="11"/>
      <color theme="1"/>
      <name val="Arial"/>
      <family val="2"/>
    </font>
    <font>
      <sz val="11"/>
      <color theme="1"/>
      <name val="Arial"/>
      <family val="2"/>
      <charset val="238"/>
    </font>
    <font>
      <b/>
      <sz val="11"/>
      <color theme="1"/>
      <name val="Arial"/>
      <family val="2"/>
      <charset val="238"/>
    </font>
    <font>
      <b/>
      <sz val="12"/>
      <color theme="1"/>
      <name val="Arial"/>
      <family val="2"/>
      <charset val="238"/>
    </font>
    <font>
      <sz val="10"/>
      <name val="Arial"/>
      <family val="2"/>
    </font>
    <font>
      <sz val="11"/>
      <name val="Arial"/>
      <family val="2"/>
      <charset val="238"/>
    </font>
    <font>
      <sz val="11"/>
      <name val="Arial"/>
      <family val="2"/>
    </font>
    <font>
      <sz val="11"/>
      <color rgb="FF9C5700"/>
      <name val="Calibri"/>
      <family val="2"/>
      <scheme val="minor"/>
    </font>
  </fonts>
  <fills count="14">
    <fill>
      <patternFill patternType="none"/>
    </fill>
    <fill>
      <patternFill patternType="gray125"/>
    </fill>
    <fill>
      <patternFill patternType="solid">
        <fgColor rgb="FFC6EFCE"/>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59999389629810485"/>
        <bgColor indexed="65"/>
      </patternFill>
    </fill>
    <fill>
      <patternFill patternType="solid">
        <fgColor rgb="FF1F4E78"/>
      </patternFill>
    </fill>
    <fill>
      <patternFill patternType="solid">
        <fgColor rgb="FFFFFF99"/>
        <bgColor indexed="64"/>
      </patternFill>
    </fill>
    <fill>
      <patternFill patternType="solid">
        <fgColor rgb="FF92D050"/>
        <bgColor indexed="64"/>
      </patternFill>
    </fill>
    <fill>
      <patternFill patternType="solid">
        <fgColor theme="2"/>
        <bgColor indexed="64"/>
      </patternFill>
    </fill>
    <fill>
      <patternFill patternType="solid">
        <fgColor theme="0"/>
        <bgColor indexed="64"/>
      </patternFill>
    </fill>
    <fill>
      <patternFill patternType="solid">
        <fgColor rgb="FFFF0000"/>
        <bgColor indexed="64"/>
      </patternFill>
    </fill>
    <fill>
      <patternFill patternType="solid">
        <fgColor rgb="FFFFEB9C"/>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medium">
        <color indexed="64"/>
      </right>
      <top/>
      <bottom style="medium">
        <color indexed="64"/>
      </bottom>
      <diagonal/>
    </border>
  </borders>
  <cellStyleXfs count="6">
    <xf numFmtId="0" fontId="0" fillId="0" borderId="0"/>
    <xf numFmtId="0" fontId="2" fillId="2" borderId="0" applyNumberFormat="0" applyBorder="0" applyAlignment="0" applyProtection="0"/>
    <xf numFmtId="0" fontId="9" fillId="0" borderId="0"/>
    <xf numFmtId="0" fontId="1" fillId="6" borderId="0" applyNumberFormat="0" applyBorder="0" applyAlignment="0" applyProtection="0"/>
    <xf numFmtId="0" fontId="8" fillId="0" borderId="0"/>
    <xf numFmtId="0" fontId="40" fillId="13" borderId="0" applyNumberFormat="0" applyBorder="0" applyAlignment="0" applyProtection="0"/>
  </cellStyleXfs>
  <cellXfs count="334">
    <xf numFmtId="0" fontId="0" fillId="0" borderId="0" xfId="0"/>
    <xf numFmtId="49" fontId="4" fillId="0" borderId="1" xfId="0" applyNumberFormat="1" applyFont="1" applyBorder="1" applyAlignment="1">
      <alignment horizontal="center"/>
    </xf>
    <xf numFmtId="0" fontId="4" fillId="0" borderId="1" xfId="0" applyFont="1" applyBorder="1" applyAlignment="1">
      <alignment horizontal="center"/>
    </xf>
    <xf numFmtId="49" fontId="0" fillId="0" borderId="1" xfId="0" applyNumberFormat="1" applyBorder="1" applyAlignment="1">
      <alignment wrapText="1"/>
    </xf>
    <xf numFmtId="1" fontId="5" fillId="0" borderId="1" xfId="0" applyNumberFormat="1" applyFont="1" applyBorder="1" applyAlignment="1">
      <alignment horizontal="left"/>
    </xf>
    <xf numFmtId="49" fontId="0" fillId="0" borderId="1" xfId="0" applyNumberFormat="1" applyBorder="1"/>
    <xf numFmtId="49" fontId="0" fillId="0" borderId="1" xfId="0" applyNumberFormat="1" applyBorder="1" applyAlignment="1">
      <alignment horizontal="left"/>
    </xf>
    <xf numFmtId="49" fontId="6" fillId="0" borderId="1" xfId="1" applyNumberFormat="1" applyFont="1" applyFill="1" applyBorder="1" applyAlignment="1">
      <alignment wrapText="1"/>
    </xf>
    <xf numFmtId="49" fontId="6" fillId="0" borderId="1" xfId="1" applyNumberFormat="1" applyFont="1" applyFill="1" applyBorder="1"/>
    <xf numFmtId="0" fontId="0" fillId="0" borderId="1" xfId="0" applyBorder="1"/>
    <xf numFmtId="0" fontId="0" fillId="0" borderId="1" xfId="0" applyBorder="1" applyAlignment="1">
      <alignment wrapText="1"/>
    </xf>
    <xf numFmtId="0" fontId="0" fillId="3" borderId="4" xfId="0" applyFill="1" applyBorder="1"/>
    <xf numFmtId="0" fontId="0" fillId="3" borderId="5" xfId="0" applyFill="1" applyBorder="1"/>
    <xf numFmtId="0" fontId="0" fillId="4" borderId="1" xfId="0" applyFill="1" applyBorder="1"/>
    <xf numFmtId="0" fontId="3" fillId="3" borderId="3" xfId="0" applyFont="1" applyFill="1" applyBorder="1"/>
    <xf numFmtId="0" fontId="0" fillId="4" borderId="1" xfId="0" applyFill="1" applyBorder="1" applyAlignment="1">
      <alignment wrapText="1"/>
    </xf>
    <xf numFmtId="0" fontId="0" fillId="3" borderId="4" xfId="0" applyFill="1" applyBorder="1" applyAlignment="1">
      <alignment wrapText="1"/>
    </xf>
    <xf numFmtId="0" fontId="0" fillId="0" borderId="0" xfId="0" applyAlignment="1">
      <alignment wrapText="1"/>
    </xf>
    <xf numFmtId="0" fontId="0" fillId="3" borderId="7" xfId="0" applyFill="1" applyBorder="1" applyAlignment="1">
      <alignment wrapText="1"/>
    </xf>
    <xf numFmtId="0" fontId="0" fillId="3" borderId="7" xfId="0" applyFill="1" applyBorder="1"/>
    <xf numFmtId="0" fontId="0" fillId="3" borderId="8" xfId="0" applyFill="1" applyBorder="1"/>
    <xf numFmtId="0" fontId="3" fillId="3" borderId="9" xfId="0" applyFont="1" applyFill="1" applyBorder="1"/>
    <xf numFmtId="0" fontId="0" fillId="5" borderId="1" xfId="0" applyFill="1" applyBorder="1"/>
    <xf numFmtId="0" fontId="0" fillId="5" borderId="1" xfId="0" applyFill="1" applyBorder="1" applyAlignment="1">
      <alignment wrapText="1"/>
    </xf>
    <xf numFmtId="3" fontId="0" fillId="0" borderId="0" xfId="0" quotePrefix="1" applyNumberFormat="1" applyAlignment="1">
      <alignment wrapText="1"/>
    </xf>
    <xf numFmtId="0" fontId="0" fillId="0" borderId="0" xfId="0" quotePrefix="1" applyAlignment="1">
      <alignment wrapText="1"/>
    </xf>
    <xf numFmtId="0" fontId="0" fillId="5" borderId="0" xfId="0" applyFill="1"/>
    <xf numFmtId="49" fontId="10" fillId="7" borderId="0" xfId="2" applyNumberFormat="1" applyFont="1" applyFill="1" applyAlignment="1">
      <alignment horizontal="center" vertical="center" wrapText="1"/>
    </xf>
    <xf numFmtId="0" fontId="9" fillId="0" borderId="0" xfId="2"/>
    <xf numFmtId="0" fontId="11" fillId="0" borderId="0" xfId="2" applyFont="1" applyAlignment="1">
      <alignment horizontal="center" vertical="top" wrapText="1"/>
    </xf>
    <xf numFmtId="0" fontId="11" fillId="0" borderId="0" xfId="2" applyFont="1" applyAlignment="1">
      <alignment vertical="top" wrapText="1"/>
    </xf>
    <xf numFmtId="0" fontId="11" fillId="0" borderId="0" xfId="2" applyFont="1"/>
    <xf numFmtId="0" fontId="11" fillId="0" borderId="0" xfId="2" applyFont="1" applyAlignment="1">
      <alignment wrapText="1"/>
    </xf>
    <xf numFmtId="0" fontId="9" fillId="0" borderId="0" xfId="2" applyAlignment="1">
      <alignment wrapText="1"/>
    </xf>
    <xf numFmtId="0" fontId="0" fillId="0" borderId="0" xfId="0" applyAlignment="1">
      <alignment horizontal="center"/>
    </xf>
    <xf numFmtId="49" fontId="12" fillId="0" borderId="0" xfId="0" applyNumberFormat="1" applyFont="1" applyAlignment="1">
      <alignment vertical="center"/>
    </xf>
    <xf numFmtId="0" fontId="12" fillId="0" borderId="0" xfId="0" applyFont="1" applyAlignment="1">
      <alignment vertical="center"/>
    </xf>
    <xf numFmtId="0" fontId="13" fillId="0" borderId="0" xfId="0" applyFont="1" applyAlignment="1">
      <alignment horizontal="center" vertical="center"/>
    </xf>
    <xf numFmtId="4" fontId="13" fillId="0" borderId="0" xfId="0" applyNumberFormat="1" applyFont="1" applyAlignment="1">
      <alignment horizontal="center"/>
    </xf>
    <xf numFmtId="0" fontId="14" fillId="0" borderId="0" xfId="0" applyFont="1" applyAlignment="1">
      <alignment horizontal="left" vertical="center"/>
    </xf>
    <xf numFmtId="0" fontId="15" fillId="0" borderId="0" xfId="0" applyFont="1" applyAlignment="1">
      <alignment horizontal="left" vertical="center"/>
    </xf>
    <xf numFmtId="49" fontId="13" fillId="0" borderId="0" xfId="0" applyNumberFormat="1" applyFont="1" applyAlignment="1">
      <alignment horizontal="center" vertical="top"/>
    </xf>
    <xf numFmtId="0" fontId="13" fillId="0" borderId="0" xfId="0" applyFont="1" applyAlignment="1">
      <alignment horizontal="left" vertical="center"/>
    </xf>
    <xf numFmtId="49" fontId="13" fillId="0" borderId="0" xfId="0" applyNumberFormat="1" applyFont="1" applyAlignment="1">
      <alignment horizontal="left" vertical="top"/>
    </xf>
    <xf numFmtId="0" fontId="13" fillId="0" borderId="0" xfId="0" applyFont="1" applyAlignment="1">
      <alignment horizontal="center"/>
    </xf>
    <xf numFmtId="0" fontId="13" fillId="0" borderId="0" xfId="0" applyFont="1" applyAlignment="1">
      <alignment horizontal="right"/>
    </xf>
    <xf numFmtId="164" fontId="13" fillId="4" borderId="1" xfId="0" applyNumberFormat="1" applyFont="1" applyFill="1" applyBorder="1" applyAlignment="1">
      <alignment horizontal="center" vertical="center" wrapText="1"/>
    </xf>
    <xf numFmtId="0" fontId="13" fillId="4" borderId="1" xfId="0" applyFont="1" applyFill="1" applyBorder="1" applyAlignment="1">
      <alignment horizontal="center" vertical="center" wrapText="1"/>
    </xf>
    <xf numFmtId="49" fontId="13" fillId="4" borderId="1" xfId="0" applyNumberFormat="1" applyFont="1" applyFill="1" applyBorder="1" applyAlignment="1">
      <alignment horizontal="center" vertical="center"/>
    </xf>
    <xf numFmtId="0" fontId="13" fillId="4" borderId="1" xfId="0" applyFont="1" applyFill="1" applyBorder="1" applyAlignment="1">
      <alignment horizontal="center" wrapText="1"/>
    </xf>
    <xf numFmtId="4" fontId="13" fillId="4" borderId="1" xfId="0" applyNumberFormat="1" applyFont="1" applyFill="1" applyBorder="1" applyAlignment="1">
      <alignment horizontal="center" wrapText="1"/>
    </xf>
    <xf numFmtId="49" fontId="13" fillId="4" borderId="1" xfId="0" applyNumberFormat="1" applyFont="1" applyFill="1" applyBorder="1" applyAlignment="1">
      <alignment horizontal="center" vertical="center" wrapText="1"/>
    </xf>
    <xf numFmtId="49" fontId="13" fillId="4" borderId="1" xfId="0" applyNumberFormat="1" applyFont="1" applyFill="1" applyBorder="1" applyAlignment="1">
      <alignment horizontal="center" wrapText="1"/>
    </xf>
    <xf numFmtId="3" fontId="13" fillId="4" borderId="1" xfId="0" applyNumberFormat="1" applyFont="1" applyFill="1" applyBorder="1" applyAlignment="1">
      <alignment horizontal="center" wrapText="1"/>
    </xf>
    <xf numFmtId="49" fontId="13" fillId="4" borderId="6" xfId="0" applyNumberFormat="1" applyFont="1" applyFill="1" applyBorder="1" applyAlignment="1">
      <alignment horizontal="center" vertical="top" wrapText="1"/>
    </xf>
    <xf numFmtId="49" fontId="13" fillId="4" borderId="3" xfId="0" applyNumberFormat="1" applyFont="1" applyFill="1" applyBorder="1" applyAlignment="1">
      <alignment horizontal="center" vertical="center"/>
    </xf>
    <xf numFmtId="49" fontId="13" fillId="4" borderId="3" xfId="0" applyNumberFormat="1" applyFont="1" applyFill="1" applyBorder="1" applyAlignment="1">
      <alignment horizontal="center" wrapText="1"/>
    </xf>
    <xf numFmtId="49" fontId="17" fillId="4" borderId="1" xfId="0" applyNumberFormat="1" applyFont="1" applyFill="1" applyBorder="1" applyAlignment="1">
      <alignment horizontal="center" vertical="top" wrapText="1"/>
    </xf>
    <xf numFmtId="0" fontId="16" fillId="4" borderId="1" xfId="0" applyFont="1" applyFill="1" applyBorder="1" applyAlignment="1">
      <alignment horizontal="center" vertical="center"/>
    </xf>
    <xf numFmtId="49" fontId="16" fillId="4" borderId="1" xfId="0" applyNumberFormat="1" applyFont="1" applyFill="1" applyBorder="1" applyAlignment="1">
      <alignment horizontal="left" vertical="top"/>
    </xf>
    <xf numFmtId="0" fontId="18" fillId="4" borderId="1" xfId="0" applyFont="1" applyFill="1" applyBorder="1" applyAlignment="1" applyProtection="1">
      <alignment horizontal="left" vertical="center" wrapText="1"/>
      <protection locked="0"/>
    </xf>
    <xf numFmtId="0" fontId="18" fillId="4" borderId="3" xfId="0" applyFont="1" applyFill="1" applyBorder="1" applyAlignment="1" applyProtection="1">
      <alignment horizontal="left" vertical="center" wrapText="1"/>
      <protection locked="0"/>
    </xf>
    <xf numFmtId="0" fontId="16" fillId="4" borderId="3" xfId="0" applyFont="1" applyFill="1" applyBorder="1" applyAlignment="1">
      <alignment horizontal="center" wrapText="1"/>
    </xf>
    <xf numFmtId="2" fontId="16" fillId="4" borderId="1" xfId="0" applyNumberFormat="1" applyFont="1" applyFill="1" applyBorder="1" applyAlignment="1">
      <alignment horizontal="right" wrapText="1"/>
    </xf>
    <xf numFmtId="2" fontId="19" fillId="4" borderId="1" xfId="0" applyNumberFormat="1" applyFont="1" applyFill="1" applyBorder="1" applyAlignment="1" applyProtection="1">
      <alignment horizontal="right" wrapText="1"/>
      <protection locked="0"/>
    </xf>
    <xf numFmtId="2" fontId="13" fillId="4" borderId="1" xfId="0" applyNumberFormat="1" applyFont="1" applyFill="1" applyBorder="1" applyAlignment="1">
      <alignment horizontal="center" wrapText="1"/>
    </xf>
    <xf numFmtId="2" fontId="17" fillId="4" borderId="1" xfId="0" applyNumberFormat="1" applyFont="1" applyFill="1" applyBorder="1" applyAlignment="1">
      <alignment horizontal="center" wrapText="1"/>
    </xf>
    <xf numFmtId="49" fontId="13" fillId="0" borderId="1" xfId="0" applyNumberFormat="1" applyFont="1" applyBorder="1" applyAlignment="1">
      <alignment horizontal="center" vertical="top" wrapText="1"/>
    </xf>
    <xf numFmtId="0" fontId="19" fillId="9" borderId="1" xfId="0" applyFont="1" applyFill="1" applyBorder="1" applyAlignment="1" applyProtection="1">
      <alignment horizontal="left" vertical="center" wrapText="1"/>
      <protection locked="0"/>
    </xf>
    <xf numFmtId="0" fontId="19" fillId="0" borderId="1" xfId="0" applyFont="1" applyBorder="1" applyAlignment="1" applyProtection="1">
      <alignment horizontal="left" vertical="center" wrapText="1"/>
      <protection locked="0"/>
    </xf>
    <xf numFmtId="0" fontId="19" fillId="0" borderId="1" xfId="0" applyFont="1" applyBorder="1" applyAlignment="1">
      <alignment horizontal="center"/>
    </xf>
    <xf numFmtId="4" fontId="19" fillId="0" borderId="1" xfId="0" applyNumberFormat="1" applyFont="1" applyBorder="1" applyAlignment="1" applyProtection="1">
      <alignment horizontal="right" wrapText="1"/>
      <protection locked="0"/>
    </xf>
    <xf numFmtId="2" fontId="13" fillId="0" borderId="1" xfId="0" applyNumberFormat="1" applyFont="1" applyBorder="1" applyAlignment="1">
      <alignment horizontal="right"/>
    </xf>
    <xf numFmtId="2" fontId="13" fillId="0" borderId="1" xfId="0" applyNumberFormat="1" applyFont="1" applyBorder="1" applyAlignment="1">
      <alignment horizontal="center" wrapText="1"/>
    </xf>
    <xf numFmtId="0" fontId="19" fillId="9" borderId="1" xfId="0" applyFont="1" applyFill="1" applyBorder="1" applyAlignment="1">
      <alignment horizontal="left" vertical="center" wrapText="1"/>
    </xf>
    <xf numFmtId="0" fontId="13" fillId="0" borderId="3" xfId="0" applyFont="1" applyBorder="1" applyAlignment="1">
      <alignment horizontal="left" vertical="center" wrapText="1"/>
    </xf>
    <xf numFmtId="0" fontId="13" fillId="0" borderId="3" xfId="0" applyFont="1" applyBorder="1" applyAlignment="1">
      <alignment horizontal="center" wrapText="1"/>
    </xf>
    <xf numFmtId="2" fontId="13" fillId="0" borderId="1" xfId="0" applyNumberFormat="1" applyFont="1" applyBorder="1" applyAlignment="1">
      <alignment horizontal="right" wrapText="1"/>
    </xf>
    <xf numFmtId="2" fontId="19" fillId="0" borderId="1" xfId="0" applyNumberFormat="1" applyFont="1" applyBorder="1" applyAlignment="1" applyProtection="1">
      <alignment horizontal="right" wrapText="1"/>
      <protection locked="0"/>
    </xf>
    <xf numFmtId="0" fontId="13" fillId="0" borderId="1" xfId="0" applyFont="1" applyBorder="1" applyAlignment="1">
      <alignment horizontal="left" vertical="center" wrapText="1"/>
    </xf>
    <xf numFmtId="0" fontId="13" fillId="0" borderId="1" xfId="0" applyFont="1" applyBorder="1" applyAlignment="1">
      <alignment horizontal="center" wrapText="1"/>
    </xf>
    <xf numFmtId="0" fontId="19" fillId="9" borderId="10" xfId="0" applyFont="1" applyFill="1" applyBorder="1" applyAlignment="1">
      <alignment horizontal="left" vertical="center" wrapText="1"/>
    </xf>
    <xf numFmtId="0" fontId="13" fillId="0" borderId="10" xfId="0" applyFont="1" applyBorder="1" applyAlignment="1">
      <alignment horizontal="left" vertical="center" wrapText="1"/>
    </xf>
    <xf numFmtId="2" fontId="0" fillId="0" borderId="1" xfId="0" applyNumberFormat="1" applyBorder="1" applyAlignment="1">
      <alignment horizontal="right" wrapText="1"/>
    </xf>
    <xf numFmtId="2" fontId="19" fillId="0" borderId="10" xfId="0" applyNumberFormat="1" applyFont="1" applyBorder="1" applyAlignment="1" applyProtection="1">
      <alignment horizontal="right" wrapText="1"/>
      <protection locked="0"/>
    </xf>
    <xf numFmtId="0" fontId="13" fillId="5" borderId="1" xfId="0" applyFont="1" applyFill="1" applyBorder="1" applyAlignment="1">
      <alignment horizontal="left" vertical="center" wrapText="1"/>
    </xf>
    <xf numFmtId="49" fontId="13" fillId="0" borderId="3" xfId="0" applyNumberFormat="1" applyFont="1" applyBorder="1" applyAlignment="1">
      <alignment horizontal="left" vertical="top" wrapText="1"/>
    </xf>
    <xf numFmtId="0" fontId="19" fillId="5" borderId="3" xfId="0" applyFont="1" applyFill="1" applyBorder="1" applyAlignment="1" applyProtection="1">
      <alignment horizontal="left" vertical="center" wrapText="1"/>
      <protection locked="0"/>
    </xf>
    <xf numFmtId="0" fontId="19" fillId="0" borderId="3" xfId="0" applyFont="1" applyBorder="1" applyAlignment="1" applyProtection="1">
      <alignment horizontal="left" vertical="center" wrapText="1"/>
      <protection locked="0"/>
    </xf>
    <xf numFmtId="0" fontId="19" fillId="0" borderId="1" xfId="0" applyFont="1" applyBorder="1" applyAlignment="1" applyProtection="1">
      <alignment horizontal="center" wrapText="1"/>
      <protection locked="0"/>
    </xf>
    <xf numFmtId="2" fontId="20" fillId="0" borderId="3" xfId="0" applyNumberFormat="1" applyFont="1" applyBorder="1" applyAlignment="1">
      <alignment horizontal="right" wrapText="1"/>
    </xf>
    <xf numFmtId="4" fontId="19" fillId="0" borderId="5" xfId="0" applyNumberFormat="1" applyFont="1" applyBorder="1" applyAlignment="1" applyProtection="1">
      <alignment wrapText="1"/>
      <protection locked="0"/>
    </xf>
    <xf numFmtId="0" fontId="19" fillId="9" borderId="3" xfId="0" applyFont="1" applyFill="1" applyBorder="1" applyAlignment="1" applyProtection="1">
      <alignment horizontal="left" vertical="center" wrapText="1"/>
      <protection locked="0"/>
    </xf>
    <xf numFmtId="4" fontId="19" fillId="0" borderId="1" xfId="0" applyNumberFormat="1" applyFont="1" applyBorder="1" applyAlignment="1" applyProtection="1">
      <alignment wrapText="1"/>
      <protection locked="0"/>
    </xf>
    <xf numFmtId="0" fontId="21" fillId="5" borderId="1" xfId="0" applyFont="1" applyFill="1" applyBorder="1" applyAlignment="1">
      <alignment wrapText="1"/>
    </xf>
    <xf numFmtId="0" fontId="21" fillId="0" borderId="1" xfId="0" applyFont="1" applyBorder="1" applyAlignment="1">
      <alignment wrapText="1"/>
    </xf>
    <xf numFmtId="2" fontId="22" fillId="0" borderId="1" xfId="0" applyNumberFormat="1" applyFont="1" applyBorder="1" applyAlignment="1" applyProtection="1">
      <alignment horizontal="right" wrapText="1"/>
      <protection locked="0"/>
    </xf>
    <xf numFmtId="0" fontId="19" fillId="5" borderId="1" xfId="0" applyFont="1" applyFill="1" applyBorder="1" applyAlignment="1">
      <alignment wrapText="1"/>
    </xf>
    <xf numFmtId="0" fontId="19" fillId="0" borderId="1" xfId="0" applyFont="1" applyBorder="1" applyAlignment="1">
      <alignment wrapText="1"/>
    </xf>
    <xf numFmtId="0" fontId="19" fillId="9" borderId="1" xfId="0" applyFont="1" applyFill="1" applyBorder="1" applyAlignment="1">
      <alignment wrapText="1"/>
    </xf>
    <xf numFmtId="0" fontId="22" fillId="5" borderId="1" xfId="0" applyFont="1" applyFill="1" applyBorder="1" applyAlignment="1">
      <alignment vertical="top" wrapText="1"/>
    </xf>
    <xf numFmtId="0" fontId="22" fillId="0" borderId="1" xfId="0" applyFont="1" applyBorder="1" applyAlignment="1">
      <alignment vertical="top" wrapText="1"/>
    </xf>
    <xf numFmtId="0" fontId="19" fillId="10" borderId="1" xfId="0" applyFont="1" applyFill="1" applyBorder="1" applyAlignment="1">
      <alignment wrapText="1"/>
    </xf>
    <xf numFmtId="49" fontId="13" fillId="0" borderId="3" xfId="0" applyNumberFormat="1" applyFont="1" applyBorder="1" applyAlignment="1">
      <alignment horizontal="center" vertical="top" wrapText="1"/>
    </xf>
    <xf numFmtId="0" fontId="0" fillId="0" borderId="3" xfId="0" applyBorder="1"/>
    <xf numFmtId="0" fontId="24" fillId="9" borderId="10" xfId="0" applyFont="1" applyFill="1" applyBorder="1" applyAlignment="1">
      <alignment horizontal="left" vertical="center" wrapText="1"/>
    </xf>
    <xf numFmtId="0" fontId="24" fillId="10" borderId="10" xfId="0" applyFont="1" applyFill="1" applyBorder="1" applyAlignment="1">
      <alignment horizontal="left" vertical="center" wrapText="1"/>
    </xf>
    <xf numFmtId="2" fontId="13" fillId="0" borderId="3" xfId="0" applyNumberFormat="1" applyFont="1" applyBorder="1" applyAlignment="1">
      <alignment horizontal="right"/>
    </xf>
    <xf numFmtId="49" fontId="16" fillId="11" borderId="3" xfId="0" applyNumberFormat="1" applyFont="1" applyFill="1" applyBorder="1" applyAlignment="1">
      <alignment vertical="top"/>
    </xf>
    <xf numFmtId="0" fontId="16" fillId="11" borderId="3" xfId="0" applyFont="1" applyFill="1" applyBorder="1" applyAlignment="1">
      <alignment vertical="center"/>
    </xf>
    <xf numFmtId="49" fontId="16" fillId="11" borderId="1" xfId="0" applyNumberFormat="1" applyFont="1" applyFill="1" applyBorder="1" applyAlignment="1">
      <alignment horizontal="left" vertical="top"/>
    </xf>
    <xf numFmtId="49" fontId="13" fillId="0" borderId="10" xfId="0" applyNumberFormat="1" applyFont="1" applyBorder="1" applyAlignment="1">
      <alignment horizontal="center" vertical="top" wrapText="1"/>
    </xf>
    <xf numFmtId="0" fontId="13" fillId="11" borderId="10" xfId="0" applyFont="1" applyFill="1" applyBorder="1" applyAlignment="1">
      <alignment vertical="center" wrapText="1"/>
    </xf>
    <xf numFmtId="49" fontId="13" fillId="11" borderId="10" xfId="0" applyNumberFormat="1" applyFont="1" applyFill="1" applyBorder="1" applyAlignment="1">
      <alignment horizontal="left" vertical="top" wrapText="1"/>
    </xf>
    <xf numFmtId="0" fontId="20" fillId="0" borderId="1" xfId="0" applyFont="1" applyBorder="1"/>
    <xf numFmtId="0" fontId="20" fillId="10" borderId="1" xfId="0" applyFont="1" applyFill="1" applyBorder="1"/>
    <xf numFmtId="0" fontId="20" fillId="0" borderId="1" xfId="0" applyFont="1" applyBorder="1" applyAlignment="1">
      <alignment horizontal="center"/>
    </xf>
    <xf numFmtId="2" fontId="20" fillId="0" borderId="1" xfId="0" applyNumberFormat="1" applyFont="1" applyBorder="1" applyAlignment="1">
      <alignment horizontal="right"/>
    </xf>
    <xf numFmtId="2" fontId="26" fillId="0" borderId="7" xfId="0" applyNumberFormat="1" applyFont="1" applyBorder="1" applyAlignment="1">
      <alignment horizontal="right" wrapText="1"/>
    </xf>
    <xf numFmtId="49" fontId="13" fillId="11" borderId="9" xfId="0" applyNumberFormat="1" applyFont="1" applyFill="1" applyBorder="1" applyAlignment="1">
      <alignment horizontal="left" vertical="top" wrapText="1"/>
    </xf>
    <xf numFmtId="0" fontId="20" fillId="0" borderId="9" xfId="0" applyFont="1" applyBorder="1"/>
    <xf numFmtId="0" fontId="20" fillId="10" borderId="9" xfId="0" applyFont="1" applyFill="1" applyBorder="1"/>
    <xf numFmtId="0" fontId="20" fillId="0" borderId="9" xfId="0" applyFont="1" applyBorder="1" applyAlignment="1">
      <alignment vertical="top" wrapText="1"/>
    </xf>
    <xf numFmtId="0" fontId="20" fillId="10" borderId="9" xfId="0" applyFont="1" applyFill="1" applyBorder="1" applyAlignment="1">
      <alignment vertical="top" wrapText="1"/>
    </xf>
    <xf numFmtId="0" fontId="20" fillId="0" borderId="1" xfId="0" applyFont="1" applyBorder="1" applyAlignment="1">
      <alignment horizontal="left" vertical="center" wrapText="1"/>
    </xf>
    <xf numFmtId="0" fontId="20" fillId="10" borderId="1" xfId="0" applyFont="1" applyFill="1" applyBorder="1" applyAlignment="1">
      <alignment horizontal="left" vertical="center" wrapText="1"/>
    </xf>
    <xf numFmtId="0" fontId="22" fillId="0" borderId="1" xfId="0" applyFont="1" applyBorder="1" applyAlignment="1">
      <alignment horizontal="left" vertical="center" wrapText="1"/>
    </xf>
    <xf numFmtId="0" fontId="22" fillId="10" borderId="1" xfId="0" applyFont="1" applyFill="1" applyBorder="1" applyAlignment="1">
      <alignment horizontal="left" vertical="center" wrapText="1"/>
    </xf>
    <xf numFmtId="0" fontId="20" fillId="0" borderId="1" xfId="0" applyFont="1" applyBorder="1" applyAlignment="1">
      <alignment horizontal="center" wrapText="1"/>
    </xf>
    <xf numFmtId="2" fontId="20" fillId="0" borderId="10" xfId="0" applyNumberFormat="1" applyFont="1" applyBorder="1" applyAlignment="1">
      <alignment horizontal="right"/>
    </xf>
    <xf numFmtId="0" fontId="22" fillId="0" borderId="1" xfId="0" applyFont="1" applyBorder="1" applyAlignment="1">
      <alignment vertical="center" wrapText="1"/>
    </xf>
    <xf numFmtId="0" fontId="22" fillId="10" borderId="1" xfId="0" applyFont="1" applyFill="1" applyBorder="1" applyAlignment="1">
      <alignment vertical="center" wrapText="1"/>
    </xf>
    <xf numFmtId="49" fontId="13" fillId="0" borderId="10" xfId="0" applyNumberFormat="1" applyFont="1" applyBorder="1" applyAlignment="1">
      <alignment horizontal="left" vertical="top" wrapText="1"/>
    </xf>
    <xf numFmtId="0" fontId="20" fillId="0" borderId="1" xfId="4" applyFont="1" applyBorder="1" applyAlignment="1">
      <alignment horizontal="left" vertical="center" wrapText="1"/>
    </xf>
    <xf numFmtId="0" fontId="20" fillId="10" borderId="1" xfId="4" applyFont="1" applyFill="1" applyBorder="1" applyAlignment="1">
      <alignment horizontal="left" vertical="center" wrapText="1"/>
    </xf>
    <xf numFmtId="0" fontId="20" fillId="0" borderId="1" xfId="4" applyFont="1" applyBorder="1" applyAlignment="1">
      <alignment horizontal="center"/>
    </xf>
    <xf numFmtId="2" fontId="20" fillId="0" borderId="1" xfId="4" applyNumberFormat="1" applyFont="1" applyBorder="1" applyAlignment="1">
      <alignment horizontal="right"/>
    </xf>
    <xf numFmtId="2" fontId="13" fillId="0" borderId="5" xfId="0" applyNumberFormat="1" applyFont="1" applyBorder="1" applyAlignment="1">
      <alignment horizontal="center" wrapText="1"/>
    </xf>
    <xf numFmtId="0" fontId="13" fillId="11" borderId="1" xfId="0" applyFont="1" applyFill="1" applyBorder="1" applyAlignment="1">
      <alignment vertical="center" wrapText="1"/>
    </xf>
    <xf numFmtId="49" fontId="13" fillId="11" borderId="1" xfId="0" applyNumberFormat="1" applyFont="1" applyFill="1" applyBorder="1" applyAlignment="1">
      <alignment horizontal="left" vertical="top" wrapText="1"/>
    </xf>
    <xf numFmtId="0" fontId="25" fillId="4" borderId="3" xfId="0" applyFont="1" applyFill="1" applyBorder="1" applyAlignment="1">
      <alignment vertical="center"/>
    </xf>
    <xf numFmtId="0" fontId="25" fillId="4" borderId="4" xfId="0" applyFont="1" applyFill="1" applyBorder="1" applyAlignment="1">
      <alignment vertical="center"/>
    </xf>
    <xf numFmtId="2" fontId="25" fillId="0" borderId="1" xfId="0" applyNumberFormat="1" applyFont="1" applyBorder="1" applyAlignment="1">
      <alignment horizontal="center" wrapText="1"/>
    </xf>
    <xf numFmtId="49" fontId="0" fillId="0" borderId="0" xfId="0" applyNumberFormat="1" applyAlignment="1">
      <alignment vertical="top"/>
    </xf>
    <xf numFmtId="0" fontId="0" fillId="0" borderId="0" xfId="0" applyAlignment="1">
      <alignment horizontal="right"/>
    </xf>
    <xf numFmtId="0" fontId="27" fillId="0" borderId="0" xfId="0" applyFont="1" applyAlignment="1">
      <alignment horizontal="center"/>
    </xf>
    <xf numFmtId="164" fontId="13" fillId="0" borderId="0" xfId="0" applyNumberFormat="1" applyFont="1" applyAlignment="1">
      <alignment horizontal="center" vertical="center"/>
    </xf>
    <xf numFmtId="1" fontId="13" fillId="4" borderId="1" xfId="0" applyNumberFormat="1" applyFont="1" applyFill="1" applyBorder="1" applyAlignment="1">
      <alignment horizontal="center" wrapText="1"/>
    </xf>
    <xf numFmtId="0" fontId="28" fillId="4" borderId="1" xfId="0" applyFont="1" applyFill="1" applyBorder="1" applyAlignment="1">
      <alignment horizontal="center" vertical="center"/>
    </xf>
    <xf numFmtId="0" fontId="28" fillId="4" borderId="1" xfId="0" applyFont="1" applyFill="1" applyBorder="1" applyAlignment="1">
      <alignment horizontal="left" vertical="center"/>
    </xf>
    <xf numFmtId="4" fontId="13" fillId="4" borderId="3" xfId="0" applyNumberFormat="1" applyFont="1" applyFill="1" applyBorder="1" applyAlignment="1">
      <alignment horizontal="center" wrapText="1"/>
    </xf>
    <xf numFmtId="0" fontId="0" fillId="0" borderId="12" xfId="0" applyBorder="1"/>
    <xf numFmtId="49" fontId="17" fillId="4" borderId="1" xfId="0" applyNumberFormat="1" applyFont="1" applyFill="1" applyBorder="1" applyAlignment="1">
      <alignment horizontal="center" vertical="center" wrapText="1"/>
    </xf>
    <xf numFmtId="0" fontId="16" fillId="4" borderId="1" xfId="0" applyFont="1" applyFill="1" applyBorder="1" applyAlignment="1">
      <alignment horizontal="center" wrapText="1"/>
    </xf>
    <xf numFmtId="4" fontId="19" fillId="4" borderId="1" xfId="0" applyNumberFormat="1" applyFont="1" applyFill="1" applyBorder="1" applyAlignment="1" applyProtection="1">
      <alignment horizontal="center" wrapText="1"/>
      <protection locked="0"/>
    </xf>
    <xf numFmtId="0" fontId="19" fillId="5" borderId="2" xfId="0" applyFont="1" applyFill="1" applyBorder="1" applyAlignment="1" applyProtection="1">
      <alignment horizontal="left" vertical="top" wrapText="1"/>
      <protection locked="0"/>
    </xf>
    <xf numFmtId="0" fontId="19" fillId="0" borderId="13" xfId="0" applyFont="1" applyBorder="1" applyAlignment="1" applyProtection="1">
      <alignment horizontal="left" vertical="top" wrapText="1"/>
      <protection locked="0"/>
    </xf>
    <xf numFmtId="4" fontId="13" fillId="0" borderId="10" xfId="0" applyNumberFormat="1" applyFont="1" applyBorder="1" applyAlignment="1">
      <alignment horizontal="center" wrapText="1"/>
    </xf>
    <xf numFmtId="0" fontId="13" fillId="5" borderId="6" xfId="0" applyFont="1" applyFill="1" applyBorder="1" applyAlignment="1">
      <alignment horizontal="left" vertical="top" wrapText="1"/>
    </xf>
    <xf numFmtId="0" fontId="13" fillId="0" borderId="6" xfId="0" applyFont="1" applyBorder="1" applyAlignment="1">
      <alignment horizontal="left" vertical="top" wrapText="1"/>
    </xf>
    <xf numFmtId="4" fontId="13" fillId="0" borderId="1" xfId="0" applyNumberFormat="1" applyFont="1" applyBorder="1" applyAlignment="1">
      <alignment horizontal="center" wrapText="1"/>
    </xf>
    <xf numFmtId="4" fontId="13" fillId="0" borderId="1" xfId="0" applyNumberFormat="1" applyFont="1" applyBorder="1" applyAlignment="1">
      <alignment horizontal="right" wrapText="1"/>
    </xf>
    <xf numFmtId="0" fontId="19" fillId="9" borderId="3" xfId="0" applyFont="1" applyFill="1" applyBorder="1" applyAlignment="1" applyProtection="1">
      <alignment horizontal="justify" vertical="center" wrapText="1"/>
      <protection locked="0"/>
    </xf>
    <xf numFmtId="0" fontId="19" fillId="0" borderId="3" xfId="0" applyFont="1" applyBorder="1" applyAlignment="1" applyProtection="1">
      <alignment horizontal="justify" vertical="center" wrapText="1"/>
      <protection locked="0"/>
    </xf>
    <xf numFmtId="165" fontId="19" fillId="0" borderId="1" xfId="0" applyNumberFormat="1" applyFont="1" applyBorder="1" applyAlignment="1" applyProtection="1">
      <alignment horizontal="right" wrapText="1"/>
      <protection locked="0"/>
    </xf>
    <xf numFmtId="0" fontId="19" fillId="9" borderId="4" xfId="0" applyFont="1" applyFill="1" applyBorder="1" applyAlignment="1">
      <alignment wrapText="1"/>
    </xf>
    <xf numFmtId="0" fontId="19" fillId="0" borderId="4" xfId="0" applyFont="1" applyBorder="1" applyAlignment="1">
      <alignment wrapText="1"/>
    </xf>
    <xf numFmtId="4" fontId="19" fillId="0" borderId="1" xfId="0" applyNumberFormat="1" applyFont="1" applyBorder="1" applyAlignment="1" applyProtection="1">
      <alignment horizontal="center" wrapText="1"/>
      <protection locked="0"/>
    </xf>
    <xf numFmtId="0" fontId="19" fillId="0" borderId="3" xfId="0" applyFont="1" applyBorder="1" applyAlignment="1" applyProtection="1">
      <alignment horizontal="center" wrapText="1"/>
      <protection locked="0"/>
    </xf>
    <xf numFmtId="0" fontId="13" fillId="9" borderId="1" xfId="0" applyFont="1" applyFill="1" applyBorder="1" applyAlignment="1">
      <alignment horizontal="left" vertical="center" wrapText="1"/>
    </xf>
    <xf numFmtId="0" fontId="13" fillId="9" borderId="10" xfId="0" applyFont="1" applyFill="1" applyBorder="1" applyAlignment="1">
      <alignment horizontal="left" vertical="center" wrapText="1"/>
    </xf>
    <xf numFmtId="0" fontId="13" fillId="9" borderId="1" xfId="0" applyFont="1" applyFill="1" applyBorder="1" applyAlignment="1">
      <alignment horizontal="justify" vertical="center" wrapText="1"/>
    </xf>
    <xf numFmtId="0" fontId="13" fillId="0" borderId="3" xfId="0" applyFont="1" applyBorder="1" applyAlignment="1">
      <alignment horizontal="justify" vertical="center" wrapText="1"/>
    </xf>
    <xf numFmtId="2" fontId="19" fillId="0" borderId="1" xfId="0" applyNumberFormat="1" applyFont="1" applyBorder="1" applyAlignment="1" applyProtection="1">
      <alignment wrapText="1"/>
      <protection locked="0"/>
    </xf>
    <xf numFmtId="0" fontId="13" fillId="0" borderId="1" xfId="0" applyFont="1" applyBorder="1" applyAlignment="1">
      <alignment horizontal="justify" vertical="center" wrapText="1"/>
    </xf>
    <xf numFmtId="0" fontId="19" fillId="0" borderId="1" xfId="0" applyFont="1" applyBorder="1" applyAlignment="1">
      <alignment horizontal="center" wrapText="1"/>
    </xf>
    <xf numFmtId="2" fontId="19" fillId="0" borderId="1" xfId="0" applyNumberFormat="1" applyFont="1" applyBorder="1" applyAlignment="1">
      <alignment horizontal="right" wrapText="1"/>
    </xf>
    <xf numFmtId="0" fontId="21" fillId="9" borderId="1" xfId="0" applyFont="1" applyFill="1" applyBorder="1" applyAlignment="1">
      <alignment vertical="top" wrapText="1"/>
    </xf>
    <xf numFmtId="0" fontId="21" fillId="0" borderId="1" xfId="0" applyFont="1" applyBorder="1" applyAlignment="1">
      <alignment vertical="top" wrapText="1"/>
    </xf>
    <xf numFmtId="0" fontId="22" fillId="9" borderId="3" xfId="0" applyFont="1" applyFill="1" applyBorder="1" applyAlignment="1" applyProtection="1">
      <alignment horizontal="left" vertical="center" wrapText="1"/>
      <protection locked="0"/>
    </xf>
    <xf numFmtId="0" fontId="22" fillId="0" borderId="3" xfId="0" applyFont="1" applyBorder="1" applyAlignment="1" applyProtection="1">
      <alignment horizontal="left" vertical="center" wrapText="1"/>
      <protection locked="0"/>
    </xf>
    <xf numFmtId="0" fontId="19" fillId="5" borderId="3" xfId="0" applyFont="1" applyFill="1" applyBorder="1" applyAlignment="1" applyProtection="1">
      <alignment horizontal="justify" vertical="center" wrapText="1"/>
      <protection locked="0"/>
    </xf>
    <xf numFmtId="49" fontId="13" fillId="9" borderId="1" xfId="0" applyNumberFormat="1" applyFont="1" applyFill="1" applyBorder="1" applyAlignment="1">
      <alignment horizontal="left" vertical="top" wrapText="1"/>
    </xf>
    <xf numFmtId="0" fontId="13" fillId="9" borderId="1" xfId="0" applyFont="1" applyFill="1" applyBorder="1" applyAlignment="1">
      <alignment wrapText="1"/>
    </xf>
    <xf numFmtId="0" fontId="13" fillId="0" borderId="1" xfId="0" applyFont="1" applyBorder="1" applyAlignment="1">
      <alignment wrapText="1"/>
    </xf>
    <xf numFmtId="0" fontId="13" fillId="10" borderId="1" xfId="0" applyFont="1" applyFill="1" applyBorder="1" applyAlignment="1">
      <alignment horizontal="left" vertical="center" wrapText="1"/>
    </xf>
    <xf numFmtId="4" fontId="13" fillId="0" borderId="10" xfId="0" applyNumberFormat="1" applyFont="1" applyBorder="1" applyAlignment="1">
      <alignment horizontal="right" wrapText="1"/>
    </xf>
    <xf numFmtId="49" fontId="17" fillId="4" borderId="10" xfId="0" applyNumberFormat="1" applyFont="1" applyFill="1" applyBorder="1" applyAlignment="1">
      <alignment horizontal="center" vertical="center" wrapText="1"/>
    </xf>
    <xf numFmtId="0" fontId="16" fillId="4" borderId="10" xfId="0" applyFont="1" applyFill="1" applyBorder="1" applyAlignment="1">
      <alignment horizontal="center" vertical="center"/>
    </xf>
    <xf numFmtId="0" fontId="18" fillId="4" borderId="10" xfId="0" applyFont="1" applyFill="1" applyBorder="1" applyAlignment="1" applyProtection="1">
      <alignment horizontal="left" vertical="center" wrapText="1"/>
      <protection locked="0"/>
    </xf>
    <xf numFmtId="0" fontId="18" fillId="4" borderId="9" xfId="0" applyFont="1" applyFill="1" applyBorder="1" applyAlignment="1" applyProtection="1">
      <alignment horizontal="left" vertical="center" wrapText="1"/>
      <protection locked="0"/>
    </xf>
    <xf numFmtId="0" fontId="16" fillId="4" borderId="9" xfId="0" applyFont="1" applyFill="1" applyBorder="1" applyAlignment="1">
      <alignment horizontal="center" wrapText="1"/>
    </xf>
    <xf numFmtId="2" fontId="16" fillId="4" borderId="10" xfId="0" applyNumberFormat="1" applyFont="1" applyFill="1" applyBorder="1" applyAlignment="1">
      <alignment horizontal="right" wrapText="1"/>
    </xf>
    <xf numFmtId="4" fontId="19" fillId="4" borderId="10" xfId="0" applyNumberFormat="1" applyFont="1" applyFill="1" applyBorder="1" applyAlignment="1" applyProtection="1">
      <alignment horizontal="center" wrapText="1"/>
      <protection locked="0"/>
    </xf>
    <xf numFmtId="4" fontId="13" fillId="4" borderId="10" xfId="0" applyNumberFormat="1" applyFont="1" applyFill="1" applyBorder="1" applyAlignment="1">
      <alignment horizontal="center" wrapText="1"/>
    </xf>
    <xf numFmtId="0" fontId="0" fillId="0" borderId="10" xfId="0" applyBorder="1"/>
    <xf numFmtId="0" fontId="19" fillId="0" borderId="1" xfId="0" applyFont="1" applyBorder="1" applyAlignment="1">
      <alignment horizontal="justify" vertical="center" wrapText="1"/>
    </xf>
    <xf numFmtId="0" fontId="3" fillId="0" borderId="0" xfId="0" applyFont="1"/>
    <xf numFmtId="49" fontId="13" fillId="0" borderId="1" xfId="0" applyNumberFormat="1" applyFont="1" applyBorder="1" applyAlignment="1">
      <alignment horizontal="center" vertical="center" wrapText="1"/>
    </xf>
    <xf numFmtId="0" fontId="20" fillId="0" borderId="0" xfId="0" applyFont="1"/>
    <xf numFmtId="0" fontId="20" fillId="10" borderId="0" xfId="0" applyFont="1" applyFill="1"/>
    <xf numFmtId="0" fontId="13" fillId="0" borderId="1" xfId="0" applyFont="1" applyBorder="1" applyAlignment="1">
      <alignment horizontal="center"/>
    </xf>
    <xf numFmtId="4" fontId="24" fillId="0" borderId="1" xfId="0" applyNumberFormat="1" applyFont="1" applyBorder="1" applyAlignment="1" applyProtection="1">
      <alignment horizontal="center" wrapText="1"/>
      <protection locked="0"/>
    </xf>
    <xf numFmtId="0" fontId="13" fillId="0" borderId="1" xfId="0" applyFont="1" applyBorder="1" applyAlignment="1">
      <alignment vertical="center" wrapText="1"/>
    </xf>
    <xf numFmtId="0" fontId="13" fillId="10" borderId="1" xfId="0" applyFont="1" applyFill="1" applyBorder="1" applyAlignment="1">
      <alignment vertical="center" wrapText="1"/>
    </xf>
    <xf numFmtId="0" fontId="13" fillId="0" borderId="1" xfId="0" applyFont="1" applyBorder="1" applyAlignment="1">
      <alignment vertical="top" wrapText="1"/>
    </xf>
    <xf numFmtId="0" fontId="13" fillId="10" borderId="1" xfId="0" applyFont="1" applyFill="1" applyBorder="1" applyAlignment="1">
      <alignment vertical="top" wrapText="1"/>
    </xf>
    <xf numFmtId="49" fontId="13" fillId="5" borderId="1" xfId="0" applyNumberFormat="1" applyFont="1" applyFill="1" applyBorder="1" applyAlignment="1">
      <alignment horizontal="center" vertical="center" wrapText="1"/>
    </xf>
    <xf numFmtId="0" fontId="13" fillId="5" borderId="1" xfId="0" applyFont="1" applyFill="1" applyBorder="1" applyAlignment="1">
      <alignment vertical="center" wrapText="1"/>
    </xf>
    <xf numFmtId="0" fontId="13" fillId="5" borderId="1" xfId="0" applyFont="1" applyFill="1" applyBorder="1" applyAlignment="1">
      <alignment horizontal="center"/>
    </xf>
    <xf numFmtId="2" fontId="13" fillId="5" borderId="1" xfId="0" applyNumberFormat="1" applyFont="1" applyFill="1" applyBorder="1" applyAlignment="1">
      <alignment horizontal="right"/>
    </xf>
    <xf numFmtId="4" fontId="13" fillId="5" borderId="1" xfId="0" applyNumberFormat="1" applyFont="1" applyFill="1" applyBorder="1" applyAlignment="1">
      <alignment horizontal="right" wrapText="1"/>
    </xf>
    <xf numFmtId="4" fontId="24" fillId="5" borderId="1" xfId="0" applyNumberFormat="1" applyFont="1" applyFill="1" applyBorder="1" applyAlignment="1" applyProtection="1">
      <alignment horizontal="center" wrapText="1"/>
      <protection locked="0"/>
    </xf>
    <xf numFmtId="0" fontId="13" fillId="0" borderId="1" xfId="4" applyFont="1" applyBorder="1" applyAlignment="1">
      <alignment horizontal="left" vertical="center" wrapText="1"/>
    </xf>
    <xf numFmtId="0" fontId="13" fillId="10" borderId="1" xfId="4" applyFont="1" applyFill="1" applyBorder="1" applyAlignment="1">
      <alignment horizontal="left" vertical="center" wrapText="1"/>
    </xf>
    <xf numFmtId="0" fontId="13" fillId="0" borderId="1" xfId="4" applyFont="1" applyBorder="1" applyAlignment="1">
      <alignment horizontal="center"/>
    </xf>
    <xf numFmtId="2" fontId="13" fillId="0" borderId="5" xfId="4" applyNumberFormat="1" applyFont="1" applyBorder="1" applyAlignment="1">
      <alignment horizontal="right"/>
    </xf>
    <xf numFmtId="0" fontId="16" fillId="4" borderId="3" xfId="0" applyFont="1" applyFill="1" applyBorder="1" applyAlignment="1">
      <alignment vertical="center"/>
    </xf>
    <xf numFmtId="0" fontId="16" fillId="4" borderId="4" xfId="0" applyFont="1" applyFill="1" applyBorder="1" applyAlignment="1">
      <alignment vertical="center"/>
    </xf>
    <xf numFmtId="0" fontId="16" fillId="4" borderId="5" xfId="0" applyFont="1" applyFill="1" applyBorder="1" applyAlignment="1">
      <alignment vertical="center"/>
    </xf>
    <xf numFmtId="4" fontId="4" fillId="0" borderId="14" xfId="0" applyNumberFormat="1" applyFont="1" applyBorder="1" applyAlignment="1">
      <alignment horizontal="center"/>
    </xf>
    <xf numFmtId="4" fontId="33" fillId="0" borderId="0" xfId="0" applyNumberFormat="1" applyFont="1" applyAlignment="1">
      <alignment horizontal="left"/>
    </xf>
    <xf numFmtId="4" fontId="33" fillId="0" borderId="0" xfId="0" applyNumberFormat="1" applyFont="1" applyAlignment="1">
      <alignment horizontal="center"/>
    </xf>
    <xf numFmtId="4" fontId="0" fillId="0" borderId="0" xfId="0" applyNumberFormat="1" applyAlignment="1">
      <alignment horizontal="center"/>
    </xf>
    <xf numFmtId="4" fontId="34" fillId="0" borderId="0" xfId="0" applyNumberFormat="1" applyFont="1" applyAlignment="1">
      <alignment horizontal="left"/>
    </xf>
    <xf numFmtId="4" fontId="35" fillId="0" borderId="0" xfId="0" applyNumberFormat="1" applyFont="1" applyAlignment="1">
      <alignment horizontal="center"/>
    </xf>
    <xf numFmtId="10" fontId="33" fillId="0" borderId="0" xfId="0" applyNumberFormat="1" applyFont="1" applyAlignment="1">
      <alignment horizontal="center"/>
    </xf>
    <xf numFmtId="4" fontId="34" fillId="0" borderId="0" xfId="0" applyNumberFormat="1" applyFont="1" applyAlignment="1">
      <alignment horizontal="center"/>
    </xf>
    <xf numFmtId="4" fontId="35" fillId="0" borderId="0" xfId="0" applyNumberFormat="1" applyFont="1" applyAlignment="1">
      <alignment horizontal="left"/>
    </xf>
    <xf numFmtId="10" fontId="35" fillId="0" borderId="0" xfId="0" applyNumberFormat="1" applyFont="1" applyAlignment="1">
      <alignment horizontal="center"/>
    </xf>
    <xf numFmtId="0" fontId="36" fillId="0" borderId="0" xfId="0" applyFont="1"/>
    <xf numFmtId="4" fontId="36" fillId="0" borderId="0" xfId="0" applyNumberFormat="1" applyFont="1" applyAlignment="1">
      <alignment horizontal="center"/>
    </xf>
    <xf numFmtId="0" fontId="37" fillId="0" borderId="0" xfId="0" applyFont="1" applyAlignment="1">
      <alignment horizontal="center"/>
    </xf>
    <xf numFmtId="0" fontId="34" fillId="0" borderId="0" xfId="0" applyFont="1"/>
    <xf numFmtId="0" fontId="38" fillId="0" borderId="0" xfId="0" applyFont="1" applyAlignment="1">
      <alignment horizontal="center"/>
    </xf>
    <xf numFmtId="0" fontId="24" fillId="0" borderId="0" xfId="0" applyFont="1" applyAlignment="1">
      <alignment horizontal="center"/>
    </xf>
    <xf numFmtId="0" fontId="39" fillId="0" borderId="0" xfId="0" applyFont="1" applyAlignment="1">
      <alignment horizontal="center"/>
    </xf>
    <xf numFmtId="4" fontId="12" fillId="0" borderId="0" xfId="0" applyNumberFormat="1" applyFont="1" applyAlignment="1">
      <alignment horizontal="center"/>
    </xf>
    <xf numFmtId="10" fontId="12" fillId="0" borderId="0" xfId="0" applyNumberFormat="1" applyFont="1" applyAlignment="1">
      <alignment horizontal="center"/>
    </xf>
    <xf numFmtId="4" fontId="0" fillId="0" borderId="0" xfId="0" applyNumberFormat="1"/>
    <xf numFmtId="49" fontId="13" fillId="9" borderId="0" xfId="0" applyNumberFormat="1" applyFont="1" applyFill="1" applyAlignment="1">
      <alignment horizontal="left" vertical="top" wrapText="1"/>
    </xf>
    <xf numFmtId="49" fontId="13" fillId="9" borderId="6" xfId="0" applyNumberFormat="1" applyFont="1" applyFill="1" applyBorder="1" applyAlignment="1">
      <alignment horizontal="left" vertical="top" wrapText="1"/>
    </xf>
    <xf numFmtId="49" fontId="13" fillId="9" borderId="1" xfId="0" applyNumberFormat="1" applyFont="1" applyFill="1" applyBorder="1" applyAlignment="1">
      <alignment horizontal="center" vertical="top" wrapText="1"/>
    </xf>
    <xf numFmtId="0" fontId="13" fillId="9" borderId="1"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6" fillId="9" borderId="1" xfId="0" applyFont="1" applyFill="1" applyBorder="1" applyAlignment="1">
      <alignment horizontal="center" vertical="center"/>
    </xf>
    <xf numFmtId="49" fontId="13" fillId="9" borderId="3" xfId="0" applyNumberFormat="1" applyFont="1" applyFill="1" applyBorder="1" applyAlignment="1">
      <alignment horizontal="left" vertical="top" wrapText="1"/>
    </xf>
    <xf numFmtId="49" fontId="13" fillId="9" borderId="3" xfId="0" applyNumberFormat="1" applyFont="1" applyFill="1" applyBorder="1" applyAlignment="1">
      <alignment horizontal="left" vertical="top"/>
    </xf>
    <xf numFmtId="49" fontId="13" fillId="5" borderId="11" xfId="0" applyNumberFormat="1" applyFont="1" applyFill="1" applyBorder="1" applyAlignment="1">
      <alignment horizontal="left" vertical="top"/>
    </xf>
    <xf numFmtId="49" fontId="13" fillId="5" borderId="1" xfId="0" applyNumberFormat="1" applyFont="1" applyFill="1" applyBorder="1" applyAlignment="1">
      <alignment horizontal="left" vertical="top" wrapText="1"/>
    </xf>
    <xf numFmtId="49" fontId="13" fillId="5" borderId="1" xfId="0" applyNumberFormat="1" applyFont="1" applyFill="1" applyBorder="1" applyAlignment="1">
      <alignment horizontal="center" vertical="top" wrapText="1"/>
    </xf>
    <xf numFmtId="0" fontId="0" fillId="12" borderId="0" xfId="0" applyFill="1"/>
    <xf numFmtId="0" fontId="0" fillId="0" borderId="2" xfId="0" applyBorder="1"/>
    <xf numFmtId="0" fontId="0" fillId="0" borderId="1" xfId="0" applyBorder="1" applyAlignment="1">
      <alignment horizontal="right" wrapText="1"/>
    </xf>
    <xf numFmtId="3" fontId="0" fillId="0" borderId="1" xfId="0" quotePrefix="1" applyNumberFormat="1" applyBorder="1" applyAlignment="1">
      <alignment horizontal="right" wrapText="1"/>
    </xf>
    <xf numFmtId="0" fontId="0" fillId="0" borderId="1" xfId="0" quotePrefix="1" applyBorder="1" applyAlignment="1">
      <alignment wrapText="1"/>
    </xf>
    <xf numFmtId="0" fontId="0" fillId="0" borderId="1" xfId="0" quotePrefix="1" applyBorder="1" applyAlignment="1">
      <alignment horizontal="left" wrapText="1"/>
    </xf>
    <xf numFmtId="0" fontId="0" fillId="0" borderId="1" xfId="0" applyBorder="1" applyAlignment="1">
      <alignment horizontal="left" wrapText="1"/>
    </xf>
    <xf numFmtId="14" fontId="0" fillId="0" borderId="0" xfId="0" applyNumberFormat="1"/>
    <xf numFmtId="14" fontId="0" fillId="0" borderId="1" xfId="0" applyNumberFormat="1" applyBorder="1"/>
    <xf numFmtId="0" fontId="0" fillId="0" borderId="1" xfId="0" quotePrefix="1" applyBorder="1"/>
    <xf numFmtId="0" fontId="0" fillId="0" borderId="1" xfId="0" quotePrefix="1" applyBorder="1" applyAlignment="1">
      <alignment horizontal="right" wrapText="1"/>
    </xf>
    <xf numFmtId="0" fontId="0" fillId="0" borderId="10" xfId="0" quotePrefix="1" applyBorder="1" applyAlignment="1">
      <alignment wrapText="1"/>
    </xf>
    <xf numFmtId="0" fontId="0" fillId="0" borderId="10" xfId="0" applyBorder="1" applyAlignment="1">
      <alignment wrapText="1"/>
    </xf>
    <xf numFmtId="0" fontId="0" fillId="0" borderId="10" xfId="0" applyBorder="1" applyAlignment="1">
      <alignment horizontal="center"/>
    </xf>
    <xf numFmtId="49" fontId="0" fillId="0" borderId="1" xfId="0" applyNumberFormat="1" applyBorder="1" applyAlignment="1">
      <alignment horizontal="left" wrapText="1"/>
    </xf>
    <xf numFmtId="0" fontId="0" fillId="0" borderId="5" xfId="0" applyBorder="1"/>
    <xf numFmtId="1" fontId="40" fillId="13" borderId="1" xfId="5" applyNumberFormat="1" applyBorder="1" applyAlignment="1">
      <alignment horizontal="left"/>
    </xf>
    <xf numFmtId="0" fontId="40" fillId="13" borderId="1" xfId="5" applyBorder="1"/>
    <xf numFmtId="1" fontId="5" fillId="0" borderId="5" xfId="0" applyNumberFormat="1" applyFont="1" applyBorder="1" applyAlignment="1">
      <alignment horizontal="left"/>
    </xf>
    <xf numFmtId="0" fontId="0" fillId="0" borderId="1" xfId="0" applyBorder="1" applyAlignment="1">
      <alignment horizontal="left"/>
    </xf>
    <xf numFmtId="1" fontId="5" fillId="0" borderId="1" xfId="0" applyNumberFormat="1" applyFont="1" applyBorder="1" applyAlignment="1">
      <alignment horizontal="left" vertical="center"/>
    </xf>
    <xf numFmtId="1" fontId="5" fillId="0" borderId="1" xfId="0" applyNumberFormat="1" applyFont="1" applyBorder="1" applyAlignment="1">
      <alignment horizontal="left" vertical="center" wrapText="1"/>
    </xf>
    <xf numFmtId="1" fontId="6" fillId="0" borderId="1" xfId="5" applyNumberFormat="1" applyFont="1" applyFill="1" applyBorder="1" applyAlignment="1">
      <alignment horizontal="left"/>
    </xf>
    <xf numFmtId="0" fontId="6" fillId="0" borderId="1" xfId="5" applyFont="1" applyFill="1" applyBorder="1"/>
    <xf numFmtId="0" fontId="0" fillId="0" borderId="1" xfId="0" applyBorder="1" applyAlignment="1">
      <alignment horizontal="center"/>
    </xf>
    <xf numFmtId="1" fontId="5" fillId="0" borderId="1" xfId="0" applyNumberFormat="1" applyFont="1" applyBorder="1" applyAlignment="1">
      <alignment horizontal="center"/>
    </xf>
    <xf numFmtId="1" fontId="40" fillId="13" borderId="1" xfId="5" applyNumberFormat="1" applyBorder="1" applyAlignment="1">
      <alignment horizontal="center"/>
    </xf>
    <xf numFmtId="0" fontId="40" fillId="13" borderId="1" xfId="5" applyBorder="1" applyAlignment="1">
      <alignment horizontal="center"/>
    </xf>
    <xf numFmtId="1" fontId="2" fillId="2" borderId="1" xfId="1" applyNumberFormat="1" applyBorder="1" applyAlignment="1">
      <alignment horizontal="center"/>
    </xf>
    <xf numFmtId="1" fontId="5" fillId="0" borderId="1" xfId="0" applyNumberFormat="1" applyFont="1" applyBorder="1" applyAlignment="1">
      <alignment horizontal="center" vertical="center"/>
    </xf>
    <xf numFmtId="1" fontId="2" fillId="2" borderId="1" xfId="1" applyNumberFormat="1" applyBorder="1" applyAlignment="1">
      <alignment horizontal="center" vertical="center"/>
    </xf>
    <xf numFmtId="0" fontId="2" fillId="2" borderId="1" xfId="1" applyBorder="1" applyAlignment="1">
      <alignment horizontal="center"/>
    </xf>
    <xf numFmtId="0" fontId="0" fillId="0" borderId="1" xfId="0" applyBorder="1" applyAlignment="1">
      <alignment horizontal="center"/>
    </xf>
    <xf numFmtId="1" fontId="5" fillId="0" borderId="10" xfId="0" applyNumberFormat="1" applyFont="1" applyBorder="1" applyAlignment="1">
      <alignment horizontal="center" vertical="center"/>
    </xf>
    <xf numFmtId="1" fontId="5" fillId="0" borderId="2" xfId="0" applyNumberFormat="1" applyFont="1" applyBorder="1" applyAlignment="1">
      <alignment horizontal="center" vertical="center"/>
    </xf>
    <xf numFmtId="1" fontId="5" fillId="0" borderId="6" xfId="0" applyNumberFormat="1" applyFont="1" applyBorder="1" applyAlignment="1">
      <alignment horizontal="center" vertical="center"/>
    </xf>
    <xf numFmtId="0" fontId="0" fillId="0" borderId="10" xfId="0" quotePrefix="1" applyBorder="1" applyAlignment="1">
      <alignment horizontal="center" wrapText="1"/>
    </xf>
    <xf numFmtId="0" fontId="0" fillId="0" borderId="6" xfId="0" quotePrefix="1" applyBorder="1" applyAlignment="1">
      <alignment horizontal="center" wrapText="1"/>
    </xf>
    <xf numFmtId="0" fontId="0" fillId="0" borderId="10" xfId="0" applyBorder="1" applyAlignment="1">
      <alignment horizontal="left"/>
    </xf>
    <xf numFmtId="0" fontId="0" fillId="0" borderId="6" xfId="0" applyBorder="1" applyAlignment="1">
      <alignment horizontal="left"/>
    </xf>
    <xf numFmtId="0" fontId="0" fillId="0" borderId="10" xfId="0" applyBorder="1" applyAlignment="1">
      <alignment horizontal="right"/>
    </xf>
    <xf numFmtId="0" fontId="0" fillId="0" borderId="6" xfId="0" applyBorder="1" applyAlignment="1">
      <alignment horizontal="right"/>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0" xfId="0" applyBorder="1" applyAlignment="1">
      <alignment horizontal="left" vertical="top" wrapText="1"/>
    </xf>
    <xf numFmtId="0" fontId="0" fillId="0" borderId="6" xfId="0" applyBorder="1" applyAlignment="1">
      <alignment horizontal="left" vertical="top" wrapText="1"/>
    </xf>
    <xf numFmtId="0" fontId="0" fillId="0" borderId="10" xfId="0" quotePrefix="1" applyBorder="1" applyAlignment="1">
      <alignment horizontal="center"/>
    </xf>
    <xf numFmtId="0" fontId="0" fillId="0" borderId="6" xfId="0" applyBorder="1" applyAlignment="1">
      <alignment horizontal="center"/>
    </xf>
    <xf numFmtId="0" fontId="0" fillId="0" borderId="10" xfId="0" applyBorder="1" applyAlignment="1">
      <alignment horizontal="right" wrapText="1"/>
    </xf>
    <xf numFmtId="0" fontId="0" fillId="0" borderId="6" xfId="0" applyBorder="1" applyAlignment="1">
      <alignment horizontal="right" wrapText="1"/>
    </xf>
    <xf numFmtId="0" fontId="25" fillId="4" borderId="3" xfId="0" applyFont="1" applyFill="1" applyBorder="1" applyAlignment="1">
      <alignment horizontal="right" vertical="center"/>
    </xf>
    <xf numFmtId="0" fontId="25" fillId="4" borderId="4" xfId="0" applyFont="1" applyFill="1" applyBorder="1" applyAlignment="1">
      <alignment horizontal="right" vertical="center"/>
    </xf>
    <xf numFmtId="0" fontId="25" fillId="4" borderId="5" xfId="0" applyFont="1" applyFill="1" applyBorder="1" applyAlignment="1">
      <alignment horizontal="right" vertical="center"/>
    </xf>
    <xf numFmtId="2" fontId="25" fillId="11" borderId="3" xfId="0" applyNumberFormat="1" applyFont="1" applyFill="1" applyBorder="1" applyAlignment="1">
      <alignment horizontal="right"/>
    </xf>
    <xf numFmtId="0" fontId="25" fillId="11" borderId="5" xfId="0" applyFont="1" applyFill="1" applyBorder="1" applyAlignment="1">
      <alignment horizontal="right"/>
    </xf>
    <xf numFmtId="0" fontId="25"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12" fillId="6" borderId="1" xfId="3" applyFont="1" applyBorder="1" applyAlignment="1">
      <alignment horizontal="center" vertical="center" wrapText="1"/>
    </xf>
    <xf numFmtId="0" fontId="12" fillId="6" borderId="1" xfId="3" applyFont="1" applyBorder="1" applyAlignment="1">
      <alignment horizontal="center" vertical="center"/>
    </xf>
    <xf numFmtId="0" fontId="14" fillId="0" borderId="0" xfId="0" applyFont="1" applyAlignment="1">
      <alignment horizontal="left" vertical="center"/>
    </xf>
    <xf numFmtId="0" fontId="15" fillId="0" borderId="0" xfId="0" applyFont="1" applyAlignment="1">
      <alignment horizontal="left" vertical="center"/>
    </xf>
    <xf numFmtId="0" fontId="16" fillId="8" borderId="3" xfId="0" applyFont="1" applyFill="1" applyBorder="1" applyAlignment="1">
      <alignment horizontal="center" vertical="center" wrapText="1"/>
    </xf>
    <xf numFmtId="0" fontId="16" fillId="8" borderId="4" xfId="0" applyFont="1" applyFill="1" applyBorder="1" applyAlignment="1">
      <alignment horizontal="center" vertical="center" wrapText="1"/>
    </xf>
    <xf numFmtId="0" fontId="16" fillId="8" borderId="5" xfId="0" applyFont="1" applyFill="1" applyBorder="1" applyAlignment="1">
      <alignment horizontal="center" vertical="center" wrapText="1"/>
    </xf>
    <xf numFmtId="0" fontId="25" fillId="4" borderId="1" xfId="0" applyFont="1" applyFill="1" applyBorder="1" applyAlignment="1">
      <alignment horizontal="right" vertical="center"/>
    </xf>
    <xf numFmtId="2" fontId="25" fillId="0" borderId="3" xfId="0" applyNumberFormat="1" applyFont="1" applyBorder="1" applyAlignment="1">
      <alignment horizontal="right" wrapText="1"/>
    </xf>
    <xf numFmtId="2" fontId="25" fillId="0" borderId="5" xfId="0" applyNumberFormat="1" applyFont="1" applyBorder="1" applyAlignment="1">
      <alignment horizontal="right" wrapText="1"/>
    </xf>
    <xf numFmtId="0" fontId="16" fillId="4" borderId="3" xfId="0" applyFont="1" applyFill="1" applyBorder="1" applyAlignment="1">
      <alignment horizontal="right" vertical="center"/>
    </xf>
    <xf numFmtId="0" fontId="16" fillId="4" borderId="4" xfId="0" applyFont="1" applyFill="1" applyBorder="1" applyAlignment="1">
      <alignment horizontal="right" vertical="center"/>
    </xf>
    <xf numFmtId="0" fontId="16" fillId="4" borderId="5" xfId="0" applyFont="1" applyFill="1" applyBorder="1" applyAlignment="1">
      <alignment horizontal="right" vertical="center"/>
    </xf>
    <xf numFmtId="49" fontId="13" fillId="0" borderId="10" xfId="0" applyNumberFormat="1" applyFont="1" applyBorder="1" applyAlignment="1">
      <alignment horizontal="center" vertical="top" wrapText="1"/>
    </xf>
    <xf numFmtId="49" fontId="13" fillId="0" borderId="6" xfId="0" applyNumberFormat="1" applyFont="1" applyBorder="1" applyAlignment="1">
      <alignment horizontal="center" vertical="top" wrapText="1"/>
    </xf>
    <xf numFmtId="0" fontId="13" fillId="9" borderId="9" xfId="0" applyFont="1" applyFill="1" applyBorder="1" applyAlignment="1">
      <alignment horizontal="center" vertical="center" wrapText="1"/>
    </xf>
    <xf numFmtId="0" fontId="13" fillId="9" borderId="6" xfId="0" applyFont="1" applyFill="1" applyBorder="1" applyAlignment="1">
      <alignment horizontal="center" vertical="center" wrapText="1"/>
    </xf>
    <xf numFmtId="0" fontId="19" fillId="0" borderId="8" xfId="0" applyFont="1" applyBorder="1" applyAlignment="1" applyProtection="1">
      <alignment horizontal="center" wrapText="1"/>
      <protection locked="0"/>
    </xf>
    <xf numFmtId="0" fontId="19" fillId="0" borderId="6" xfId="0" applyFont="1" applyBorder="1" applyAlignment="1" applyProtection="1">
      <alignment horizontal="center" wrapText="1"/>
      <protection locked="0"/>
    </xf>
    <xf numFmtId="2" fontId="13" fillId="0" borderId="10" xfId="0" applyNumberFormat="1" applyFont="1" applyBorder="1" applyAlignment="1">
      <alignment horizontal="right" wrapText="1"/>
    </xf>
    <xf numFmtId="2" fontId="13" fillId="0" borderId="6" xfId="0" applyNumberFormat="1" applyFont="1" applyBorder="1" applyAlignment="1">
      <alignment horizontal="right" wrapText="1"/>
    </xf>
    <xf numFmtId="4" fontId="19" fillId="0" borderId="10" xfId="0" applyNumberFormat="1" applyFont="1" applyBorder="1" applyAlignment="1" applyProtection="1">
      <alignment horizontal="center" wrapText="1"/>
      <protection locked="0"/>
    </xf>
    <xf numFmtId="4" fontId="19" fillId="0" borderId="6" xfId="0" applyNumberFormat="1" applyFont="1" applyBorder="1" applyAlignment="1" applyProtection="1">
      <alignment horizontal="center" wrapText="1"/>
      <protection locked="0"/>
    </xf>
    <xf numFmtId="4" fontId="13" fillId="0" borderId="10" xfId="0" applyNumberFormat="1" applyFont="1" applyBorder="1" applyAlignment="1">
      <alignment horizontal="center" wrapText="1"/>
    </xf>
    <xf numFmtId="4" fontId="13" fillId="0" borderId="6" xfId="0" applyNumberFormat="1" applyFont="1" applyBorder="1" applyAlignment="1">
      <alignment horizontal="center" wrapText="1"/>
    </xf>
  </cellXfs>
  <cellStyles count="6">
    <cellStyle name="40% - Accent1 3 2" xfId="3" xr:uid="{2F1CA0A3-F3B4-4643-AB7F-7E59FF7265ED}"/>
    <cellStyle name="Good" xfId="1" builtinId="26"/>
    <cellStyle name="Neutral" xfId="5" builtinId="28"/>
    <cellStyle name="Normal" xfId="0" builtinId="0"/>
    <cellStyle name="Normal 2" xfId="2" xr:uid="{A97306B5-6BB8-4A3E-8EAD-1F5719222BE3}"/>
    <cellStyle name="Normal 2 5" xfId="4" xr:uid="{6594AF73-ABEE-4E07-BB02-EE1AEDCDF670}"/>
  </cellStyles>
  <dxfs count="8">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alignment textRotation="0" wrapText="1" indent="0" justifyLastLine="0" shrinkToFit="0" readingOrder="0"/>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9</xdr:col>
      <xdr:colOff>588818</xdr:colOff>
      <xdr:row>153</xdr:row>
      <xdr:rowOff>0</xdr:rowOff>
    </xdr:from>
    <xdr:to>
      <xdr:col>25</xdr:col>
      <xdr:colOff>109684</xdr:colOff>
      <xdr:row>186</xdr:row>
      <xdr:rowOff>75357</xdr:rowOff>
    </xdr:to>
    <xdr:pic>
      <xdr:nvPicPr>
        <xdr:cNvPr id="2" name="Picture 1">
          <a:extLst>
            <a:ext uri="{FF2B5EF4-FFF2-40B4-BE49-F238E27FC236}">
              <a16:creationId xmlns:a16="http://schemas.microsoft.com/office/drawing/2014/main" id="{C4C141AD-97EE-48A6-8F3F-1178E2AF6126}"/>
            </a:ext>
          </a:extLst>
        </xdr:cNvPr>
        <xdr:cNvPicPr>
          <a:picLocks noChangeAspect="1"/>
        </xdr:cNvPicPr>
      </xdr:nvPicPr>
      <xdr:blipFill>
        <a:blip xmlns:r="http://schemas.openxmlformats.org/officeDocument/2006/relationships" r:embed="rId1"/>
        <a:stretch>
          <a:fillRect/>
        </a:stretch>
      </xdr:blipFill>
      <xdr:spPr>
        <a:xfrm>
          <a:off x="30358773" y="37528500"/>
          <a:ext cx="9219048" cy="6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205828</xdr:colOff>
      <xdr:row>14</xdr:row>
      <xdr:rowOff>175175</xdr:rowOff>
    </xdr:from>
    <xdr:to>
      <xdr:col>3</xdr:col>
      <xdr:colOff>407824</xdr:colOff>
      <xdr:row>29</xdr:row>
      <xdr:rowOff>16534</xdr:rowOff>
    </xdr:to>
    <xdr:pic>
      <xdr:nvPicPr>
        <xdr:cNvPr id="3" name="Picture 2">
          <a:extLst>
            <a:ext uri="{FF2B5EF4-FFF2-40B4-BE49-F238E27FC236}">
              <a16:creationId xmlns:a16="http://schemas.microsoft.com/office/drawing/2014/main" id="{B61D3649-FB4F-37AF-7FFF-28EF5729D1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5828" y="2750209"/>
          <a:ext cx="4905375" cy="2600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466725</xdr:colOff>
      <xdr:row>0</xdr:row>
      <xdr:rowOff>76200</xdr:rowOff>
    </xdr:from>
    <xdr:to>
      <xdr:col>8</xdr:col>
      <xdr:colOff>466725</xdr:colOff>
      <xdr:row>22</xdr:row>
      <xdr:rowOff>16839</xdr:rowOff>
    </xdr:to>
    <xdr:pic>
      <xdr:nvPicPr>
        <xdr:cNvPr id="2" name="Picture 1">
          <a:extLst>
            <a:ext uri="{FF2B5EF4-FFF2-40B4-BE49-F238E27FC236}">
              <a16:creationId xmlns:a16="http://schemas.microsoft.com/office/drawing/2014/main" id="{CFE5BC96-0DAC-78A1-395E-E0F850853F01}"/>
            </a:ext>
          </a:extLst>
        </xdr:cNvPr>
        <xdr:cNvPicPr>
          <a:picLocks noChangeAspect="1"/>
        </xdr:cNvPicPr>
      </xdr:nvPicPr>
      <xdr:blipFill>
        <a:blip xmlns:r="http://schemas.openxmlformats.org/officeDocument/2006/relationships" r:embed="rId1"/>
        <a:stretch>
          <a:fillRect/>
        </a:stretch>
      </xdr:blipFill>
      <xdr:spPr>
        <a:xfrm>
          <a:off x="3914775" y="76200"/>
          <a:ext cx="4267200" cy="4131639"/>
        </a:xfrm>
        <a:prstGeom prst="rect">
          <a:avLst/>
        </a:prstGeom>
      </xdr:spPr>
    </xdr:pic>
    <xdr:clientData/>
  </xdr:twoCellAnchor>
  <xdr:twoCellAnchor editAs="oneCell">
    <xdr:from>
      <xdr:col>0</xdr:col>
      <xdr:colOff>0</xdr:colOff>
      <xdr:row>36</xdr:row>
      <xdr:rowOff>107950</xdr:rowOff>
    </xdr:from>
    <xdr:to>
      <xdr:col>8</xdr:col>
      <xdr:colOff>477393</xdr:colOff>
      <xdr:row>51</xdr:row>
      <xdr:rowOff>67067</xdr:rowOff>
    </xdr:to>
    <xdr:pic>
      <xdr:nvPicPr>
        <xdr:cNvPr id="3" name="Picture 2">
          <a:extLst>
            <a:ext uri="{FF2B5EF4-FFF2-40B4-BE49-F238E27FC236}">
              <a16:creationId xmlns:a16="http://schemas.microsoft.com/office/drawing/2014/main" id="{12AB418A-BB80-C9EF-A690-117589F5D30C}"/>
            </a:ext>
          </a:extLst>
        </xdr:cNvPr>
        <xdr:cNvPicPr>
          <a:picLocks noChangeAspect="1"/>
        </xdr:cNvPicPr>
      </xdr:nvPicPr>
      <xdr:blipFill>
        <a:blip xmlns:r="http://schemas.openxmlformats.org/officeDocument/2006/relationships" r:embed="rId2"/>
        <a:stretch>
          <a:fillRect/>
        </a:stretch>
      </xdr:blipFill>
      <xdr:spPr>
        <a:xfrm>
          <a:off x="0" y="7537450"/>
          <a:ext cx="8192643" cy="2813442"/>
        </a:xfrm>
        <a:prstGeom prst="rect">
          <a:avLst/>
        </a:prstGeom>
      </xdr:spPr>
    </xdr:pic>
    <xdr:clientData/>
  </xdr:twoCellAnchor>
  <xdr:twoCellAnchor editAs="oneCell">
    <xdr:from>
      <xdr:col>0</xdr:col>
      <xdr:colOff>0</xdr:colOff>
      <xdr:row>53</xdr:row>
      <xdr:rowOff>82550</xdr:rowOff>
    </xdr:from>
    <xdr:to>
      <xdr:col>8</xdr:col>
      <xdr:colOff>344025</xdr:colOff>
      <xdr:row>70</xdr:row>
      <xdr:rowOff>95703</xdr:rowOff>
    </xdr:to>
    <xdr:pic>
      <xdr:nvPicPr>
        <xdr:cNvPr id="4" name="Picture 3">
          <a:extLst>
            <a:ext uri="{FF2B5EF4-FFF2-40B4-BE49-F238E27FC236}">
              <a16:creationId xmlns:a16="http://schemas.microsoft.com/office/drawing/2014/main" id="{DD924A5C-D581-C035-60B6-518E88B9E024}"/>
            </a:ext>
          </a:extLst>
        </xdr:cNvPr>
        <xdr:cNvPicPr>
          <a:picLocks noChangeAspect="1"/>
        </xdr:cNvPicPr>
      </xdr:nvPicPr>
      <xdr:blipFill>
        <a:blip xmlns:r="http://schemas.openxmlformats.org/officeDocument/2006/relationships" r:embed="rId3"/>
        <a:stretch>
          <a:fillRect/>
        </a:stretch>
      </xdr:blipFill>
      <xdr:spPr>
        <a:xfrm>
          <a:off x="0" y="10750550"/>
          <a:ext cx="8059275" cy="3251653"/>
        </a:xfrm>
        <a:prstGeom prst="rect">
          <a:avLst/>
        </a:prstGeom>
      </xdr:spPr>
    </xdr:pic>
    <xdr:clientData/>
  </xdr:twoCellAnchor>
  <xdr:twoCellAnchor editAs="oneCell">
    <xdr:from>
      <xdr:col>0</xdr:col>
      <xdr:colOff>0</xdr:colOff>
      <xdr:row>72</xdr:row>
      <xdr:rowOff>0</xdr:rowOff>
    </xdr:from>
    <xdr:to>
      <xdr:col>6</xdr:col>
      <xdr:colOff>362907</xdr:colOff>
      <xdr:row>93</xdr:row>
      <xdr:rowOff>48190</xdr:rowOff>
    </xdr:to>
    <xdr:pic>
      <xdr:nvPicPr>
        <xdr:cNvPr id="5" name="Picture 4">
          <a:extLst>
            <a:ext uri="{FF2B5EF4-FFF2-40B4-BE49-F238E27FC236}">
              <a16:creationId xmlns:a16="http://schemas.microsoft.com/office/drawing/2014/main" id="{09573E61-3547-EF3D-7933-96060E8066AB}"/>
            </a:ext>
          </a:extLst>
        </xdr:cNvPr>
        <xdr:cNvPicPr>
          <a:picLocks noChangeAspect="1"/>
        </xdr:cNvPicPr>
      </xdr:nvPicPr>
      <xdr:blipFill>
        <a:blip xmlns:r="http://schemas.openxmlformats.org/officeDocument/2006/relationships" r:embed="rId4"/>
        <a:stretch>
          <a:fillRect/>
        </a:stretch>
      </xdr:blipFill>
      <xdr:spPr>
        <a:xfrm>
          <a:off x="0" y="14478000"/>
          <a:ext cx="6858957" cy="404869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gdalena Skoblar" id="{9B0474FF-134C-45A7-BBDB-3D67599ECDDB}" userId="S::ms53960@fer.hr::db7a8779-6282-4005-9dac-c94e061a09f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588CA0-7328-4096-B341-8FD96A6965C4}" name="EquipmentList3" displayName="EquipmentList3" ref="A1:G18" dataDxfId="7">
  <tableColumns count="7">
    <tableColumn id="1" xr3:uid="{D9FB5385-8430-4F1C-B962-78C186FA9339}" name="Redni broj" dataDxfId="6"/>
    <tableColumn id="2" xr3:uid="{B613F51A-1FCC-4B1F-A980-B5239E1F981A}" name="Pozicija" dataDxfId="5"/>
    <tableColumn id="3" xr3:uid="{B2055692-0ADE-46EB-9404-5FFCCE046528}" name="Opis" dataDxfId="4"/>
    <tableColumn id="4" xr3:uid="{0730A14D-74B0-4FC7-9528-7F2FC692AF1A}" name="Jedinica mjere" dataDxfId="3"/>
    <tableColumn id="5" xr3:uid="{4C2731D3-0D1F-4C54-A38C-0B54389D7A00}" name="Količina" dataDxfId="2"/>
    <tableColumn id="6" xr3:uid="{BED83570-56B3-4791-9598-480156A59164}" name="Komentar - PK" dataDxfId="1"/>
    <tableColumn id="7" xr3:uid="{9D38E0B1-1D56-45E5-8789-1335B6859262}"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8" dT="2026-07-14T13:53:56.22" personId="{9B0474FF-134C-45A7-BBDB-3D67599ECDDB}" id="{B783F5A2-140C-4621-8DD5-7D1F2DA1C9F7}">
    <text>Schrack?</text>
  </threadedComment>
</ThreadedComments>
</file>

<file path=xl/threadedComments/threadedComment2.xml><?xml version="1.0" encoding="utf-8"?>
<ThreadedComments xmlns="http://schemas.microsoft.com/office/spreadsheetml/2018/threadedcomments" xmlns:x="http://schemas.openxmlformats.org/spreadsheetml/2006/main">
  <threadedComment ref="D111" dT="2026-07-14T13:53:56.22" personId="{9B0474FF-134C-45A7-BBDB-3D67599ECDDB}" id="{330CDC6E-EE01-410C-8DF2-4668925A1B02}">
    <text>Schrack?</text>
  </threadedComment>
</ThreadedComments>
</file>

<file path=xl/threadedComments/threadedComment3.xml><?xml version="1.0" encoding="utf-8"?>
<ThreadedComments xmlns="http://schemas.microsoft.com/office/spreadsheetml/2018/threadedcomments" xmlns:x="http://schemas.openxmlformats.org/spreadsheetml/2006/main">
  <threadedComment ref="I31" dT="2026-05-20T08:27:06.44" personId="{00000000-0000-0000-0000-000000000000}" id="{FC3C714F-24D5-4772-81D8-55B456BD803C}">
    <text>Ostajemo na SOCOMECU radi unifikacije opreme na elektrani</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9A9F3-61D1-4803-B682-878C4856B048}">
  <dimension ref="K1:O11"/>
  <sheetViews>
    <sheetView topLeftCell="K1" workbookViewId="0">
      <selection activeCell="K28" sqref="K28"/>
    </sheetView>
  </sheetViews>
  <sheetFormatPr defaultRowHeight="15"/>
  <cols>
    <col min="11" max="11" width="54.42578125" bestFit="1" customWidth="1"/>
    <col min="12" max="12" width="14.5703125" bestFit="1" customWidth="1"/>
    <col min="13" max="13" width="15.42578125" bestFit="1" customWidth="1"/>
    <col min="14" max="14" width="8" bestFit="1" customWidth="1"/>
    <col min="15" max="15" width="14.42578125" bestFit="1" customWidth="1"/>
  </cols>
  <sheetData>
    <row r="1" spans="11:15">
      <c r="K1" t="s">
        <v>803</v>
      </c>
      <c r="L1" t="s">
        <v>804</v>
      </c>
      <c r="M1" t="s">
        <v>805</v>
      </c>
      <c r="N1" t="s">
        <v>806</v>
      </c>
      <c r="O1" t="s">
        <v>807</v>
      </c>
    </row>
    <row r="2" spans="11:15">
      <c r="K2" t="s">
        <v>808</v>
      </c>
      <c r="L2" t="s">
        <v>239</v>
      </c>
      <c r="M2" t="s">
        <v>809</v>
      </c>
      <c r="N2">
        <v>1</v>
      </c>
      <c r="O2" t="s">
        <v>810</v>
      </c>
    </row>
    <row r="3" spans="11:15">
      <c r="K3" t="s">
        <v>812</v>
      </c>
      <c r="L3" t="s">
        <v>802</v>
      </c>
      <c r="M3" t="s">
        <v>809</v>
      </c>
      <c r="N3">
        <v>2</v>
      </c>
      <c r="O3" t="s">
        <v>811</v>
      </c>
    </row>
    <row r="4" spans="11:15">
      <c r="K4" t="s">
        <v>815</v>
      </c>
      <c r="M4" t="s">
        <v>809</v>
      </c>
      <c r="N4">
        <v>2</v>
      </c>
      <c r="O4" t="s">
        <v>811</v>
      </c>
    </row>
    <row r="5" spans="11:15">
      <c r="K5" t="s">
        <v>816</v>
      </c>
      <c r="M5" t="s">
        <v>809</v>
      </c>
      <c r="N5">
        <v>1</v>
      </c>
      <c r="O5" t="s">
        <v>811</v>
      </c>
    </row>
    <row r="6" spans="11:15">
      <c r="K6" t="s">
        <v>813</v>
      </c>
      <c r="M6" t="s">
        <v>809</v>
      </c>
      <c r="N6">
        <v>1</v>
      </c>
      <c r="O6" t="s">
        <v>811</v>
      </c>
    </row>
    <row r="7" spans="11:15">
      <c r="K7" t="s">
        <v>814</v>
      </c>
      <c r="M7" t="s">
        <v>809</v>
      </c>
      <c r="N7">
        <v>1</v>
      </c>
      <c r="O7" t="s">
        <v>811</v>
      </c>
    </row>
    <row r="8" spans="11:15">
      <c r="K8" t="s">
        <v>817</v>
      </c>
      <c r="M8" t="s">
        <v>809</v>
      </c>
      <c r="N8">
        <v>1</v>
      </c>
      <c r="O8" t="s">
        <v>811</v>
      </c>
    </row>
    <row r="9" spans="11:15">
      <c r="K9" t="s">
        <v>818</v>
      </c>
      <c r="M9" t="s">
        <v>809</v>
      </c>
      <c r="N9">
        <v>1</v>
      </c>
      <c r="O9" t="s">
        <v>810</v>
      </c>
    </row>
    <row r="10" spans="11:15">
      <c r="K10" t="s">
        <v>819</v>
      </c>
      <c r="M10" t="s">
        <v>809</v>
      </c>
      <c r="N10">
        <v>1</v>
      </c>
      <c r="O10" t="s">
        <v>810</v>
      </c>
    </row>
    <row r="11" spans="11:15">
      <c r="K11" t="s">
        <v>820</v>
      </c>
      <c r="M11" t="s">
        <v>809</v>
      </c>
      <c r="N11">
        <v>1</v>
      </c>
      <c r="O11" t="s">
        <v>811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F516-BA7F-48A3-9BC4-6A0B9D4EF2D3}">
  <dimension ref="A1:G18"/>
  <sheetViews>
    <sheetView workbookViewId="0">
      <selection activeCell="C8" sqref="C8"/>
    </sheetView>
  </sheetViews>
  <sheetFormatPr defaultColWidth="9.140625" defaultRowHeight="14.25"/>
  <cols>
    <col min="1" max="1" width="13.7109375" style="28" customWidth="1"/>
    <col min="2" max="2" width="16" style="28" customWidth="1"/>
    <col min="3" max="3" width="93.7109375" style="33" customWidth="1"/>
    <col min="4" max="4" width="16" style="28" customWidth="1"/>
    <col min="5" max="5" width="12.5703125" style="28" customWidth="1"/>
    <col min="6" max="6" width="51.42578125" style="28" bestFit="1" customWidth="1"/>
    <col min="7" max="7" width="14.140625" style="28" bestFit="1" customWidth="1"/>
    <col min="8" max="16384" width="9.140625" style="28"/>
  </cols>
  <sheetData>
    <row r="1" spans="1:7" ht="15">
      <c r="A1" s="27" t="s">
        <v>289</v>
      </c>
      <c r="B1" s="27" t="s">
        <v>290</v>
      </c>
      <c r="C1" s="27" t="s">
        <v>0</v>
      </c>
      <c r="D1" s="27" t="s">
        <v>291</v>
      </c>
      <c r="E1" s="27" t="s">
        <v>292</v>
      </c>
      <c r="F1" s="28" t="s">
        <v>293</v>
      </c>
      <c r="G1" s="28" t="s">
        <v>729</v>
      </c>
    </row>
    <row r="2" spans="1:7" ht="261" customHeight="1">
      <c r="A2" s="29" t="s">
        <v>294</v>
      </c>
      <c r="B2" s="29"/>
      <c r="C2" s="30" t="s">
        <v>295</v>
      </c>
      <c r="D2" s="29" t="s">
        <v>296</v>
      </c>
      <c r="E2" s="29" t="s">
        <v>297</v>
      </c>
      <c r="F2" s="31" t="s">
        <v>298</v>
      </c>
      <c r="G2" s="31" t="s">
        <v>728</v>
      </c>
    </row>
    <row r="3" spans="1:7" ht="253.5" customHeight="1">
      <c r="A3" s="29" t="s">
        <v>299</v>
      </c>
      <c r="B3" s="29"/>
      <c r="C3" s="30" t="s">
        <v>300</v>
      </c>
      <c r="D3" s="29" t="s">
        <v>296</v>
      </c>
      <c r="E3" s="29" t="s">
        <v>301</v>
      </c>
      <c r="F3" s="31" t="s">
        <v>298</v>
      </c>
      <c r="G3" s="31" t="s">
        <v>728</v>
      </c>
    </row>
    <row r="4" spans="1:7" ht="274.5" customHeight="1">
      <c r="A4" s="29" t="s">
        <v>302</v>
      </c>
      <c r="B4" s="29"/>
      <c r="C4" s="30" t="s">
        <v>303</v>
      </c>
      <c r="D4" s="29" t="s">
        <v>296</v>
      </c>
      <c r="E4" s="29" t="s">
        <v>301</v>
      </c>
      <c r="F4" s="31" t="s">
        <v>304</v>
      </c>
      <c r="G4" s="31" t="s">
        <v>728</v>
      </c>
    </row>
    <row r="5" spans="1:7" ht="409.5">
      <c r="A5" s="29" t="s">
        <v>305</v>
      </c>
      <c r="B5" s="29"/>
      <c r="C5" s="30" t="s">
        <v>306</v>
      </c>
      <c r="D5" s="29" t="s">
        <v>296</v>
      </c>
      <c r="E5" s="29" t="s">
        <v>301</v>
      </c>
      <c r="F5" s="32" t="s">
        <v>307</v>
      </c>
      <c r="G5" s="31" t="s">
        <v>731</v>
      </c>
    </row>
    <row r="6" spans="1:7" ht="291.75" customHeight="1">
      <c r="A6" s="29" t="s">
        <v>308</v>
      </c>
      <c r="B6" s="29"/>
      <c r="C6" s="30" t="s">
        <v>309</v>
      </c>
      <c r="D6" s="29" t="s">
        <v>296</v>
      </c>
      <c r="E6" s="29" t="s">
        <v>301</v>
      </c>
      <c r="F6" s="31" t="s">
        <v>310</v>
      </c>
      <c r="G6" s="31" t="s">
        <v>728</v>
      </c>
    </row>
    <row r="7" spans="1:7" ht="209.25" customHeight="1">
      <c r="A7" s="29" t="s">
        <v>311</v>
      </c>
      <c r="B7" s="29"/>
      <c r="C7" s="30" t="s">
        <v>312</v>
      </c>
      <c r="D7" s="29" t="s">
        <v>296</v>
      </c>
      <c r="E7" s="29" t="s">
        <v>301</v>
      </c>
      <c r="F7" s="32" t="s">
        <v>313</v>
      </c>
      <c r="G7" s="31" t="s">
        <v>732</v>
      </c>
    </row>
    <row r="8" spans="1:7" ht="77.25" customHeight="1">
      <c r="A8" s="29" t="s">
        <v>314</v>
      </c>
      <c r="B8" s="29"/>
      <c r="C8" s="30" t="s">
        <v>315</v>
      </c>
      <c r="D8" s="29" t="s">
        <v>296</v>
      </c>
      <c r="E8" s="29" t="s">
        <v>316</v>
      </c>
      <c r="F8" s="31" t="s">
        <v>298</v>
      </c>
      <c r="G8" s="31" t="s">
        <v>731</v>
      </c>
    </row>
    <row r="9" spans="1:7" ht="315" customHeight="1">
      <c r="A9" s="29" t="s">
        <v>317</v>
      </c>
      <c r="B9" s="29"/>
      <c r="C9" s="30" t="s">
        <v>318</v>
      </c>
      <c r="D9" s="29" t="s">
        <v>296</v>
      </c>
      <c r="E9" s="29" t="s">
        <v>301</v>
      </c>
      <c r="F9" s="31" t="s">
        <v>319</v>
      </c>
      <c r="G9" s="31" t="s">
        <v>733</v>
      </c>
    </row>
    <row r="10" spans="1:7" ht="409.5">
      <c r="A10" s="29" t="s">
        <v>320</v>
      </c>
      <c r="B10" s="29"/>
      <c r="C10" s="30" t="s">
        <v>321</v>
      </c>
      <c r="D10" s="29" t="s">
        <v>296</v>
      </c>
      <c r="E10" s="29" t="s">
        <v>301</v>
      </c>
      <c r="F10" s="31" t="s">
        <v>322</v>
      </c>
      <c r="G10" s="31" t="s">
        <v>733</v>
      </c>
    </row>
    <row r="11" spans="1:7" ht="198" customHeight="1">
      <c r="A11" s="29" t="s">
        <v>323</v>
      </c>
      <c r="B11" s="29"/>
      <c r="C11" s="30" t="s">
        <v>324</v>
      </c>
      <c r="D11" s="29" t="s">
        <v>296</v>
      </c>
      <c r="E11" s="29" t="s">
        <v>316</v>
      </c>
      <c r="F11" s="32" t="s">
        <v>727</v>
      </c>
      <c r="G11" s="31" t="s">
        <v>731</v>
      </c>
    </row>
    <row r="12" spans="1:7" ht="293.25" customHeight="1">
      <c r="A12" s="29" t="s">
        <v>325</v>
      </c>
      <c r="B12" s="29"/>
      <c r="C12" s="30" t="s">
        <v>326</v>
      </c>
      <c r="D12" s="29" t="s">
        <v>296</v>
      </c>
      <c r="E12" s="29" t="s">
        <v>301</v>
      </c>
      <c r="F12" s="31" t="s">
        <v>298</v>
      </c>
      <c r="G12" s="31" t="s">
        <v>737</v>
      </c>
    </row>
    <row r="13" spans="1:7" ht="222" customHeight="1">
      <c r="A13" s="29" t="s">
        <v>327</v>
      </c>
      <c r="B13" s="29"/>
      <c r="C13" s="30" t="s">
        <v>328</v>
      </c>
      <c r="D13" s="29" t="s">
        <v>329</v>
      </c>
      <c r="E13" s="29" t="s">
        <v>301</v>
      </c>
      <c r="F13" s="31" t="s">
        <v>330</v>
      </c>
      <c r="G13" s="31" t="s">
        <v>738</v>
      </c>
    </row>
    <row r="14" spans="1:7" ht="409.5">
      <c r="A14" s="29" t="s">
        <v>331</v>
      </c>
      <c r="B14" s="29"/>
      <c r="C14" s="30" t="s">
        <v>332</v>
      </c>
      <c r="D14" s="29" t="s">
        <v>329</v>
      </c>
      <c r="E14" s="29" t="s">
        <v>301</v>
      </c>
      <c r="F14" s="31" t="s">
        <v>333</v>
      </c>
      <c r="G14" s="31" t="s">
        <v>728</v>
      </c>
    </row>
    <row r="15" spans="1:7" ht="409.5">
      <c r="A15" s="29" t="s">
        <v>334</v>
      </c>
      <c r="B15" s="29"/>
      <c r="C15" s="30" t="s">
        <v>335</v>
      </c>
      <c r="D15" s="29" t="s">
        <v>296</v>
      </c>
      <c r="E15" s="29" t="s">
        <v>301</v>
      </c>
      <c r="F15" s="31" t="s">
        <v>336</v>
      </c>
      <c r="G15" s="31" t="s">
        <v>731</v>
      </c>
    </row>
    <row r="16" spans="1:7" ht="366" customHeight="1">
      <c r="A16" s="29" t="s">
        <v>337</v>
      </c>
      <c r="B16" s="29"/>
      <c r="C16" s="30" t="s">
        <v>338</v>
      </c>
      <c r="D16" s="29" t="s">
        <v>296</v>
      </c>
      <c r="E16" s="29" t="s">
        <v>297</v>
      </c>
      <c r="F16" s="31" t="s">
        <v>339</v>
      </c>
      <c r="G16" s="31" t="s">
        <v>740</v>
      </c>
    </row>
    <row r="17" spans="1:7" ht="162.75" customHeight="1">
      <c r="A17" s="29" t="s">
        <v>340</v>
      </c>
      <c r="B17" s="29"/>
      <c r="C17" s="30" t="s">
        <v>341</v>
      </c>
      <c r="D17" s="29" t="s">
        <v>296</v>
      </c>
      <c r="E17" s="29" t="s">
        <v>316</v>
      </c>
      <c r="F17" s="32" t="s">
        <v>745</v>
      </c>
      <c r="G17" s="31" t="s">
        <v>740</v>
      </c>
    </row>
    <row r="18" spans="1:7" ht="409.5">
      <c r="A18" s="29" t="s">
        <v>342</v>
      </c>
      <c r="B18" s="29"/>
      <c r="C18" s="30" t="s">
        <v>343</v>
      </c>
      <c r="D18" s="29" t="s">
        <v>296</v>
      </c>
      <c r="E18" s="29" t="s">
        <v>301</v>
      </c>
      <c r="F18" s="31" t="s">
        <v>344</v>
      </c>
      <c r="G18" s="31"/>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CD204-804C-4C30-A78E-5EE5592E1C65}">
  <dimension ref="A1:H53"/>
  <sheetViews>
    <sheetView workbookViewId="0">
      <selection activeCell="H51" sqref="H51"/>
    </sheetView>
  </sheetViews>
  <sheetFormatPr defaultRowHeight="15"/>
  <cols>
    <col min="1" max="1" width="86.42578125" bestFit="1" customWidth="1"/>
    <col min="2" max="2" width="25" bestFit="1" customWidth="1"/>
    <col min="4" max="4" width="25" bestFit="1" customWidth="1"/>
    <col min="7" max="7" width="12.140625" bestFit="1" customWidth="1"/>
  </cols>
  <sheetData>
    <row r="1" spans="1:3">
      <c r="A1" s="9" t="s">
        <v>933</v>
      </c>
      <c r="B1" s="9" t="s">
        <v>977</v>
      </c>
    </row>
    <row r="2" spans="1:3">
      <c r="A2" s="9" t="s">
        <v>934</v>
      </c>
      <c r="B2" s="9" t="s">
        <v>938</v>
      </c>
      <c r="C2">
        <v>1</v>
      </c>
    </row>
    <row r="3" spans="1:3">
      <c r="A3" s="9" t="s">
        <v>935</v>
      </c>
      <c r="B3" s="9" t="s">
        <v>938</v>
      </c>
      <c r="C3">
        <v>1</v>
      </c>
    </row>
    <row r="4" spans="1:3">
      <c r="A4" s="9" t="s">
        <v>936</v>
      </c>
      <c r="B4" s="9" t="s">
        <v>938</v>
      </c>
      <c r="C4">
        <v>1</v>
      </c>
    </row>
    <row r="5" spans="1:3">
      <c r="A5" s="9" t="s">
        <v>937</v>
      </c>
      <c r="B5" s="9" t="s">
        <v>939</v>
      </c>
      <c r="C5">
        <v>1</v>
      </c>
    </row>
    <row r="6" spans="1:3">
      <c r="A6" s="9" t="s">
        <v>940</v>
      </c>
      <c r="B6" s="9" t="s">
        <v>941</v>
      </c>
      <c r="C6">
        <v>1</v>
      </c>
    </row>
    <row r="7" spans="1:3">
      <c r="A7" s="9" t="s">
        <v>942</v>
      </c>
      <c r="B7" s="9" t="s">
        <v>943</v>
      </c>
      <c r="C7">
        <v>1</v>
      </c>
    </row>
    <row r="8" spans="1:3">
      <c r="A8" s="9" t="s">
        <v>944</v>
      </c>
      <c r="B8" s="9" t="s">
        <v>939</v>
      </c>
      <c r="C8">
        <v>1</v>
      </c>
    </row>
    <row r="9" spans="1:3">
      <c r="A9" s="9" t="s">
        <v>945</v>
      </c>
      <c r="B9" s="9" t="s">
        <v>941</v>
      </c>
      <c r="C9">
        <v>1</v>
      </c>
    </row>
    <row r="10" spans="1:3">
      <c r="A10" s="9" t="s">
        <v>946</v>
      </c>
      <c r="B10" s="9" t="s">
        <v>947</v>
      </c>
      <c r="C10">
        <v>1</v>
      </c>
    </row>
    <row r="11" spans="1:3">
      <c r="A11" s="9" t="s">
        <v>948</v>
      </c>
      <c r="B11" s="9" t="s">
        <v>949</v>
      </c>
      <c r="C11">
        <v>1</v>
      </c>
    </row>
    <row r="12" spans="1:3">
      <c r="A12" s="9" t="s">
        <v>950</v>
      </c>
      <c r="B12" s="9" t="s">
        <v>943</v>
      </c>
      <c r="C12">
        <v>1</v>
      </c>
    </row>
    <row r="13" spans="1:3">
      <c r="A13" s="9" t="s">
        <v>951</v>
      </c>
      <c r="B13" s="9" t="s">
        <v>939</v>
      </c>
      <c r="C13">
        <v>1</v>
      </c>
    </row>
    <row r="14" spans="1:3">
      <c r="A14" s="9" t="s">
        <v>952</v>
      </c>
      <c r="B14" s="9" t="s">
        <v>941</v>
      </c>
      <c r="C14">
        <v>1</v>
      </c>
    </row>
    <row r="15" spans="1:3">
      <c r="A15" s="9" t="s">
        <v>953</v>
      </c>
      <c r="B15" s="9" t="s">
        <v>947</v>
      </c>
      <c r="C15">
        <v>1</v>
      </c>
    </row>
    <row r="16" spans="1:3">
      <c r="A16" s="9" t="s">
        <v>954</v>
      </c>
      <c r="B16" s="9" t="s">
        <v>949</v>
      </c>
      <c r="C16">
        <v>1</v>
      </c>
    </row>
    <row r="17" spans="1:3">
      <c r="A17" s="9" t="s">
        <v>926</v>
      </c>
      <c r="B17" s="9" t="s">
        <v>943</v>
      </c>
      <c r="C17">
        <v>1</v>
      </c>
    </row>
    <row r="18" spans="1:3">
      <c r="A18" s="9" t="s">
        <v>929</v>
      </c>
      <c r="B18" s="9" t="s">
        <v>939</v>
      </c>
      <c r="C18">
        <v>1</v>
      </c>
    </row>
    <row r="19" spans="1:3">
      <c r="A19" s="9" t="s">
        <v>955</v>
      </c>
      <c r="B19" s="9" t="s">
        <v>941</v>
      </c>
      <c r="C19">
        <v>1</v>
      </c>
    </row>
    <row r="20" spans="1:3">
      <c r="A20" s="9" t="s">
        <v>932</v>
      </c>
      <c r="B20" s="9" t="s">
        <v>947</v>
      </c>
      <c r="C20">
        <v>1</v>
      </c>
    </row>
    <row r="21" spans="1:3">
      <c r="A21" s="9" t="s">
        <v>956</v>
      </c>
      <c r="B21" s="9" t="s">
        <v>949</v>
      </c>
      <c r="C21">
        <v>1</v>
      </c>
    </row>
    <row r="22" spans="1:3">
      <c r="A22" s="9" t="s">
        <v>957</v>
      </c>
      <c r="B22" s="9" t="s">
        <v>939</v>
      </c>
      <c r="C22">
        <v>1</v>
      </c>
    </row>
    <row r="23" spans="1:3">
      <c r="A23" s="9" t="s">
        <v>957</v>
      </c>
      <c r="B23" s="9" t="s">
        <v>939</v>
      </c>
      <c r="C23">
        <v>1</v>
      </c>
    </row>
    <row r="24" spans="1:3">
      <c r="A24" s="9" t="s">
        <v>958</v>
      </c>
      <c r="B24" s="9" t="s">
        <v>939</v>
      </c>
      <c r="C24">
        <v>1</v>
      </c>
    </row>
    <row r="25" spans="1:3">
      <c r="A25" s="9" t="s">
        <v>959</v>
      </c>
      <c r="B25" s="9" t="s">
        <v>939</v>
      </c>
      <c r="C25">
        <v>1</v>
      </c>
    </row>
    <row r="26" spans="1:3">
      <c r="A26" s="9" t="s">
        <v>959</v>
      </c>
      <c r="B26" s="9" t="s">
        <v>939</v>
      </c>
      <c r="C26">
        <v>1</v>
      </c>
    </row>
    <row r="27" spans="1:3">
      <c r="A27" s="9" t="s">
        <v>960</v>
      </c>
      <c r="B27" s="9" t="s">
        <v>938</v>
      </c>
      <c r="C27">
        <v>1</v>
      </c>
    </row>
    <row r="28" spans="1:3">
      <c r="A28" s="9" t="s">
        <v>961</v>
      </c>
      <c r="B28" s="9" t="s">
        <v>939</v>
      </c>
      <c r="C28">
        <v>1</v>
      </c>
    </row>
    <row r="29" spans="1:3">
      <c r="A29" s="9" t="s">
        <v>962</v>
      </c>
      <c r="B29" s="9" t="s">
        <v>963</v>
      </c>
      <c r="C29">
        <v>1</v>
      </c>
    </row>
    <row r="30" spans="1:3">
      <c r="A30" s="9" t="s">
        <v>970</v>
      </c>
      <c r="B30" s="9" t="s">
        <v>943</v>
      </c>
      <c r="C30">
        <v>1</v>
      </c>
    </row>
    <row r="31" spans="1:3">
      <c r="A31" s="9" t="s">
        <v>964</v>
      </c>
      <c r="B31" s="9" t="s">
        <v>938</v>
      </c>
      <c r="C31">
        <v>1</v>
      </c>
    </row>
    <row r="32" spans="1:3">
      <c r="A32" s="9" t="s">
        <v>965</v>
      </c>
      <c r="B32" s="9" t="s">
        <v>939</v>
      </c>
      <c r="C32">
        <v>1</v>
      </c>
    </row>
    <row r="33" spans="1:7">
      <c r="A33" s="9" t="s">
        <v>966</v>
      </c>
      <c r="B33" s="9" t="s">
        <v>963</v>
      </c>
      <c r="C33">
        <v>1</v>
      </c>
    </row>
    <row r="34" spans="1:7">
      <c r="A34" s="9" t="s">
        <v>971</v>
      </c>
      <c r="B34" s="9" t="s">
        <v>943</v>
      </c>
      <c r="C34">
        <v>1</v>
      </c>
    </row>
    <row r="35" spans="1:7">
      <c r="A35" s="9" t="s">
        <v>967</v>
      </c>
      <c r="B35" s="9" t="s">
        <v>938</v>
      </c>
      <c r="C35">
        <v>1</v>
      </c>
    </row>
    <row r="36" spans="1:7">
      <c r="A36" s="9" t="s">
        <v>968</v>
      </c>
      <c r="B36" s="9" t="s">
        <v>939</v>
      </c>
      <c r="C36">
        <v>1</v>
      </c>
    </row>
    <row r="37" spans="1:7">
      <c r="A37" s="9" t="s">
        <v>969</v>
      </c>
      <c r="B37" s="9" t="s">
        <v>963</v>
      </c>
      <c r="C37">
        <v>1</v>
      </c>
    </row>
    <row r="38" spans="1:7">
      <c r="A38" s="9" t="s">
        <v>972</v>
      </c>
      <c r="B38" s="9" t="s">
        <v>943</v>
      </c>
      <c r="C38">
        <v>1</v>
      </c>
    </row>
    <row r="39" spans="1:7">
      <c r="A39" s="9" t="s">
        <v>973</v>
      </c>
      <c r="B39" s="9" t="s">
        <v>939</v>
      </c>
      <c r="C39">
        <v>1</v>
      </c>
    </row>
    <row r="40" spans="1:7">
      <c r="A40" s="9" t="s">
        <v>974</v>
      </c>
      <c r="B40" s="9" t="s">
        <v>939</v>
      </c>
      <c r="C40">
        <v>1</v>
      </c>
    </row>
    <row r="41" spans="1:7">
      <c r="A41" s="9" t="s">
        <v>975</v>
      </c>
      <c r="B41" s="9" t="s">
        <v>939</v>
      </c>
      <c r="C41">
        <v>1</v>
      </c>
    </row>
    <row r="42" spans="1:7">
      <c r="A42" s="9" t="s">
        <v>976</v>
      </c>
      <c r="B42" s="9" t="s">
        <v>943</v>
      </c>
      <c r="C42">
        <v>1</v>
      </c>
    </row>
    <row r="46" spans="1:7">
      <c r="F46" t="s">
        <v>978</v>
      </c>
      <c r="G46" t="s">
        <v>979</v>
      </c>
    </row>
    <row r="47" spans="1:7">
      <c r="D47" t="s">
        <v>938</v>
      </c>
      <c r="E47">
        <f>SUMIF($B$2:$B$42,D47,$C$2:$C$42)</f>
        <v>6</v>
      </c>
      <c r="F47">
        <v>6</v>
      </c>
      <c r="G47">
        <f>E47-F47</f>
        <v>0</v>
      </c>
    </row>
    <row r="48" spans="1:7">
      <c r="D48" t="s">
        <v>939</v>
      </c>
      <c r="E48">
        <f t="shared" ref="E48:E53" si="0">SUMIF($B$2:$B$42,D48,$C$2:$C$42)</f>
        <v>15</v>
      </c>
      <c r="F48">
        <v>15</v>
      </c>
      <c r="G48">
        <f t="shared" ref="G48:G53" si="1">E48-F48</f>
        <v>0</v>
      </c>
    </row>
    <row r="49" spans="4:8">
      <c r="D49" t="s">
        <v>941</v>
      </c>
      <c r="E49">
        <f t="shared" si="0"/>
        <v>4</v>
      </c>
      <c r="F49">
        <v>4</v>
      </c>
      <c r="G49">
        <f t="shared" si="1"/>
        <v>0</v>
      </c>
    </row>
    <row r="50" spans="4:8">
      <c r="D50" t="s">
        <v>943</v>
      </c>
      <c r="E50">
        <f t="shared" si="0"/>
        <v>7</v>
      </c>
      <c r="F50">
        <v>6</v>
      </c>
      <c r="G50">
        <f t="shared" si="1"/>
        <v>1</v>
      </c>
    </row>
    <row r="51" spans="4:8">
      <c r="D51" t="s">
        <v>947</v>
      </c>
      <c r="E51">
        <f t="shared" si="0"/>
        <v>3</v>
      </c>
      <c r="F51">
        <v>0</v>
      </c>
      <c r="G51">
        <f t="shared" si="1"/>
        <v>3</v>
      </c>
      <c r="H51" t="s">
        <v>1090</v>
      </c>
    </row>
    <row r="52" spans="4:8">
      <c r="D52" t="s">
        <v>949</v>
      </c>
      <c r="E52">
        <f t="shared" si="0"/>
        <v>3</v>
      </c>
      <c r="F52">
        <v>4</v>
      </c>
      <c r="G52">
        <f t="shared" si="1"/>
        <v>-1</v>
      </c>
    </row>
    <row r="53" spans="4:8">
      <c r="D53" t="s">
        <v>963</v>
      </c>
      <c r="E53">
        <f t="shared" si="0"/>
        <v>3</v>
      </c>
      <c r="F53">
        <v>3</v>
      </c>
      <c r="G53">
        <f t="shared" si="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7A0C7-00AA-4B54-BE35-92811A43B606}">
  <dimension ref="A1:G120"/>
  <sheetViews>
    <sheetView zoomScaleNormal="100" workbookViewId="0">
      <selection activeCell="G15" sqref="G15"/>
    </sheetView>
  </sheetViews>
  <sheetFormatPr defaultRowHeight="15"/>
  <cols>
    <col min="1" max="1" width="27.85546875" bestFit="1" customWidth="1"/>
    <col min="2" max="2" width="44.140625" style="17" bestFit="1" customWidth="1"/>
    <col min="3" max="3" width="13.28515625" bestFit="1" customWidth="1"/>
    <col min="4" max="4" width="27" bestFit="1" customWidth="1"/>
    <col min="5" max="5" width="27" customWidth="1"/>
    <col min="6" max="6" width="33.140625" bestFit="1" customWidth="1"/>
    <col min="7" max="7" width="100.7109375" style="17" customWidth="1"/>
  </cols>
  <sheetData>
    <row r="1" spans="1:7">
      <c r="A1" s="9" t="s">
        <v>32</v>
      </c>
      <c r="B1" s="10" t="s">
        <v>33</v>
      </c>
      <c r="C1" s="9" t="s">
        <v>34</v>
      </c>
      <c r="D1" s="9" t="s">
        <v>35</v>
      </c>
      <c r="E1" s="9" t="s">
        <v>217</v>
      </c>
      <c r="F1" s="9" t="s">
        <v>218</v>
      </c>
      <c r="G1" s="10" t="s">
        <v>36</v>
      </c>
    </row>
    <row r="2" spans="1:7" ht="90">
      <c r="A2" s="9" t="s">
        <v>1088</v>
      </c>
      <c r="B2" s="10" t="s">
        <v>213</v>
      </c>
      <c r="C2" s="9" t="s">
        <v>37</v>
      </c>
      <c r="D2" s="9" t="s">
        <v>215</v>
      </c>
      <c r="E2" s="9"/>
      <c r="F2" s="9"/>
      <c r="G2" s="10" t="s">
        <v>1087</v>
      </c>
    </row>
    <row r="3" spans="1:7">
      <c r="A3" s="9" t="s">
        <v>1088</v>
      </c>
      <c r="B3" s="10" t="s">
        <v>214</v>
      </c>
      <c r="C3" s="9" t="s">
        <v>37</v>
      </c>
      <c r="D3" s="9" t="s">
        <v>215</v>
      </c>
      <c r="E3" s="9"/>
      <c r="F3" s="9"/>
      <c r="G3" s="10"/>
    </row>
    <row r="4" spans="1:7">
      <c r="A4" s="9" t="s">
        <v>921</v>
      </c>
      <c r="B4" s="10" t="s">
        <v>216</v>
      </c>
      <c r="C4" s="9" t="s">
        <v>37</v>
      </c>
      <c r="D4" s="9"/>
      <c r="E4" s="9"/>
      <c r="F4" s="9"/>
      <c r="G4" s="10" t="s">
        <v>920</v>
      </c>
    </row>
    <row r="5" spans="1:7" ht="60">
      <c r="A5" s="9" t="s">
        <v>38</v>
      </c>
      <c r="B5" s="10" t="s">
        <v>199</v>
      </c>
      <c r="C5" s="9" t="s">
        <v>37</v>
      </c>
      <c r="D5" s="9" t="s">
        <v>243</v>
      </c>
      <c r="E5" s="9"/>
      <c r="F5" s="9"/>
      <c r="G5" s="10" t="s">
        <v>905</v>
      </c>
    </row>
    <row r="6" spans="1:7" ht="45">
      <c r="A6" s="9" t="s">
        <v>39</v>
      </c>
      <c r="B6" s="10" t="s">
        <v>219</v>
      </c>
      <c r="C6" s="9" t="s">
        <v>37</v>
      </c>
      <c r="D6" s="9" t="s">
        <v>220</v>
      </c>
      <c r="E6" s="9"/>
      <c r="F6" s="9"/>
      <c r="G6" s="10" t="s">
        <v>1059</v>
      </c>
    </row>
    <row r="7" spans="1:7" ht="45">
      <c r="A7" s="9" t="s">
        <v>40</v>
      </c>
      <c r="B7" s="10" t="s">
        <v>221</v>
      </c>
      <c r="C7" s="9" t="s">
        <v>37</v>
      </c>
      <c r="D7" s="9" t="s">
        <v>220</v>
      </c>
      <c r="E7" s="9"/>
      <c r="F7" s="9"/>
      <c r="G7" s="10" t="s">
        <v>1059</v>
      </c>
    </row>
    <row r="8" spans="1:7" ht="45">
      <c r="A8" s="9" t="s">
        <v>41</v>
      </c>
      <c r="B8" s="10" t="s">
        <v>222</v>
      </c>
      <c r="C8" s="9" t="s">
        <v>37</v>
      </c>
      <c r="D8" s="9" t="s">
        <v>220</v>
      </c>
      <c r="E8" s="9"/>
      <c r="F8" s="9"/>
      <c r="G8" s="10" t="s">
        <v>1059</v>
      </c>
    </row>
    <row r="9" spans="1:7" ht="30">
      <c r="A9" s="9" t="s">
        <v>42</v>
      </c>
      <c r="B9" s="10" t="s">
        <v>226</v>
      </c>
      <c r="C9" s="9" t="s">
        <v>37</v>
      </c>
      <c r="D9" s="9" t="s">
        <v>223</v>
      </c>
      <c r="E9" s="9"/>
      <c r="F9" s="9"/>
      <c r="G9" s="10" t="s">
        <v>922</v>
      </c>
    </row>
    <row r="10" spans="1:7" ht="30">
      <c r="A10" s="9" t="s">
        <v>43</v>
      </c>
      <c r="B10" s="10" t="s">
        <v>226</v>
      </c>
      <c r="C10" s="9" t="s">
        <v>37</v>
      </c>
      <c r="D10" s="9" t="s">
        <v>223</v>
      </c>
      <c r="E10" s="9"/>
      <c r="F10" s="9"/>
      <c r="G10" s="10" t="s">
        <v>922</v>
      </c>
    </row>
    <row r="11" spans="1:7" ht="30">
      <c r="A11" s="9" t="s">
        <v>44</v>
      </c>
      <c r="B11" s="10" t="s">
        <v>227</v>
      </c>
      <c r="C11" s="9" t="s">
        <v>37</v>
      </c>
      <c r="D11" s="9" t="s">
        <v>223</v>
      </c>
      <c r="E11" s="9"/>
      <c r="F11" s="9"/>
      <c r="G11" s="10" t="s">
        <v>922</v>
      </c>
    </row>
    <row r="12" spans="1:7" ht="30">
      <c r="A12" s="9" t="s">
        <v>45</v>
      </c>
      <c r="B12" s="10" t="s">
        <v>228</v>
      </c>
      <c r="C12" s="9" t="s">
        <v>37</v>
      </c>
      <c r="D12" s="9" t="s">
        <v>223</v>
      </c>
      <c r="E12" s="9"/>
      <c r="F12" s="9"/>
      <c r="G12" s="10" t="s">
        <v>922</v>
      </c>
    </row>
    <row r="13" spans="1:7" ht="30">
      <c r="A13" s="9" t="s">
        <v>224</v>
      </c>
      <c r="B13" s="10" t="s">
        <v>229</v>
      </c>
      <c r="C13" s="9" t="s">
        <v>37</v>
      </c>
      <c r="D13" s="9" t="s">
        <v>223</v>
      </c>
      <c r="E13" s="9"/>
      <c r="F13" s="9"/>
      <c r="G13" s="10" t="s">
        <v>922</v>
      </c>
    </row>
    <row r="14" spans="1:7" ht="30">
      <c r="A14" s="9" t="s">
        <v>225</v>
      </c>
      <c r="B14" s="10" t="s">
        <v>166</v>
      </c>
      <c r="C14" s="9" t="s">
        <v>37</v>
      </c>
      <c r="D14" s="9" t="s">
        <v>230</v>
      </c>
      <c r="E14" s="9"/>
      <c r="F14" s="9"/>
      <c r="G14" s="10" t="s">
        <v>250</v>
      </c>
    </row>
    <row r="15" spans="1:7" ht="30">
      <c r="A15" s="9" t="s">
        <v>248</v>
      </c>
      <c r="B15" s="10" t="s">
        <v>166</v>
      </c>
      <c r="C15" s="9" t="s">
        <v>37</v>
      </c>
      <c r="D15" s="9" t="s">
        <v>184</v>
      </c>
      <c r="E15" s="9"/>
      <c r="F15" s="9"/>
      <c r="G15" s="10" t="s">
        <v>251</v>
      </c>
    </row>
    <row r="16" spans="1:7" ht="30">
      <c r="A16" s="9" t="s">
        <v>249</v>
      </c>
      <c r="B16" s="10" t="s">
        <v>166</v>
      </c>
      <c r="C16" s="9" t="s">
        <v>37</v>
      </c>
      <c r="D16" s="9" t="s">
        <v>223</v>
      </c>
      <c r="E16" s="9"/>
      <c r="F16" s="9"/>
      <c r="G16" s="10" t="s">
        <v>252</v>
      </c>
    </row>
    <row r="17" spans="1:7" ht="30">
      <c r="A17" s="9" t="s">
        <v>1046</v>
      </c>
      <c r="B17" s="23" t="s">
        <v>210</v>
      </c>
      <c r="C17" s="9" t="s">
        <v>231</v>
      </c>
      <c r="D17" s="9" t="s">
        <v>184</v>
      </c>
      <c r="E17" s="9"/>
      <c r="F17" s="9"/>
      <c r="G17" s="10" t="s">
        <v>255</v>
      </c>
    </row>
    <row r="18" spans="1:7" ht="30">
      <c r="A18" s="9" t="s">
        <v>1047</v>
      </c>
      <c r="B18" s="23" t="s">
        <v>211</v>
      </c>
      <c r="C18" s="9" t="s">
        <v>231</v>
      </c>
      <c r="D18" s="9" t="s">
        <v>184</v>
      </c>
      <c r="E18" s="9"/>
      <c r="F18" s="9"/>
      <c r="G18" s="10" t="s">
        <v>255</v>
      </c>
    </row>
    <row r="19" spans="1:7" ht="30">
      <c r="A19" s="9" t="s">
        <v>1048</v>
      </c>
      <c r="B19" s="23" t="s">
        <v>212</v>
      </c>
      <c r="C19" s="9" t="s">
        <v>231</v>
      </c>
      <c r="D19" s="9" t="s">
        <v>184</v>
      </c>
      <c r="E19" s="9"/>
      <c r="F19" s="9"/>
      <c r="G19" s="10" t="s">
        <v>255</v>
      </c>
    </row>
    <row r="20" spans="1:7" ht="30">
      <c r="A20" s="9" t="s">
        <v>1049</v>
      </c>
      <c r="B20" s="10" t="s">
        <v>236</v>
      </c>
      <c r="C20" s="9" t="s">
        <v>231</v>
      </c>
      <c r="D20" s="9" t="s">
        <v>184</v>
      </c>
      <c r="E20" s="9"/>
      <c r="F20" s="9"/>
      <c r="G20" s="10" t="s">
        <v>255</v>
      </c>
    </row>
    <row r="21" spans="1:7" ht="30">
      <c r="A21" s="9" t="s">
        <v>1050</v>
      </c>
      <c r="B21" s="10" t="s">
        <v>237</v>
      </c>
      <c r="C21" s="9" t="s">
        <v>231</v>
      </c>
      <c r="D21" s="9" t="s">
        <v>253</v>
      </c>
      <c r="E21" s="9"/>
      <c r="F21" s="9"/>
      <c r="G21" s="10" t="s">
        <v>254</v>
      </c>
    </row>
    <row r="22" spans="1:7" ht="30">
      <c r="A22" s="9" t="s">
        <v>1051</v>
      </c>
      <c r="B22" s="23" t="s">
        <v>1463</v>
      </c>
      <c r="C22" s="9" t="s">
        <v>231</v>
      </c>
      <c r="D22" s="9" t="s">
        <v>184</v>
      </c>
      <c r="E22" s="9"/>
      <c r="F22" s="9"/>
      <c r="G22" s="10" t="s">
        <v>255</v>
      </c>
    </row>
    <row r="23" spans="1:7" ht="30">
      <c r="A23" s="9" t="s">
        <v>1052</v>
      </c>
      <c r="B23" s="23" t="s">
        <v>1464</v>
      </c>
      <c r="C23" s="9" t="s">
        <v>231</v>
      </c>
      <c r="D23" s="9" t="s">
        <v>184</v>
      </c>
      <c r="E23" s="9"/>
      <c r="F23" s="9"/>
      <c r="G23" s="10" t="s">
        <v>255</v>
      </c>
    </row>
    <row r="24" spans="1:7" ht="30">
      <c r="A24" s="9" t="s">
        <v>1053</v>
      </c>
      <c r="B24" s="23" t="s">
        <v>1465</v>
      </c>
      <c r="C24" s="9" t="s">
        <v>231</v>
      </c>
      <c r="D24" s="9" t="s">
        <v>184</v>
      </c>
      <c r="E24" s="9"/>
      <c r="F24" s="9"/>
      <c r="G24" s="10" t="s">
        <v>255</v>
      </c>
    </row>
    <row r="25" spans="1:7" ht="30">
      <c r="A25" s="9" t="s">
        <v>1054</v>
      </c>
      <c r="B25" s="10" t="s">
        <v>238</v>
      </c>
      <c r="C25" s="9" t="s">
        <v>232</v>
      </c>
      <c r="D25" s="9" t="s">
        <v>253</v>
      </c>
      <c r="E25" s="9"/>
      <c r="F25" s="9"/>
      <c r="G25" s="10" t="s">
        <v>254</v>
      </c>
    </row>
    <row r="28" spans="1:7">
      <c r="A28" t="s">
        <v>256</v>
      </c>
    </row>
    <row r="29" spans="1:7">
      <c r="A29" t="s">
        <v>257</v>
      </c>
      <c r="B29" s="17" t="s">
        <v>258</v>
      </c>
      <c r="C29">
        <v>6</v>
      </c>
      <c r="G29" s="17" t="s">
        <v>259</v>
      </c>
    </row>
    <row r="30" spans="1:7" ht="30">
      <c r="A30" t="s">
        <v>260</v>
      </c>
      <c r="B30" s="24" t="s">
        <v>264</v>
      </c>
      <c r="C30">
        <v>12</v>
      </c>
      <c r="G30" s="17" t="s">
        <v>263</v>
      </c>
    </row>
    <row r="31" spans="1:7">
      <c r="A31" t="s">
        <v>265</v>
      </c>
      <c r="B31" s="24" t="s">
        <v>268</v>
      </c>
      <c r="C31">
        <v>6</v>
      </c>
    </row>
    <row r="32" spans="1:7">
      <c r="A32" t="s">
        <v>266</v>
      </c>
      <c r="B32" s="24" t="s">
        <v>270</v>
      </c>
      <c r="C32">
        <v>6</v>
      </c>
    </row>
    <row r="33" spans="1:7">
      <c r="A33" t="s">
        <v>267</v>
      </c>
      <c r="B33" s="24" t="s">
        <v>269</v>
      </c>
      <c r="C33">
        <v>3</v>
      </c>
    </row>
    <row r="34" spans="1:7">
      <c r="A34" t="s">
        <v>271</v>
      </c>
      <c r="B34" s="24" t="s">
        <v>274</v>
      </c>
      <c r="C34">
        <v>4</v>
      </c>
    </row>
    <row r="35" spans="1:7">
      <c r="A35" t="s">
        <v>273</v>
      </c>
      <c r="B35" s="24" t="s">
        <v>275</v>
      </c>
      <c r="C35">
        <v>3</v>
      </c>
    </row>
    <row r="36" spans="1:7">
      <c r="A36" t="s">
        <v>272</v>
      </c>
      <c r="B36" s="24" t="s">
        <v>274</v>
      </c>
      <c r="C36">
        <v>3</v>
      </c>
    </row>
    <row r="37" spans="1:7">
      <c r="A37" t="s">
        <v>276</v>
      </c>
      <c r="B37" s="24" t="s">
        <v>277</v>
      </c>
      <c r="C37">
        <v>11</v>
      </c>
      <c r="G37" s="17" t="s">
        <v>280</v>
      </c>
    </row>
    <row r="38" spans="1:7">
      <c r="A38" t="s">
        <v>281</v>
      </c>
      <c r="B38" s="24" t="s">
        <v>282</v>
      </c>
      <c r="C38">
        <v>1</v>
      </c>
      <c r="G38" s="17" t="s">
        <v>283</v>
      </c>
    </row>
    <row r="39" spans="1:7">
      <c r="A39" t="s">
        <v>862</v>
      </c>
      <c r="B39" s="24" t="s">
        <v>863</v>
      </c>
      <c r="C39">
        <v>1</v>
      </c>
    </row>
    <row r="40" spans="1:7">
      <c r="A40" t="s">
        <v>261</v>
      </c>
      <c r="B40" s="17" t="s">
        <v>262</v>
      </c>
      <c r="C40">
        <v>31</v>
      </c>
      <c r="G40" s="17" t="s">
        <v>263</v>
      </c>
    </row>
    <row r="41" spans="1:7">
      <c r="A41" t="s">
        <v>278</v>
      </c>
      <c r="B41" s="25" t="s">
        <v>279</v>
      </c>
      <c r="C41">
        <v>1</v>
      </c>
    </row>
    <row r="42" spans="1:7">
      <c r="A42" s="26" t="s">
        <v>284</v>
      </c>
    </row>
    <row r="43" spans="1:7">
      <c r="A43" s="26" t="s">
        <v>285</v>
      </c>
    </row>
    <row r="44" spans="1:7">
      <c r="A44" s="26" t="s">
        <v>286</v>
      </c>
    </row>
    <row r="48" spans="1:7" ht="60">
      <c r="A48" s="10" t="s">
        <v>233</v>
      </c>
    </row>
    <row r="49" spans="1:1" ht="60">
      <c r="A49" s="10" t="s">
        <v>234</v>
      </c>
    </row>
    <row r="50" spans="1:1" ht="30">
      <c r="A50" s="10" t="s">
        <v>235</v>
      </c>
    </row>
    <row r="53" spans="1:1">
      <c r="A53" t="s">
        <v>1062</v>
      </c>
    </row>
    <row r="54" spans="1:1">
      <c r="A54" t="s">
        <v>1063</v>
      </c>
    </row>
    <row r="55" spans="1:1">
      <c r="A55" t="s">
        <v>1064</v>
      </c>
    </row>
    <row r="56" spans="1:1">
      <c r="A56" t="s">
        <v>1065</v>
      </c>
    </row>
    <row r="57" spans="1:1">
      <c r="A57" t="s">
        <v>1066</v>
      </c>
    </row>
    <row r="58" spans="1:1">
      <c r="A58" t="s">
        <v>1000</v>
      </c>
    </row>
    <row r="59" spans="1:1">
      <c r="A59" t="s">
        <v>1067</v>
      </c>
    </row>
    <row r="60" spans="1:1">
      <c r="A60" t="s">
        <v>1068</v>
      </c>
    </row>
    <row r="61" spans="1:1">
      <c r="A61" t="s">
        <v>1069</v>
      </c>
    </row>
    <row r="62" spans="1:1">
      <c r="A62" t="s">
        <v>1070</v>
      </c>
    </row>
    <row r="118" spans="2:4">
      <c r="B118" s="17" t="s">
        <v>1099</v>
      </c>
      <c r="C118" t="s">
        <v>1100</v>
      </c>
      <c r="D118">
        <v>2</v>
      </c>
    </row>
    <row r="119" spans="2:4">
      <c r="B119" s="17" t="s">
        <v>917</v>
      </c>
      <c r="C119">
        <v>1123490000</v>
      </c>
      <c r="D119">
        <v>12</v>
      </c>
    </row>
    <row r="120" spans="2:4">
      <c r="B120" s="17" t="s">
        <v>1098</v>
      </c>
      <c r="C120" t="s">
        <v>1101</v>
      </c>
      <c r="D120">
        <v>5</v>
      </c>
    </row>
  </sheetData>
  <phoneticPr fontId="7" type="noConversion"/>
  <pageMargins left="0.7" right="0.7" top="0.75" bottom="0.75" header="0.3" footer="0.3"/>
  <ignoredErrors>
    <ignoredError sqref="B32:B3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DCE2C-7702-4DBE-A64D-CB5E25D8B575}">
  <dimension ref="A1:D5"/>
  <sheetViews>
    <sheetView workbookViewId="0">
      <selection activeCell="D5" sqref="D5"/>
    </sheetView>
  </sheetViews>
  <sheetFormatPr defaultRowHeight="15"/>
  <cols>
    <col min="1" max="1" width="10.42578125" bestFit="1" customWidth="1"/>
    <col min="2" max="2" width="10.42578125" customWidth="1"/>
    <col min="3" max="3" width="17" bestFit="1" customWidth="1"/>
    <col min="4" max="4" width="74" customWidth="1"/>
  </cols>
  <sheetData>
    <row r="1" spans="1:4">
      <c r="A1" t="s">
        <v>1492</v>
      </c>
      <c r="B1" t="s">
        <v>1497</v>
      </c>
      <c r="C1" t="s">
        <v>1493</v>
      </c>
      <c r="D1" t="s">
        <v>31</v>
      </c>
    </row>
    <row r="2" spans="1:4">
      <c r="A2" t="s">
        <v>1494</v>
      </c>
      <c r="B2" s="258">
        <v>46238</v>
      </c>
      <c r="C2" t="s">
        <v>1495</v>
      </c>
      <c r="D2" t="s">
        <v>1496</v>
      </c>
    </row>
    <row r="3" spans="1:4">
      <c r="A3" t="s">
        <v>1632</v>
      </c>
      <c r="B3" s="258">
        <v>46246</v>
      </c>
      <c r="C3" t="s">
        <v>1633</v>
      </c>
      <c r="D3" t="s">
        <v>1634</v>
      </c>
    </row>
    <row r="4" spans="1:4">
      <c r="A4" t="s">
        <v>1635</v>
      </c>
      <c r="B4" s="258">
        <v>46246</v>
      </c>
      <c r="C4" t="s">
        <v>1636</v>
      </c>
      <c r="D4" t="s">
        <v>1637</v>
      </c>
    </row>
    <row r="5" spans="1:4">
      <c r="A5" t="s">
        <v>1744</v>
      </c>
      <c r="B5" s="258">
        <v>46246</v>
      </c>
      <c r="C5" t="s">
        <v>1745</v>
      </c>
      <c r="D5" t="s">
        <v>1746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3C77A-FD5F-4FCE-BF04-7075683F896C}">
  <dimension ref="A1:I213"/>
  <sheetViews>
    <sheetView tabSelected="1" topLeftCell="A36" zoomScale="110" zoomScaleNormal="110" workbookViewId="0">
      <selection activeCell="A4" sqref="A4"/>
    </sheetView>
  </sheetViews>
  <sheetFormatPr defaultRowHeight="15"/>
  <cols>
    <col min="1" max="1" width="99.85546875" bestFit="1" customWidth="1"/>
    <col min="2" max="2" width="7.140625" bestFit="1" customWidth="1"/>
    <col min="3" max="3" width="62.85546875" customWidth="1"/>
    <col min="4" max="4" width="18.140625" style="34" customWidth="1"/>
    <col min="5" max="5" width="55.28515625" bestFit="1" customWidth="1"/>
    <col min="6" max="6" width="50" customWidth="1"/>
    <col min="7" max="7" width="97.85546875" customWidth="1"/>
    <col min="8" max="8" width="29.85546875" bestFit="1" customWidth="1"/>
  </cols>
  <sheetData>
    <row r="1" spans="1:9">
      <c r="A1" s="1" t="s">
        <v>0</v>
      </c>
      <c r="B1" s="2" t="s">
        <v>1</v>
      </c>
      <c r="C1" s="2" t="s">
        <v>1502</v>
      </c>
      <c r="D1" s="2" t="s">
        <v>1747</v>
      </c>
      <c r="E1" s="2" t="s">
        <v>1528</v>
      </c>
      <c r="F1" s="2" t="s">
        <v>1630</v>
      </c>
      <c r="G1" s="2" t="s">
        <v>31</v>
      </c>
      <c r="I1" t="s">
        <v>1097</v>
      </c>
    </row>
    <row r="2" spans="1:9">
      <c r="A2" s="8" t="s">
        <v>1761</v>
      </c>
      <c r="B2" s="4" t="s">
        <v>2</v>
      </c>
      <c r="C2" s="4" t="s">
        <v>1643</v>
      </c>
      <c r="D2" s="279" t="s">
        <v>1748</v>
      </c>
      <c r="E2" s="4" t="s">
        <v>1638</v>
      </c>
      <c r="F2" s="4"/>
      <c r="G2" s="9" t="s">
        <v>1163</v>
      </c>
    </row>
    <row r="3" spans="1:9">
      <c r="A3" s="8" t="s">
        <v>1762</v>
      </c>
      <c r="B3" s="4" t="s">
        <v>3</v>
      </c>
      <c r="C3" s="4" t="s">
        <v>1643</v>
      </c>
      <c r="D3" s="279" t="s">
        <v>1748</v>
      </c>
      <c r="E3" s="4" t="s">
        <v>1639</v>
      </c>
      <c r="F3" s="9"/>
      <c r="G3" s="9" t="s">
        <v>1164</v>
      </c>
    </row>
    <row r="4" spans="1:9">
      <c r="A4" s="8" t="s">
        <v>764</v>
      </c>
      <c r="B4" s="4" t="s">
        <v>4</v>
      </c>
      <c r="C4" s="4" t="s">
        <v>1644</v>
      </c>
      <c r="D4" s="279" t="s">
        <v>1748</v>
      </c>
      <c r="E4" s="4" t="s">
        <v>1523</v>
      </c>
      <c r="F4" s="9"/>
      <c r="G4" s="9" t="s">
        <v>1165</v>
      </c>
    </row>
    <row r="5" spans="1:9">
      <c r="A5" s="8" t="s">
        <v>765</v>
      </c>
      <c r="B5" s="4" t="s">
        <v>5</v>
      </c>
      <c r="C5" s="4" t="s">
        <v>1644</v>
      </c>
      <c r="D5" s="279" t="s">
        <v>1748</v>
      </c>
      <c r="E5" s="4" t="s">
        <v>1524</v>
      </c>
      <c r="F5" s="9"/>
      <c r="G5" s="9" t="s">
        <v>1166</v>
      </c>
    </row>
    <row r="6" spans="1:9">
      <c r="A6" s="8" t="s">
        <v>1167</v>
      </c>
      <c r="B6" s="4" t="s">
        <v>6</v>
      </c>
      <c r="C6" s="4" t="s">
        <v>1645</v>
      </c>
      <c r="D6" s="279" t="s">
        <v>1748</v>
      </c>
      <c r="E6" s="4" t="s">
        <v>1640</v>
      </c>
      <c r="F6" s="9"/>
      <c r="G6" s="9" t="s">
        <v>1169</v>
      </c>
    </row>
    <row r="7" spans="1:9">
      <c r="A7" s="8" t="s">
        <v>1168</v>
      </c>
      <c r="B7" s="4" t="s">
        <v>7</v>
      </c>
      <c r="C7" s="4" t="s">
        <v>1646</v>
      </c>
      <c r="D7" s="279" t="s">
        <v>1748</v>
      </c>
      <c r="E7" s="4" t="s">
        <v>1641</v>
      </c>
      <c r="F7" s="9"/>
      <c r="G7" s="9" t="s">
        <v>1170</v>
      </c>
    </row>
    <row r="8" spans="1:9">
      <c r="A8" s="8" t="s">
        <v>799</v>
      </c>
      <c r="B8" s="4" t="s">
        <v>8</v>
      </c>
      <c r="C8" s="4"/>
      <c r="D8" s="279" t="s">
        <v>1748</v>
      </c>
      <c r="E8" s="4" t="s">
        <v>1642</v>
      </c>
      <c r="F8" s="9"/>
      <c r="G8" s="9" t="s">
        <v>1171</v>
      </c>
    </row>
    <row r="9" spans="1:9">
      <c r="A9" s="5" t="s">
        <v>161</v>
      </c>
      <c r="B9" s="4" t="s">
        <v>9</v>
      </c>
      <c r="C9" s="4"/>
      <c r="D9" s="276" t="s">
        <v>1749</v>
      </c>
      <c r="E9" s="273" t="s">
        <v>1647</v>
      </c>
      <c r="F9" s="9"/>
      <c r="G9" s="9" t="s">
        <v>1152</v>
      </c>
    </row>
    <row r="10" spans="1:9">
      <c r="A10" s="5" t="s">
        <v>162</v>
      </c>
      <c r="B10" s="4" t="s">
        <v>10</v>
      </c>
      <c r="C10" s="4"/>
      <c r="D10" s="276" t="s">
        <v>1749</v>
      </c>
      <c r="E10" s="273" t="s">
        <v>1648</v>
      </c>
      <c r="F10" s="9"/>
      <c r="G10" s="9" t="s">
        <v>1151</v>
      </c>
    </row>
    <row r="11" spans="1:9">
      <c r="A11" s="5" t="s">
        <v>244</v>
      </c>
      <c r="B11" s="4" t="s">
        <v>11</v>
      </c>
      <c r="C11" s="4"/>
      <c r="D11" s="279" t="s">
        <v>1748</v>
      </c>
      <c r="E11" s="273" t="s">
        <v>1649</v>
      </c>
      <c r="F11" s="9"/>
      <c r="G11" s="9" t="s">
        <v>1150</v>
      </c>
    </row>
    <row r="12" spans="1:9">
      <c r="A12" s="5" t="s">
        <v>245</v>
      </c>
      <c r="B12" s="4" t="s">
        <v>12</v>
      </c>
      <c r="C12" s="4"/>
      <c r="D12" s="279" t="s">
        <v>1748</v>
      </c>
      <c r="E12" s="273" t="s">
        <v>1629</v>
      </c>
      <c r="F12" s="9"/>
      <c r="G12" s="9" t="s">
        <v>1149</v>
      </c>
    </row>
    <row r="13" spans="1:9">
      <c r="A13" s="5" t="s">
        <v>163</v>
      </c>
      <c r="B13" s="4" t="s">
        <v>13</v>
      </c>
      <c r="C13" s="4"/>
      <c r="D13" s="279" t="s">
        <v>1748</v>
      </c>
      <c r="E13" s="274" t="s">
        <v>1650</v>
      </c>
      <c r="F13" s="9"/>
      <c r="G13" s="9" t="s">
        <v>246</v>
      </c>
    </row>
    <row r="14" spans="1:9">
      <c r="A14" s="5" t="s">
        <v>164</v>
      </c>
      <c r="B14" s="4" t="s">
        <v>14</v>
      </c>
      <c r="C14" s="4"/>
      <c r="D14" s="279" t="s">
        <v>1748</v>
      </c>
      <c r="E14" s="273" t="s">
        <v>1651</v>
      </c>
      <c r="F14" s="9"/>
      <c r="G14" s="9" t="s">
        <v>1148</v>
      </c>
    </row>
    <row r="15" spans="1:9">
      <c r="A15" s="5" t="s">
        <v>165</v>
      </c>
      <c r="B15" s="4" t="s">
        <v>15</v>
      </c>
      <c r="C15" s="4"/>
      <c r="D15" s="279" t="s">
        <v>1748</v>
      </c>
      <c r="E15" s="4" t="s">
        <v>1527</v>
      </c>
      <c r="F15" s="9"/>
      <c r="G15" s="9" t="s">
        <v>247</v>
      </c>
    </row>
    <row r="16" spans="1:9">
      <c r="A16" s="8" t="s">
        <v>166</v>
      </c>
      <c r="B16" s="4" t="s">
        <v>16</v>
      </c>
      <c r="C16" s="4"/>
      <c r="D16" s="276"/>
      <c r="E16" s="4" t="s">
        <v>1525</v>
      </c>
      <c r="F16" s="9" t="s">
        <v>1631</v>
      </c>
      <c r="G16" s="9"/>
    </row>
    <row r="17" spans="1:8">
      <c r="A17" s="8" t="s">
        <v>166</v>
      </c>
      <c r="B17" s="4" t="s">
        <v>17</v>
      </c>
      <c r="C17" s="4"/>
      <c r="D17" s="276"/>
      <c r="E17" s="4" t="s">
        <v>1526</v>
      </c>
      <c r="F17" s="9" t="s">
        <v>1631</v>
      </c>
      <c r="G17" s="9"/>
    </row>
    <row r="18" spans="1:8">
      <c r="A18" s="8" t="s">
        <v>166</v>
      </c>
      <c r="B18" s="4" t="s">
        <v>18</v>
      </c>
      <c r="C18" s="4"/>
      <c r="D18" s="276"/>
      <c r="E18" s="4" t="s">
        <v>1626</v>
      </c>
      <c r="F18" s="9" t="s">
        <v>1631</v>
      </c>
      <c r="G18" s="9"/>
    </row>
    <row r="19" spans="1:8">
      <c r="A19" s="8" t="s">
        <v>166</v>
      </c>
      <c r="B19" s="4" t="s">
        <v>19</v>
      </c>
      <c r="C19" s="9"/>
      <c r="D19" s="275"/>
      <c r="E19" s="9" t="s">
        <v>1627</v>
      </c>
      <c r="F19" s="9" t="s">
        <v>1631</v>
      </c>
      <c r="G19" s="9"/>
    </row>
    <row r="20" spans="1:8">
      <c r="A20" s="8" t="s">
        <v>166</v>
      </c>
      <c r="B20" s="4" t="s">
        <v>20</v>
      </c>
      <c r="C20" s="9"/>
      <c r="D20" s="275"/>
      <c r="E20" s="9" t="s">
        <v>1628</v>
      </c>
      <c r="F20" s="9" t="s">
        <v>1631</v>
      </c>
      <c r="G20" s="9"/>
    </row>
    <row r="21" spans="1:8">
      <c r="A21" s="6" t="s">
        <v>147</v>
      </c>
      <c r="B21" s="4" t="s">
        <v>21</v>
      </c>
      <c r="C21" s="284" t="s">
        <v>1498</v>
      </c>
      <c r="D21" s="280" t="s">
        <v>1749</v>
      </c>
      <c r="E21" s="271" t="s">
        <v>1652</v>
      </c>
      <c r="F21" s="271"/>
      <c r="G21" s="9" t="s">
        <v>241</v>
      </c>
    </row>
    <row r="22" spans="1:8">
      <c r="A22" s="3" t="s">
        <v>148</v>
      </c>
      <c r="B22" s="4" t="s">
        <v>22</v>
      </c>
      <c r="C22" s="285"/>
      <c r="D22" s="280" t="s">
        <v>1749</v>
      </c>
      <c r="E22" s="271" t="s">
        <v>1653</v>
      </c>
      <c r="F22" s="271"/>
      <c r="G22" s="9"/>
    </row>
    <row r="23" spans="1:8" ht="75">
      <c r="A23" s="3" t="s">
        <v>149</v>
      </c>
      <c r="B23" s="4" t="s">
        <v>23</v>
      </c>
      <c r="C23" s="285"/>
      <c r="D23" s="34" t="s">
        <v>1749</v>
      </c>
      <c r="E23" s="272" t="s">
        <v>1743</v>
      </c>
      <c r="F23" s="272"/>
      <c r="G23" s="9" t="s">
        <v>1089</v>
      </c>
      <c r="H23" s="17" t="s">
        <v>1153</v>
      </c>
    </row>
    <row r="24" spans="1:8">
      <c r="A24" s="7" t="s">
        <v>1172</v>
      </c>
      <c r="B24" s="4" t="s">
        <v>24</v>
      </c>
      <c r="C24" s="285"/>
      <c r="D24" s="280"/>
      <c r="E24" s="271" t="s">
        <v>1657</v>
      </c>
      <c r="F24" s="271"/>
      <c r="G24" s="9" t="s">
        <v>1178</v>
      </c>
      <c r="H24" t="s">
        <v>763</v>
      </c>
    </row>
    <row r="25" spans="1:8">
      <c r="A25" s="3" t="s">
        <v>1173</v>
      </c>
      <c r="B25" s="4" t="s">
        <v>25</v>
      </c>
      <c r="C25" s="285"/>
      <c r="D25" s="280"/>
      <c r="E25" s="271" t="s">
        <v>1658</v>
      </c>
      <c r="F25" s="271"/>
      <c r="G25" s="9" t="s">
        <v>1178</v>
      </c>
      <c r="H25" t="s">
        <v>763</v>
      </c>
    </row>
    <row r="26" spans="1:8">
      <c r="A26" s="7" t="s">
        <v>150</v>
      </c>
      <c r="B26" s="4" t="s">
        <v>26</v>
      </c>
      <c r="C26" s="285"/>
      <c r="D26" s="280"/>
      <c r="E26" s="271" t="s">
        <v>1659</v>
      </c>
      <c r="F26" s="271"/>
      <c r="G26" s="9"/>
      <c r="H26" t="s">
        <v>763</v>
      </c>
    </row>
    <row r="27" spans="1:8">
      <c r="A27" s="3" t="s">
        <v>151</v>
      </c>
      <c r="B27" s="4" t="s">
        <v>27</v>
      </c>
      <c r="C27" s="285"/>
      <c r="D27" s="280"/>
      <c r="E27" s="271" t="s">
        <v>1660</v>
      </c>
      <c r="F27" s="271"/>
      <c r="G27" s="9"/>
      <c r="H27" t="s">
        <v>763</v>
      </c>
    </row>
    <row r="28" spans="1:8" ht="75">
      <c r="A28" s="3" t="s">
        <v>152</v>
      </c>
      <c r="B28" s="4" t="s">
        <v>28</v>
      </c>
      <c r="C28" s="286"/>
      <c r="D28" s="281" t="s">
        <v>1748</v>
      </c>
      <c r="E28" s="271" t="s">
        <v>1661</v>
      </c>
      <c r="F28" s="271"/>
      <c r="G28" s="9" t="s">
        <v>919</v>
      </c>
      <c r="H28" s="17" t="s">
        <v>1156</v>
      </c>
    </row>
    <row r="29" spans="1:8">
      <c r="A29" s="3" t="s">
        <v>153</v>
      </c>
      <c r="B29" s="4" t="s">
        <v>29</v>
      </c>
      <c r="C29" s="284" t="s">
        <v>1499</v>
      </c>
      <c r="D29" s="280"/>
      <c r="E29" s="271" t="s">
        <v>1662</v>
      </c>
      <c r="F29" s="271"/>
      <c r="G29" s="9" t="s">
        <v>242</v>
      </c>
    </row>
    <row r="30" spans="1:8">
      <c r="A30" s="5" t="s">
        <v>154</v>
      </c>
      <c r="B30" s="4" t="s">
        <v>30</v>
      </c>
      <c r="C30" s="285"/>
      <c r="D30" s="280"/>
      <c r="E30" s="271" t="s">
        <v>1663</v>
      </c>
      <c r="F30" s="271"/>
      <c r="G30" s="9"/>
    </row>
    <row r="31" spans="1:8" ht="75">
      <c r="A31" s="265" t="s">
        <v>155</v>
      </c>
      <c r="B31" s="4" t="s">
        <v>93</v>
      </c>
      <c r="C31" s="285"/>
      <c r="D31" s="280"/>
      <c r="E31" s="272" t="s">
        <v>1666</v>
      </c>
      <c r="F31" s="272"/>
      <c r="G31" s="9" t="s">
        <v>1089</v>
      </c>
      <c r="H31" s="17" t="s">
        <v>1154</v>
      </c>
    </row>
    <row r="32" spans="1:8">
      <c r="A32" s="3" t="s">
        <v>1174</v>
      </c>
      <c r="B32" s="4" t="s">
        <v>94</v>
      </c>
      <c r="C32" s="285"/>
      <c r="D32" s="280"/>
      <c r="E32" s="271" t="s">
        <v>1667</v>
      </c>
      <c r="F32" s="271"/>
      <c r="G32" s="9" t="s">
        <v>1178</v>
      </c>
      <c r="H32" t="s">
        <v>763</v>
      </c>
    </row>
    <row r="33" spans="1:8">
      <c r="A33" s="6" t="s">
        <v>1175</v>
      </c>
      <c r="B33" s="4" t="s">
        <v>95</v>
      </c>
      <c r="C33" s="285"/>
      <c r="D33" s="280"/>
      <c r="E33" s="271" t="s">
        <v>1668</v>
      </c>
      <c r="F33" s="271"/>
      <c r="G33" s="9" t="s">
        <v>1178</v>
      </c>
      <c r="H33" t="s">
        <v>763</v>
      </c>
    </row>
    <row r="34" spans="1:8">
      <c r="A34" s="3" t="s">
        <v>156</v>
      </c>
      <c r="B34" s="4" t="s">
        <v>96</v>
      </c>
      <c r="C34" s="285"/>
      <c r="D34" s="280"/>
      <c r="E34" s="271" t="s">
        <v>1669</v>
      </c>
      <c r="F34" s="271"/>
      <c r="G34" s="9" t="s">
        <v>800</v>
      </c>
      <c r="H34" t="s">
        <v>763</v>
      </c>
    </row>
    <row r="35" spans="1:8">
      <c r="A35" s="6" t="s">
        <v>157</v>
      </c>
      <c r="B35" s="4" t="s">
        <v>97</v>
      </c>
      <c r="C35" s="285"/>
      <c r="D35" s="280"/>
      <c r="E35" s="271" t="s">
        <v>1664</v>
      </c>
      <c r="F35" s="271"/>
      <c r="G35" s="9" t="s">
        <v>800</v>
      </c>
      <c r="H35" t="s">
        <v>763</v>
      </c>
    </row>
    <row r="36" spans="1:8" ht="75">
      <c r="A36" s="6" t="s">
        <v>158</v>
      </c>
      <c r="B36" s="4" t="s">
        <v>98</v>
      </c>
      <c r="C36" s="286"/>
      <c r="D36" s="281" t="s">
        <v>1748</v>
      </c>
      <c r="E36" s="271" t="s">
        <v>1665</v>
      </c>
      <c r="F36" s="271"/>
      <c r="G36" s="9" t="s">
        <v>919</v>
      </c>
      <c r="H36" s="17" t="s">
        <v>1157</v>
      </c>
    </row>
    <row r="37" spans="1:8">
      <c r="A37" s="9" t="s">
        <v>924</v>
      </c>
      <c r="B37" s="4" t="s">
        <v>99</v>
      </c>
      <c r="C37" s="284" t="s">
        <v>1500</v>
      </c>
      <c r="D37" s="280"/>
      <c r="E37" s="271" t="s">
        <v>1670</v>
      </c>
      <c r="F37" s="271"/>
      <c r="G37" s="9"/>
    </row>
    <row r="38" spans="1:8">
      <c r="A38" s="9" t="s">
        <v>925</v>
      </c>
      <c r="B38" s="4" t="s">
        <v>100</v>
      </c>
      <c r="C38" s="285"/>
      <c r="D38" s="280"/>
      <c r="E38" s="271" t="s">
        <v>1671</v>
      </c>
      <c r="F38" s="271"/>
      <c r="G38" s="9"/>
    </row>
    <row r="39" spans="1:8" ht="75">
      <c r="A39" s="9" t="s">
        <v>926</v>
      </c>
      <c r="B39" s="4" t="s">
        <v>101</v>
      </c>
      <c r="C39" s="285"/>
      <c r="D39" s="280"/>
      <c r="E39" s="272" t="s">
        <v>1674</v>
      </c>
      <c r="F39" s="272"/>
      <c r="G39" s="9" t="s">
        <v>1089</v>
      </c>
      <c r="H39" s="17" t="s">
        <v>1155</v>
      </c>
    </row>
    <row r="40" spans="1:8">
      <c r="A40" s="9" t="s">
        <v>1176</v>
      </c>
      <c r="B40" s="4" t="s">
        <v>102</v>
      </c>
      <c r="C40" s="285"/>
      <c r="D40" s="280"/>
      <c r="E40" s="271" t="s">
        <v>1675</v>
      </c>
      <c r="F40" s="271"/>
      <c r="G40" s="9" t="s">
        <v>1178</v>
      </c>
      <c r="H40" t="s">
        <v>763</v>
      </c>
    </row>
    <row r="41" spans="1:8">
      <c r="A41" s="9" t="s">
        <v>1177</v>
      </c>
      <c r="B41" s="4" t="s">
        <v>103</v>
      </c>
      <c r="C41" s="285"/>
      <c r="D41" s="280"/>
      <c r="E41" s="271" t="s">
        <v>1676</v>
      </c>
      <c r="F41" s="271"/>
      <c r="G41" s="9" t="s">
        <v>1178</v>
      </c>
      <c r="H41" t="s">
        <v>763</v>
      </c>
    </row>
    <row r="42" spans="1:8">
      <c r="A42" s="9" t="s">
        <v>927</v>
      </c>
      <c r="B42" s="4" t="s">
        <v>104</v>
      </c>
      <c r="C42" s="285"/>
      <c r="D42" s="280"/>
      <c r="E42" s="271" t="s">
        <v>1677</v>
      </c>
      <c r="F42" s="271"/>
      <c r="G42" s="9"/>
      <c r="H42" t="s">
        <v>763</v>
      </c>
    </row>
    <row r="43" spans="1:8">
      <c r="A43" s="9" t="s">
        <v>928</v>
      </c>
      <c r="B43" s="4" t="s">
        <v>105</v>
      </c>
      <c r="C43" s="285"/>
      <c r="D43" s="280"/>
      <c r="E43" s="271" t="s">
        <v>1672</v>
      </c>
      <c r="F43" s="271"/>
      <c r="G43" s="9"/>
      <c r="H43" t="s">
        <v>763</v>
      </c>
    </row>
    <row r="44" spans="1:8" ht="75">
      <c r="A44" s="9" t="s">
        <v>929</v>
      </c>
      <c r="B44" s="4" t="s">
        <v>106</v>
      </c>
      <c r="C44" s="286"/>
      <c r="D44" s="281" t="s">
        <v>1748</v>
      </c>
      <c r="E44" s="271" t="s">
        <v>1673</v>
      </c>
      <c r="F44" s="271"/>
      <c r="G44" s="9" t="s">
        <v>919</v>
      </c>
      <c r="H44" s="17" t="s">
        <v>1158</v>
      </c>
    </row>
    <row r="45" spans="1:8" ht="75">
      <c r="A45" s="5" t="s">
        <v>1159</v>
      </c>
      <c r="B45" s="4" t="s">
        <v>107</v>
      </c>
      <c r="C45" s="4" t="s">
        <v>1504</v>
      </c>
      <c r="D45" s="279" t="s">
        <v>1748</v>
      </c>
      <c r="E45" s="273" t="s">
        <v>1678</v>
      </c>
      <c r="F45" s="4"/>
      <c r="G45" s="9" t="s">
        <v>919</v>
      </c>
      <c r="H45" s="17" t="s">
        <v>1162</v>
      </c>
    </row>
    <row r="46" spans="1:8" ht="75">
      <c r="A46" s="5" t="s">
        <v>1160</v>
      </c>
      <c r="B46" s="4" t="s">
        <v>108</v>
      </c>
      <c r="C46" s="4" t="s">
        <v>1504</v>
      </c>
      <c r="D46" s="279" t="s">
        <v>1748</v>
      </c>
      <c r="E46" s="273" t="s">
        <v>1679</v>
      </c>
      <c r="F46" s="4"/>
      <c r="G46" s="9" t="s">
        <v>919</v>
      </c>
      <c r="H46" s="17" t="s">
        <v>1162</v>
      </c>
    </row>
    <row r="47" spans="1:8" ht="75">
      <c r="A47" s="5" t="s">
        <v>1161</v>
      </c>
      <c r="B47" s="4" t="s">
        <v>109</v>
      </c>
      <c r="C47" s="4" t="s">
        <v>1505</v>
      </c>
      <c r="D47" s="279" t="s">
        <v>1748</v>
      </c>
      <c r="E47" s="273" t="s">
        <v>1680</v>
      </c>
      <c r="F47" s="4"/>
      <c r="G47" s="9" t="s">
        <v>919</v>
      </c>
      <c r="H47" s="17" t="s">
        <v>1162</v>
      </c>
    </row>
    <row r="48" spans="1:8" ht="75">
      <c r="A48" s="5" t="s">
        <v>159</v>
      </c>
      <c r="B48" s="4" t="s">
        <v>110</v>
      </c>
      <c r="C48" s="4" t="s">
        <v>1503</v>
      </c>
      <c r="D48" s="279" t="s">
        <v>1748</v>
      </c>
      <c r="E48" s="4" t="s">
        <v>1681</v>
      </c>
      <c r="F48" s="4"/>
      <c r="G48" s="9" t="s">
        <v>919</v>
      </c>
      <c r="H48" s="17" t="s">
        <v>1162</v>
      </c>
    </row>
    <row r="49" spans="1:8" ht="75">
      <c r="A49" s="5" t="s">
        <v>160</v>
      </c>
      <c r="B49" s="4" t="s">
        <v>111</v>
      </c>
      <c r="C49" s="4" t="s">
        <v>1506</v>
      </c>
      <c r="D49" s="279" t="s">
        <v>1748</v>
      </c>
      <c r="E49" s="4" t="s">
        <v>1529</v>
      </c>
      <c r="F49" s="4"/>
      <c r="G49" s="9" t="s">
        <v>919</v>
      </c>
      <c r="H49" s="17" t="s">
        <v>1162</v>
      </c>
    </row>
    <row r="50" spans="1:8">
      <c r="A50" s="3" t="s">
        <v>918</v>
      </c>
      <c r="B50" s="4" t="s">
        <v>112</v>
      </c>
      <c r="C50" s="4" t="s">
        <v>1503</v>
      </c>
      <c r="D50" s="279" t="s">
        <v>1748</v>
      </c>
      <c r="E50" s="4" t="s">
        <v>1697</v>
      </c>
      <c r="F50" s="4"/>
      <c r="G50" s="9" t="s">
        <v>240</v>
      </c>
      <c r="H50" t="s">
        <v>763</v>
      </c>
    </row>
    <row r="51" spans="1:8">
      <c r="A51" s="3" t="s">
        <v>144</v>
      </c>
      <c r="B51" s="4" t="s">
        <v>113</v>
      </c>
      <c r="C51" s="4" t="s">
        <v>1503</v>
      </c>
      <c r="D51" s="279" t="s">
        <v>1748</v>
      </c>
      <c r="E51" s="4" t="s">
        <v>1696</v>
      </c>
      <c r="F51" s="4"/>
      <c r="G51" s="9" t="s">
        <v>240</v>
      </c>
      <c r="H51" t="s">
        <v>763</v>
      </c>
    </row>
    <row r="52" spans="1:8">
      <c r="A52" s="3" t="s">
        <v>145</v>
      </c>
      <c r="B52" s="4" t="s">
        <v>114</v>
      </c>
      <c r="C52" s="4" t="s">
        <v>1503</v>
      </c>
      <c r="D52" s="276" t="s">
        <v>1749</v>
      </c>
      <c r="E52" s="4" t="s">
        <v>1682</v>
      </c>
      <c r="F52" s="4"/>
      <c r="G52" s="9" t="s">
        <v>240</v>
      </c>
      <c r="H52" t="s">
        <v>763</v>
      </c>
    </row>
    <row r="53" spans="1:8">
      <c r="A53" s="5" t="s">
        <v>146</v>
      </c>
      <c r="B53" s="4" t="s">
        <v>115</v>
      </c>
      <c r="C53" s="4" t="s">
        <v>1503</v>
      </c>
      <c r="D53" s="276" t="s">
        <v>1749</v>
      </c>
      <c r="E53" s="4" t="s">
        <v>1683</v>
      </c>
      <c r="F53" s="4"/>
      <c r="G53" s="9" t="s">
        <v>240</v>
      </c>
      <c r="H53" t="s">
        <v>763</v>
      </c>
    </row>
    <row r="54" spans="1:8">
      <c r="A54" s="268" t="s">
        <v>1619</v>
      </c>
      <c r="B54" s="4" t="s">
        <v>116</v>
      </c>
      <c r="C54" s="267" t="s">
        <v>1623</v>
      </c>
      <c r="D54" s="277" t="s">
        <v>1748</v>
      </c>
      <c r="E54" s="4" t="s">
        <v>1736</v>
      </c>
      <c r="F54" s="4"/>
      <c r="G54" s="9" t="s">
        <v>1343</v>
      </c>
      <c r="H54" t="s">
        <v>763</v>
      </c>
    </row>
    <row r="55" spans="1:8">
      <c r="A55" s="268" t="s">
        <v>1620</v>
      </c>
      <c r="B55" s="4" t="s">
        <v>117</v>
      </c>
      <c r="C55" s="267" t="s">
        <v>1623</v>
      </c>
      <c r="D55" s="275" t="s">
        <v>1749</v>
      </c>
      <c r="E55" s="4" t="s">
        <v>1737</v>
      </c>
      <c r="F55" s="4"/>
      <c r="G55" s="9" t="s">
        <v>1343</v>
      </c>
      <c r="H55" t="s">
        <v>763</v>
      </c>
    </row>
    <row r="56" spans="1:8">
      <c r="A56" s="268" t="s">
        <v>1621</v>
      </c>
      <c r="B56" s="4" t="s">
        <v>118</v>
      </c>
      <c r="C56" s="267" t="s">
        <v>1623</v>
      </c>
      <c r="D56" s="275" t="s">
        <v>1749</v>
      </c>
      <c r="E56" s="4" t="s">
        <v>1738</v>
      </c>
      <c r="F56" s="4"/>
      <c r="G56" s="9" t="s">
        <v>1343</v>
      </c>
      <c r="H56" t="s">
        <v>763</v>
      </c>
    </row>
    <row r="57" spans="1:8">
      <c r="A57" s="268" t="s">
        <v>1622</v>
      </c>
      <c r="B57" s="4" t="s">
        <v>119</v>
      </c>
      <c r="C57" s="267" t="s">
        <v>1623</v>
      </c>
      <c r="D57" s="277" t="s">
        <v>1748</v>
      </c>
      <c r="E57" s="4" t="s">
        <v>1739</v>
      </c>
      <c r="F57" s="4"/>
      <c r="G57" s="9"/>
      <c r="H57" t="s">
        <v>763</v>
      </c>
    </row>
    <row r="58" spans="1:8">
      <c r="A58" s="9" t="s">
        <v>166</v>
      </c>
      <c r="B58" s="4" t="s">
        <v>120</v>
      </c>
      <c r="C58" s="4"/>
      <c r="D58" s="276"/>
      <c r="E58" s="4" t="s">
        <v>1530</v>
      </c>
      <c r="F58" s="9" t="s">
        <v>1631</v>
      </c>
      <c r="G58" s="9"/>
      <c r="H58" t="s">
        <v>763</v>
      </c>
    </row>
    <row r="59" spans="1:8">
      <c r="A59" s="9" t="s">
        <v>906</v>
      </c>
      <c r="B59" s="4" t="s">
        <v>121</v>
      </c>
      <c r="C59" s="4" t="s">
        <v>1501</v>
      </c>
      <c r="D59" s="277" t="s">
        <v>1748</v>
      </c>
      <c r="E59" s="4" t="s">
        <v>1684</v>
      </c>
      <c r="F59" s="4"/>
      <c r="G59" s="9" t="s">
        <v>909</v>
      </c>
      <c r="H59" t="s">
        <v>763</v>
      </c>
    </row>
    <row r="60" spans="1:8">
      <c r="A60" s="9" t="s">
        <v>907</v>
      </c>
      <c r="B60" s="4" t="s">
        <v>122</v>
      </c>
      <c r="C60" s="4" t="s">
        <v>1501</v>
      </c>
      <c r="D60" s="277" t="s">
        <v>1748</v>
      </c>
      <c r="E60" s="4" t="s">
        <v>1685</v>
      </c>
      <c r="F60" s="4"/>
      <c r="G60" s="9"/>
      <c r="H60" t="s">
        <v>763</v>
      </c>
    </row>
    <row r="61" spans="1:8">
      <c r="A61" s="9" t="s">
        <v>908</v>
      </c>
      <c r="B61" s="4" t="s">
        <v>123</v>
      </c>
      <c r="C61" s="4" t="s">
        <v>1501</v>
      </c>
      <c r="D61" s="277" t="s">
        <v>1748</v>
      </c>
      <c r="E61" s="4" t="s">
        <v>1686</v>
      </c>
      <c r="F61" s="4"/>
      <c r="G61" s="9"/>
      <c r="H61" t="s">
        <v>763</v>
      </c>
    </row>
    <row r="62" spans="1:8">
      <c r="A62" s="9" t="s">
        <v>166</v>
      </c>
      <c r="B62" s="4" t="s">
        <v>124</v>
      </c>
      <c r="C62" s="4"/>
      <c r="D62" s="276"/>
      <c r="E62" s="4" t="s">
        <v>1531</v>
      </c>
      <c r="F62" s="9" t="s">
        <v>1631</v>
      </c>
      <c r="G62" s="9"/>
      <c r="H62" t="s">
        <v>763</v>
      </c>
    </row>
    <row r="63" spans="1:8">
      <c r="A63" s="9" t="s">
        <v>166</v>
      </c>
      <c r="B63" s="4" t="s">
        <v>125</v>
      </c>
      <c r="C63" s="4"/>
      <c r="D63" s="276"/>
      <c r="E63" s="4" t="s">
        <v>1532</v>
      </c>
      <c r="F63" s="9" t="s">
        <v>1631</v>
      </c>
      <c r="G63" s="9"/>
      <c r="H63" t="s">
        <v>763</v>
      </c>
    </row>
    <row r="64" spans="1:8">
      <c r="A64" s="9" t="s">
        <v>166</v>
      </c>
      <c r="B64" s="4" t="s">
        <v>126</v>
      </c>
      <c r="C64" s="4"/>
      <c r="D64" s="276"/>
      <c r="E64" s="4" t="s">
        <v>1533</v>
      </c>
      <c r="F64" s="9" t="s">
        <v>1631</v>
      </c>
      <c r="G64" s="9"/>
      <c r="H64" t="s">
        <v>763</v>
      </c>
    </row>
    <row r="65" spans="1:8">
      <c r="A65" s="9" t="s">
        <v>166</v>
      </c>
      <c r="B65" s="4" t="s">
        <v>127</v>
      </c>
      <c r="C65" s="4"/>
      <c r="D65" s="276"/>
      <c r="E65" s="4" t="s">
        <v>1534</v>
      </c>
      <c r="F65" s="9" t="s">
        <v>1631</v>
      </c>
      <c r="G65" s="9"/>
      <c r="H65" t="s">
        <v>763</v>
      </c>
    </row>
    <row r="66" spans="1:8">
      <c r="A66" s="9" t="s">
        <v>166</v>
      </c>
      <c r="B66" s="4" t="s">
        <v>128</v>
      </c>
      <c r="C66" s="4"/>
      <c r="D66" s="276"/>
      <c r="E66" s="4" t="s">
        <v>1535</v>
      </c>
      <c r="F66" s="9" t="s">
        <v>1631</v>
      </c>
      <c r="G66" s="9"/>
      <c r="H66" t="s">
        <v>763</v>
      </c>
    </row>
    <row r="67" spans="1:8">
      <c r="A67" s="9" t="s">
        <v>166</v>
      </c>
      <c r="B67" s="4" t="s">
        <v>129</v>
      </c>
      <c r="C67" s="4"/>
      <c r="D67" s="276"/>
      <c r="E67" s="4" t="s">
        <v>1536</v>
      </c>
      <c r="F67" s="9" t="s">
        <v>1631</v>
      </c>
      <c r="G67" s="9"/>
      <c r="H67" t="s">
        <v>763</v>
      </c>
    </row>
    <row r="68" spans="1:8">
      <c r="A68" s="9" t="s">
        <v>1349</v>
      </c>
      <c r="B68" s="4" t="s">
        <v>130</v>
      </c>
      <c r="C68" s="4"/>
      <c r="D68" s="276" t="s">
        <v>1749</v>
      </c>
      <c r="E68" s="4" t="s">
        <v>1543</v>
      </c>
      <c r="F68" s="4"/>
      <c r="G68" s="9"/>
      <c r="H68" t="s">
        <v>917</v>
      </c>
    </row>
    <row r="69" spans="1:8">
      <c r="A69" s="9" t="s">
        <v>747</v>
      </c>
      <c r="B69" s="4" t="s">
        <v>131</v>
      </c>
      <c r="C69" s="4"/>
      <c r="D69" s="276" t="s">
        <v>1749</v>
      </c>
      <c r="E69" s="4" t="s">
        <v>1544</v>
      </c>
      <c r="F69" s="4"/>
      <c r="G69" s="9"/>
      <c r="H69" t="s">
        <v>917</v>
      </c>
    </row>
    <row r="70" spans="1:8">
      <c r="A70" s="9" t="s">
        <v>746</v>
      </c>
      <c r="B70" s="4" t="s">
        <v>132</v>
      </c>
      <c r="C70" s="4" t="s">
        <v>1507</v>
      </c>
      <c r="D70" s="276" t="s">
        <v>1749</v>
      </c>
      <c r="E70" s="4" t="s">
        <v>1545</v>
      </c>
      <c r="F70" s="4"/>
      <c r="G70" s="9" t="s">
        <v>1489</v>
      </c>
      <c r="H70" t="s">
        <v>917</v>
      </c>
    </row>
    <row r="71" spans="1:8">
      <c r="A71" s="9" t="s">
        <v>1348</v>
      </c>
      <c r="B71" s="4" t="s">
        <v>133</v>
      </c>
      <c r="C71" s="4" t="s">
        <v>1507</v>
      </c>
      <c r="D71" s="276" t="s">
        <v>1749</v>
      </c>
      <c r="E71" s="4" t="s">
        <v>1546</v>
      </c>
      <c r="F71" s="4"/>
      <c r="G71" s="9" t="s">
        <v>1489</v>
      </c>
      <c r="H71" t="s">
        <v>917</v>
      </c>
    </row>
    <row r="72" spans="1:8">
      <c r="A72" s="9" t="s">
        <v>748</v>
      </c>
      <c r="B72" s="4" t="s">
        <v>134</v>
      </c>
      <c r="C72" s="4" t="s">
        <v>1507</v>
      </c>
      <c r="D72" s="276" t="s">
        <v>1749</v>
      </c>
      <c r="E72" s="4" t="s">
        <v>1547</v>
      </c>
      <c r="F72" s="4"/>
      <c r="G72" s="9"/>
      <c r="H72" t="s">
        <v>917</v>
      </c>
    </row>
    <row r="73" spans="1:8">
      <c r="A73" s="9" t="s">
        <v>749</v>
      </c>
      <c r="B73" s="4" t="s">
        <v>135</v>
      </c>
      <c r="C73" s="4" t="s">
        <v>1507</v>
      </c>
      <c r="D73" s="279" t="s">
        <v>1748</v>
      </c>
      <c r="E73" s="4" t="s">
        <v>1548</v>
      </c>
      <c r="F73" s="4"/>
      <c r="G73" s="9"/>
      <c r="H73" t="s">
        <v>917</v>
      </c>
    </row>
    <row r="74" spans="1:8">
      <c r="A74" s="9" t="s">
        <v>750</v>
      </c>
      <c r="B74" s="4" t="s">
        <v>136</v>
      </c>
      <c r="C74" s="4" t="s">
        <v>1507</v>
      </c>
      <c r="D74" s="279" t="s">
        <v>1748</v>
      </c>
      <c r="E74" s="4" t="s">
        <v>1549</v>
      </c>
      <c r="F74" s="4"/>
      <c r="G74" s="9"/>
      <c r="H74" t="s">
        <v>917</v>
      </c>
    </row>
    <row r="75" spans="1:8">
      <c r="A75" s="9" t="s">
        <v>751</v>
      </c>
      <c r="B75" s="4" t="s">
        <v>137</v>
      </c>
      <c r="C75" s="4" t="s">
        <v>1507</v>
      </c>
      <c r="D75" s="279" t="s">
        <v>1748</v>
      </c>
      <c r="E75" s="4" t="s">
        <v>1687</v>
      </c>
      <c r="F75" s="4"/>
      <c r="G75" s="9"/>
      <c r="H75" t="s">
        <v>917</v>
      </c>
    </row>
    <row r="76" spans="1:8">
      <c r="A76" s="9" t="s">
        <v>166</v>
      </c>
      <c r="B76" s="4" t="s">
        <v>138</v>
      </c>
      <c r="C76" s="4"/>
      <c r="D76" s="276"/>
      <c r="E76" s="4" t="s">
        <v>1537</v>
      </c>
      <c r="F76" s="9" t="s">
        <v>1631</v>
      </c>
      <c r="G76" s="9"/>
      <c r="H76" t="s">
        <v>917</v>
      </c>
    </row>
    <row r="77" spans="1:8">
      <c r="A77" s="9" t="s">
        <v>166</v>
      </c>
      <c r="B77" s="4" t="s">
        <v>139</v>
      </c>
      <c r="C77" s="4"/>
      <c r="D77" s="276"/>
      <c r="E77" s="4" t="s">
        <v>1538</v>
      </c>
      <c r="F77" s="9" t="s">
        <v>1631</v>
      </c>
      <c r="G77" s="9"/>
      <c r="H77" t="s">
        <v>917</v>
      </c>
    </row>
    <row r="78" spans="1:8">
      <c r="A78" s="9" t="s">
        <v>1347</v>
      </c>
      <c r="B78" s="4" t="s">
        <v>140</v>
      </c>
      <c r="C78" s="4"/>
      <c r="D78" s="276"/>
      <c r="E78" s="4" t="s">
        <v>1550</v>
      </c>
      <c r="F78" s="4"/>
      <c r="G78" s="9"/>
      <c r="H78" t="s">
        <v>917</v>
      </c>
    </row>
    <row r="79" spans="1:8">
      <c r="A79" s="9" t="s">
        <v>752</v>
      </c>
      <c r="B79" s="4" t="s">
        <v>141</v>
      </c>
      <c r="C79" s="4"/>
      <c r="D79" s="276"/>
      <c r="E79" s="4" t="s">
        <v>1551</v>
      </c>
      <c r="F79" s="4"/>
      <c r="G79" s="9"/>
      <c r="H79" t="s">
        <v>917</v>
      </c>
    </row>
    <row r="80" spans="1:8">
      <c r="A80" s="9" t="s">
        <v>1488</v>
      </c>
      <c r="B80" s="4" t="s">
        <v>142</v>
      </c>
      <c r="C80" s="4" t="s">
        <v>1507</v>
      </c>
      <c r="D80" s="276"/>
      <c r="E80" s="4" t="s">
        <v>1552</v>
      </c>
      <c r="F80" s="4"/>
      <c r="G80" s="9" t="s">
        <v>1489</v>
      </c>
      <c r="H80" t="s">
        <v>917</v>
      </c>
    </row>
    <row r="81" spans="1:8">
      <c r="A81" s="9" t="s">
        <v>1346</v>
      </c>
      <c r="B81" s="4" t="s">
        <v>143</v>
      </c>
      <c r="C81" s="4" t="s">
        <v>1507</v>
      </c>
      <c r="D81" s="276"/>
      <c r="E81" s="4" t="s">
        <v>1553</v>
      </c>
      <c r="F81" s="4"/>
      <c r="G81" s="9" t="s">
        <v>1489</v>
      </c>
      <c r="H81" t="s">
        <v>917</v>
      </c>
    </row>
    <row r="82" spans="1:8">
      <c r="A82" s="9" t="s">
        <v>753</v>
      </c>
      <c r="B82" s="4" t="s">
        <v>766</v>
      </c>
      <c r="C82" s="4" t="s">
        <v>1507</v>
      </c>
      <c r="D82" s="276"/>
      <c r="E82" s="4" t="s">
        <v>1554</v>
      </c>
      <c r="F82" s="4"/>
      <c r="G82" s="9"/>
      <c r="H82" t="s">
        <v>917</v>
      </c>
    </row>
    <row r="83" spans="1:8">
      <c r="A83" s="9" t="s">
        <v>754</v>
      </c>
      <c r="B83" s="4" t="s">
        <v>767</v>
      </c>
      <c r="C83" s="4" t="s">
        <v>1507</v>
      </c>
      <c r="D83" s="279" t="s">
        <v>1748</v>
      </c>
      <c r="E83" s="4" t="s">
        <v>1555</v>
      </c>
      <c r="F83" s="4"/>
      <c r="G83" s="9"/>
      <c r="H83" t="s">
        <v>917</v>
      </c>
    </row>
    <row r="84" spans="1:8">
      <c r="A84" s="9" t="s">
        <v>755</v>
      </c>
      <c r="B84" s="4" t="s">
        <v>768</v>
      </c>
      <c r="C84" s="4" t="s">
        <v>1507</v>
      </c>
      <c r="D84" s="279" t="s">
        <v>1748</v>
      </c>
      <c r="E84" s="4" t="s">
        <v>1556</v>
      </c>
      <c r="F84" s="4"/>
      <c r="G84" s="10"/>
      <c r="H84" t="s">
        <v>917</v>
      </c>
    </row>
    <row r="85" spans="1:8">
      <c r="A85" s="9" t="s">
        <v>756</v>
      </c>
      <c r="B85" s="4" t="s">
        <v>769</v>
      </c>
      <c r="C85" s="4" t="s">
        <v>1507</v>
      </c>
      <c r="D85" s="279" t="s">
        <v>1748</v>
      </c>
      <c r="E85" s="4" t="s">
        <v>1688</v>
      </c>
      <c r="F85" s="4"/>
      <c r="G85" s="9"/>
      <c r="H85" t="s">
        <v>917</v>
      </c>
    </row>
    <row r="86" spans="1:8">
      <c r="A86" s="9" t="s">
        <v>166</v>
      </c>
      <c r="B86" s="4" t="s">
        <v>770</v>
      </c>
      <c r="C86" s="4"/>
      <c r="D86" s="276"/>
      <c r="E86" s="4" t="s">
        <v>1539</v>
      </c>
      <c r="F86" s="9" t="s">
        <v>1631</v>
      </c>
      <c r="G86" s="9"/>
      <c r="H86" t="s">
        <v>917</v>
      </c>
    </row>
    <row r="87" spans="1:8">
      <c r="A87" s="9" t="s">
        <v>166</v>
      </c>
      <c r="B87" s="4" t="s">
        <v>771</v>
      </c>
      <c r="C87" s="4"/>
      <c r="D87" s="276"/>
      <c r="E87" s="4" t="s">
        <v>1540</v>
      </c>
      <c r="F87" s="9" t="s">
        <v>1631</v>
      </c>
      <c r="G87" s="9"/>
      <c r="H87" t="s">
        <v>917</v>
      </c>
    </row>
    <row r="88" spans="1:8">
      <c r="A88" s="9" t="s">
        <v>1345</v>
      </c>
      <c r="B88" s="4" t="s">
        <v>772</v>
      </c>
      <c r="C88" s="4"/>
      <c r="D88" s="276"/>
      <c r="E88" s="4" t="s">
        <v>1557</v>
      </c>
      <c r="F88" s="4"/>
      <c r="G88" s="9"/>
      <c r="H88" t="s">
        <v>917</v>
      </c>
    </row>
    <row r="89" spans="1:8">
      <c r="A89" s="9" t="s">
        <v>758</v>
      </c>
      <c r="B89" s="4" t="s">
        <v>773</v>
      </c>
      <c r="C89" s="4"/>
      <c r="D89" s="276"/>
      <c r="E89" s="4" t="s">
        <v>1558</v>
      </c>
      <c r="F89" s="4"/>
      <c r="G89" s="9"/>
      <c r="H89" t="s">
        <v>917</v>
      </c>
    </row>
    <row r="90" spans="1:8">
      <c r="A90" s="9" t="s">
        <v>757</v>
      </c>
      <c r="B90" s="4" t="s">
        <v>774</v>
      </c>
      <c r="C90" s="4" t="s">
        <v>1507</v>
      </c>
      <c r="D90" s="276"/>
      <c r="E90" s="4" t="s">
        <v>1559</v>
      </c>
      <c r="F90" s="4"/>
      <c r="G90" s="9" t="s">
        <v>1489</v>
      </c>
      <c r="H90" t="s">
        <v>917</v>
      </c>
    </row>
    <row r="91" spans="1:8">
      <c r="A91" s="9" t="s">
        <v>1344</v>
      </c>
      <c r="B91" s="4" t="s">
        <v>775</v>
      </c>
      <c r="C91" s="4" t="s">
        <v>1507</v>
      </c>
      <c r="D91" s="276"/>
      <c r="E91" s="4" t="s">
        <v>1560</v>
      </c>
      <c r="F91" s="4"/>
      <c r="G91" s="9" t="s">
        <v>1489</v>
      </c>
      <c r="H91" t="s">
        <v>917</v>
      </c>
    </row>
    <row r="92" spans="1:8">
      <c r="A92" s="9" t="s">
        <v>759</v>
      </c>
      <c r="B92" s="4" t="s">
        <v>776</v>
      </c>
      <c r="C92" s="4" t="s">
        <v>1507</v>
      </c>
      <c r="D92" s="276"/>
      <c r="E92" s="4" t="s">
        <v>1561</v>
      </c>
      <c r="F92" s="4"/>
      <c r="G92" s="9"/>
      <c r="H92" t="s">
        <v>917</v>
      </c>
    </row>
    <row r="93" spans="1:8">
      <c r="A93" s="9" t="s">
        <v>760</v>
      </c>
      <c r="B93" s="4" t="s">
        <v>777</v>
      </c>
      <c r="C93" s="4" t="s">
        <v>1507</v>
      </c>
      <c r="D93" s="279" t="s">
        <v>1748</v>
      </c>
      <c r="E93" s="4" t="s">
        <v>1562</v>
      </c>
      <c r="F93" s="269"/>
      <c r="G93" s="266"/>
      <c r="H93" t="s">
        <v>917</v>
      </c>
    </row>
    <row r="94" spans="1:8">
      <c r="A94" s="9" t="s">
        <v>761</v>
      </c>
      <c r="B94" s="4" t="s">
        <v>778</v>
      </c>
      <c r="C94" s="4" t="s">
        <v>1507</v>
      </c>
      <c r="D94" s="279" t="s">
        <v>1748</v>
      </c>
      <c r="E94" s="4" t="s">
        <v>1563</v>
      </c>
      <c r="F94" s="4"/>
      <c r="G94" s="9"/>
      <c r="H94" t="s">
        <v>917</v>
      </c>
    </row>
    <row r="95" spans="1:8">
      <c r="A95" s="9" t="s">
        <v>762</v>
      </c>
      <c r="B95" s="4" t="s">
        <v>779</v>
      </c>
      <c r="C95" s="4" t="s">
        <v>1507</v>
      </c>
      <c r="D95" s="279" t="s">
        <v>1748</v>
      </c>
      <c r="E95" s="4" t="s">
        <v>1689</v>
      </c>
      <c r="F95" s="4"/>
      <c r="G95" s="9"/>
      <c r="H95" t="s">
        <v>917</v>
      </c>
    </row>
    <row r="96" spans="1:8">
      <c r="A96" s="9" t="s">
        <v>166</v>
      </c>
      <c r="B96" s="4" t="s">
        <v>780</v>
      </c>
      <c r="C96" s="4"/>
      <c r="D96" s="276"/>
      <c r="E96" s="4" t="s">
        <v>1541</v>
      </c>
      <c r="F96" s="9" t="s">
        <v>1631</v>
      </c>
      <c r="G96" s="9"/>
      <c r="H96" t="s">
        <v>917</v>
      </c>
    </row>
    <row r="97" spans="1:8">
      <c r="A97" s="9" t="s">
        <v>166</v>
      </c>
      <c r="B97" s="4" t="s">
        <v>781</v>
      </c>
      <c r="C97" s="4"/>
      <c r="D97" s="276"/>
      <c r="E97" s="4" t="s">
        <v>1542</v>
      </c>
      <c r="F97" s="9" t="s">
        <v>1631</v>
      </c>
      <c r="G97" s="9"/>
      <c r="H97" t="s">
        <v>917</v>
      </c>
    </row>
    <row r="98" spans="1:8">
      <c r="A98" s="9" t="s">
        <v>167</v>
      </c>
      <c r="B98" s="9"/>
      <c r="C98" s="9"/>
      <c r="D98" s="275"/>
      <c r="E98" s="4"/>
      <c r="F98" s="4"/>
      <c r="G98" s="9"/>
    </row>
    <row r="99" spans="1:8">
      <c r="A99" s="9" t="s">
        <v>1282</v>
      </c>
      <c r="B99" s="9" t="s">
        <v>46</v>
      </c>
      <c r="C99" s="9" t="s">
        <v>1509</v>
      </c>
      <c r="D99" s="275"/>
      <c r="E99" s="4" t="s">
        <v>1566</v>
      </c>
      <c r="F99" s="4"/>
      <c r="G99" s="9"/>
      <c r="H99" t="s">
        <v>798</v>
      </c>
    </row>
    <row r="100" spans="1:8">
      <c r="A100" s="9" t="s">
        <v>1283</v>
      </c>
      <c r="B100" s="9" t="s">
        <v>47</v>
      </c>
      <c r="C100" s="9" t="s">
        <v>1509</v>
      </c>
      <c r="D100" s="275"/>
      <c r="E100" s="4" t="s">
        <v>1567</v>
      </c>
      <c r="F100" s="4"/>
      <c r="G100" s="9"/>
      <c r="H100" t="s">
        <v>798</v>
      </c>
    </row>
    <row r="101" spans="1:8">
      <c r="A101" s="268" t="s">
        <v>1510</v>
      </c>
      <c r="B101" s="9" t="s">
        <v>48</v>
      </c>
      <c r="C101" s="268" t="s">
        <v>1511</v>
      </c>
      <c r="D101" s="278"/>
      <c r="E101" s="4" t="s">
        <v>1568</v>
      </c>
      <c r="F101" s="4"/>
      <c r="G101" s="9" t="s">
        <v>288</v>
      </c>
      <c r="H101" t="s">
        <v>798</v>
      </c>
    </row>
    <row r="102" spans="1:8">
      <c r="A102" s="9" t="s">
        <v>1284</v>
      </c>
      <c r="B102" s="9" t="s">
        <v>49</v>
      </c>
      <c r="C102" s="9" t="s">
        <v>1509</v>
      </c>
      <c r="D102" s="275"/>
      <c r="E102" s="4" t="s">
        <v>1569</v>
      </c>
      <c r="F102" s="4"/>
      <c r="G102" s="9"/>
      <c r="H102" t="s">
        <v>798</v>
      </c>
    </row>
    <row r="103" spans="1:8">
      <c r="A103" s="9" t="s">
        <v>1285</v>
      </c>
      <c r="B103" s="9" t="s">
        <v>50</v>
      </c>
      <c r="C103" s="9" t="s">
        <v>1509</v>
      </c>
      <c r="D103" s="275"/>
      <c r="E103" s="4" t="s">
        <v>1570</v>
      </c>
      <c r="F103" s="4"/>
      <c r="G103" s="9"/>
      <c r="H103" t="s">
        <v>798</v>
      </c>
    </row>
    <row r="104" spans="1:8">
      <c r="A104" s="268" t="s">
        <v>1512</v>
      </c>
      <c r="B104" s="9" t="s">
        <v>51</v>
      </c>
      <c r="C104" s="268" t="s">
        <v>1511</v>
      </c>
      <c r="D104" s="278"/>
      <c r="E104" s="4" t="s">
        <v>1571</v>
      </c>
      <c r="F104" s="4"/>
      <c r="G104" s="9" t="s">
        <v>288</v>
      </c>
      <c r="H104" t="s">
        <v>798</v>
      </c>
    </row>
    <row r="105" spans="1:8">
      <c r="A105" s="9" t="s">
        <v>1286</v>
      </c>
      <c r="B105" s="9" t="s">
        <v>52</v>
      </c>
      <c r="C105" s="9" t="s">
        <v>1509</v>
      </c>
      <c r="D105" s="275"/>
      <c r="E105" s="4" t="s">
        <v>1572</v>
      </c>
      <c r="F105" s="4"/>
      <c r="G105" s="9"/>
      <c r="H105" t="s">
        <v>798</v>
      </c>
    </row>
    <row r="106" spans="1:8">
      <c r="A106" s="9" t="s">
        <v>1287</v>
      </c>
      <c r="B106" s="9" t="s">
        <v>53</v>
      </c>
      <c r="C106" s="9" t="s">
        <v>1509</v>
      </c>
      <c r="D106" s="275"/>
      <c r="E106" s="4" t="s">
        <v>1573</v>
      </c>
      <c r="F106" s="4"/>
      <c r="G106" s="9"/>
      <c r="H106" t="s">
        <v>798</v>
      </c>
    </row>
    <row r="107" spans="1:8">
      <c r="A107" s="268" t="s">
        <v>1513</v>
      </c>
      <c r="B107" s="9" t="s">
        <v>54</v>
      </c>
      <c r="C107" s="268" t="s">
        <v>1511</v>
      </c>
      <c r="D107" s="278"/>
      <c r="E107" s="4" t="s">
        <v>1574</v>
      </c>
      <c r="F107" s="4"/>
      <c r="G107" s="9" t="s">
        <v>288</v>
      </c>
      <c r="H107" t="s">
        <v>798</v>
      </c>
    </row>
    <row r="108" spans="1:8">
      <c r="A108" s="9" t="s">
        <v>1091</v>
      </c>
      <c r="B108" s="9" t="s">
        <v>55</v>
      </c>
      <c r="C108" s="9"/>
      <c r="D108" s="275"/>
      <c r="E108" s="4" t="s">
        <v>1564</v>
      </c>
      <c r="F108" s="4"/>
      <c r="G108" s="9"/>
      <c r="H108" t="s">
        <v>1004</v>
      </c>
    </row>
    <row r="109" spans="1:8">
      <c r="A109" s="9" t="s">
        <v>1092</v>
      </c>
      <c r="B109" s="9" t="s">
        <v>56</v>
      </c>
      <c r="C109" s="9"/>
      <c r="D109" s="275"/>
      <c r="E109" s="4" t="s">
        <v>1565</v>
      </c>
      <c r="F109" s="4"/>
      <c r="G109" s="9"/>
      <c r="H109" t="s">
        <v>1004</v>
      </c>
    </row>
    <row r="110" spans="1:8">
      <c r="A110" s="9" t="s">
        <v>168</v>
      </c>
      <c r="B110" s="9" t="s">
        <v>57</v>
      </c>
      <c r="C110" s="283" t="s">
        <v>1498</v>
      </c>
      <c r="D110" s="275"/>
      <c r="E110" s="270" t="s">
        <v>1654</v>
      </c>
      <c r="F110" s="270"/>
      <c r="G110" s="9"/>
      <c r="H110" t="s">
        <v>798</v>
      </c>
    </row>
    <row r="111" spans="1:8">
      <c r="A111" s="9" t="s">
        <v>169</v>
      </c>
      <c r="B111" s="9" t="s">
        <v>58</v>
      </c>
      <c r="C111" s="283"/>
      <c r="D111" s="275"/>
      <c r="E111" s="9" t="s">
        <v>1655</v>
      </c>
      <c r="F111" s="9"/>
      <c r="G111" s="9"/>
      <c r="H111" t="s">
        <v>798</v>
      </c>
    </row>
    <row r="112" spans="1:8">
      <c r="A112" s="9" t="s">
        <v>170</v>
      </c>
      <c r="B112" s="9" t="s">
        <v>59</v>
      </c>
      <c r="C112" s="283"/>
      <c r="D112" s="275"/>
      <c r="E112" s="9" t="s">
        <v>1656</v>
      </c>
      <c r="F112" s="9"/>
      <c r="G112" s="9"/>
      <c r="H112" t="s">
        <v>798</v>
      </c>
    </row>
    <row r="113" spans="1:8">
      <c r="A113" s="9" t="s">
        <v>171</v>
      </c>
      <c r="B113" s="9" t="s">
        <v>60</v>
      </c>
      <c r="C113" s="283" t="s">
        <v>1499</v>
      </c>
      <c r="D113" s="275"/>
      <c r="E113" s="9" t="s">
        <v>1690</v>
      </c>
      <c r="F113" s="9"/>
      <c r="G113" s="9"/>
      <c r="H113" t="s">
        <v>798</v>
      </c>
    </row>
    <row r="114" spans="1:8">
      <c r="A114" s="9" t="s">
        <v>172</v>
      </c>
      <c r="B114" s="9" t="s">
        <v>61</v>
      </c>
      <c r="C114" s="283"/>
      <c r="D114" s="275"/>
      <c r="E114" s="9" t="s">
        <v>1691</v>
      </c>
      <c r="F114" s="9"/>
      <c r="G114" s="9"/>
      <c r="H114" t="s">
        <v>798</v>
      </c>
    </row>
    <row r="115" spans="1:8">
      <c r="A115" s="9" t="s">
        <v>173</v>
      </c>
      <c r="B115" s="9" t="s">
        <v>62</v>
      </c>
      <c r="C115" s="283"/>
      <c r="D115" s="275"/>
      <c r="E115" s="9" t="s">
        <v>1692</v>
      </c>
      <c r="F115" s="9"/>
      <c r="G115" s="9"/>
      <c r="H115" t="s">
        <v>798</v>
      </c>
    </row>
    <row r="116" spans="1:8">
      <c r="A116" s="9" t="s">
        <v>930</v>
      </c>
      <c r="B116" s="9" t="s">
        <v>63</v>
      </c>
      <c r="C116" s="283" t="s">
        <v>1500</v>
      </c>
      <c r="D116" s="275"/>
      <c r="E116" s="9" t="s">
        <v>1693</v>
      </c>
      <c r="F116" s="9"/>
      <c r="G116" s="9"/>
      <c r="H116" t="s">
        <v>798</v>
      </c>
    </row>
    <row r="117" spans="1:8">
      <c r="A117" s="9" t="s">
        <v>931</v>
      </c>
      <c r="B117" s="9" t="s">
        <v>64</v>
      </c>
      <c r="C117" s="283"/>
      <c r="D117" s="275"/>
      <c r="E117" s="9" t="s">
        <v>1694</v>
      </c>
      <c r="F117" s="9"/>
      <c r="G117" s="9"/>
      <c r="H117" t="s">
        <v>798</v>
      </c>
    </row>
    <row r="118" spans="1:8">
      <c r="A118" s="9" t="s">
        <v>932</v>
      </c>
      <c r="B118" s="9" t="s">
        <v>65</v>
      </c>
      <c r="C118" s="283"/>
      <c r="D118" s="275"/>
      <c r="E118" s="9" t="s">
        <v>1695</v>
      </c>
      <c r="F118" s="9"/>
      <c r="G118" s="9"/>
      <c r="H118" t="s">
        <v>798</v>
      </c>
    </row>
    <row r="119" spans="1:8">
      <c r="A119" s="9" t="s">
        <v>910</v>
      </c>
      <c r="B119" s="9" t="s">
        <v>66</v>
      </c>
      <c r="C119" s="268" t="s">
        <v>1701</v>
      </c>
      <c r="D119" s="278"/>
      <c r="E119" s="274" t="s">
        <v>1698</v>
      </c>
      <c r="F119" s="9"/>
      <c r="G119" s="9"/>
      <c r="H119" t="s">
        <v>798</v>
      </c>
    </row>
    <row r="120" spans="1:8">
      <c r="A120" s="9" t="s">
        <v>911</v>
      </c>
      <c r="B120" s="9" t="s">
        <v>67</v>
      </c>
      <c r="C120" s="268" t="s">
        <v>1702</v>
      </c>
      <c r="D120" s="278"/>
      <c r="E120" s="274" t="s">
        <v>1699</v>
      </c>
      <c r="F120" s="9"/>
      <c r="G120" s="9"/>
      <c r="H120" t="s">
        <v>798</v>
      </c>
    </row>
    <row r="121" spans="1:8">
      <c r="A121" s="9" t="s">
        <v>912</v>
      </c>
      <c r="B121" s="9" t="s">
        <v>68</v>
      </c>
      <c r="C121" s="268" t="s">
        <v>1703</v>
      </c>
      <c r="D121" s="278"/>
      <c r="E121" s="274" t="s">
        <v>1700</v>
      </c>
      <c r="F121" s="9"/>
      <c r="G121" s="9"/>
      <c r="H121" t="s">
        <v>798</v>
      </c>
    </row>
    <row r="122" spans="1:8">
      <c r="A122" s="9" t="s">
        <v>174</v>
      </c>
      <c r="B122" s="9" t="s">
        <v>69</v>
      </c>
      <c r="C122" s="9" t="s">
        <v>1508</v>
      </c>
      <c r="D122" s="275"/>
      <c r="E122" s="9" t="s">
        <v>1706</v>
      </c>
      <c r="F122" s="9"/>
      <c r="G122" s="9" t="s">
        <v>1350</v>
      </c>
      <c r="H122" t="s">
        <v>798</v>
      </c>
    </row>
    <row r="123" spans="1:8">
      <c r="A123" s="9" t="s">
        <v>175</v>
      </c>
      <c r="B123" s="9" t="s">
        <v>70</v>
      </c>
      <c r="C123" s="9" t="s">
        <v>1508</v>
      </c>
      <c r="D123" s="275"/>
      <c r="E123" s="9" t="s">
        <v>1707</v>
      </c>
      <c r="F123" s="9"/>
      <c r="G123" s="9" t="s">
        <v>1350</v>
      </c>
      <c r="H123" t="s">
        <v>798</v>
      </c>
    </row>
    <row r="124" spans="1:8">
      <c r="A124" s="9" t="s">
        <v>176</v>
      </c>
      <c r="B124" s="9" t="s">
        <v>71</v>
      </c>
      <c r="C124" s="9" t="s">
        <v>1508</v>
      </c>
      <c r="D124" s="275"/>
      <c r="E124" s="9" t="s">
        <v>1708</v>
      </c>
      <c r="F124" s="9"/>
      <c r="G124" s="9" t="s">
        <v>1350</v>
      </c>
      <c r="H124" t="s">
        <v>798</v>
      </c>
    </row>
    <row r="125" spans="1:8">
      <c r="A125" s="268" t="s">
        <v>1624</v>
      </c>
      <c r="B125" s="9" t="s">
        <v>72</v>
      </c>
      <c r="C125" s="267" t="s">
        <v>1623</v>
      </c>
      <c r="D125" s="277"/>
      <c r="E125" s="273" t="s">
        <v>1740</v>
      </c>
      <c r="F125" s="4"/>
      <c r="G125" s="9"/>
      <c r="H125" t="s">
        <v>798</v>
      </c>
    </row>
    <row r="126" spans="1:8">
      <c r="A126" s="268" t="s">
        <v>1625</v>
      </c>
      <c r="B126" s="9" t="s">
        <v>73</v>
      </c>
      <c r="C126" s="267" t="s">
        <v>1623</v>
      </c>
      <c r="D126" s="277"/>
      <c r="E126" s="273" t="s">
        <v>1741</v>
      </c>
      <c r="F126" s="4"/>
      <c r="G126" s="9"/>
      <c r="H126" t="s">
        <v>798</v>
      </c>
    </row>
    <row r="127" spans="1:8">
      <c r="A127" s="9" t="s">
        <v>166</v>
      </c>
      <c r="B127" s="9" t="s">
        <v>74</v>
      </c>
      <c r="C127" s="9"/>
      <c r="D127" s="275"/>
      <c r="E127" s="9" t="s">
        <v>1575</v>
      </c>
      <c r="F127" s="9" t="s">
        <v>1631</v>
      </c>
      <c r="G127" s="9"/>
      <c r="H127" t="s">
        <v>798</v>
      </c>
    </row>
    <row r="128" spans="1:8">
      <c r="A128" s="9" t="s">
        <v>166</v>
      </c>
      <c r="B128" s="9" t="s">
        <v>75</v>
      </c>
      <c r="C128" s="9"/>
      <c r="D128" s="275"/>
      <c r="E128" s="9" t="s">
        <v>1576</v>
      </c>
      <c r="F128" s="9" t="s">
        <v>1631</v>
      </c>
      <c r="G128" s="9"/>
      <c r="H128" t="s">
        <v>798</v>
      </c>
    </row>
    <row r="129" spans="1:8">
      <c r="A129" s="9" t="s">
        <v>166</v>
      </c>
      <c r="B129" s="9" t="s">
        <v>76</v>
      </c>
      <c r="C129" s="9"/>
      <c r="D129" s="275"/>
      <c r="E129" s="9" t="s">
        <v>1577</v>
      </c>
      <c r="F129" s="9" t="s">
        <v>1631</v>
      </c>
      <c r="G129" s="9"/>
      <c r="H129" t="s">
        <v>798</v>
      </c>
    </row>
    <row r="130" spans="1:8">
      <c r="A130" s="9" t="s">
        <v>166</v>
      </c>
      <c r="B130" s="9" t="s">
        <v>77</v>
      </c>
      <c r="C130" s="9"/>
      <c r="D130" s="275"/>
      <c r="E130" s="9" t="s">
        <v>1578</v>
      </c>
      <c r="F130" s="9" t="s">
        <v>1631</v>
      </c>
      <c r="G130" s="9"/>
      <c r="H130" t="s">
        <v>798</v>
      </c>
    </row>
    <row r="131" spans="1:8">
      <c r="A131" s="9" t="s">
        <v>166</v>
      </c>
      <c r="B131" s="9" t="s">
        <v>782</v>
      </c>
      <c r="C131" s="9"/>
      <c r="D131" s="275"/>
      <c r="E131" s="9" t="s">
        <v>1579</v>
      </c>
      <c r="F131" s="9" t="s">
        <v>1631</v>
      </c>
      <c r="G131" s="9"/>
      <c r="H131" t="s">
        <v>798</v>
      </c>
    </row>
    <row r="132" spans="1:8">
      <c r="A132" s="9" t="s">
        <v>166</v>
      </c>
      <c r="B132" s="9" t="s">
        <v>783</v>
      </c>
      <c r="C132" s="9"/>
      <c r="D132" s="275"/>
      <c r="E132" s="9" t="s">
        <v>1580</v>
      </c>
      <c r="F132" s="9" t="s">
        <v>1631</v>
      </c>
      <c r="G132" s="9"/>
      <c r="H132" t="s">
        <v>798</v>
      </c>
    </row>
    <row r="133" spans="1:8">
      <c r="A133" s="9" t="s">
        <v>166</v>
      </c>
      <c r="B133" s="9" t="s">
        <v>784</v>
      </c>
      <c r="C133" s="9"/>
      <c r="D133" s="275"/>
      <c r="E133" s="9" t="s">
        <v>1581</v>
      </c>
      <c r="F133" s="9" t="s">
        <v>1631</v>
      </c>
      <c r="G133" s="9"/>
      <c r="H133" t="s">
        <v>798</v>
      </c>
    </row>
    <row r="134" spans="1:8">
      <c r="A134" s="9" t="s">
        <v>166</v>
      </c>
      <c r="B134" s="9" t="s">
        <v>785</v>
      </c>
      <c r="C134" s="9"/>
      <c r="D134" s="275"/>
      <c r="E134" s="9" t="s">
        <v>1582</v>
      </c>
      <c r="F134" s="9" t="s">
        <v>1631</v>
      </c>
      <c r="G134" s="9"/>
      <c r="H134" t="s">
        <v>798</v>
      </c>
    </row>
    <row r="135" spans="1:8">
      <c r="A135" s="9" t="s">
        <v>166</v>
      </c>
      <c r="B135" s="9" t="s">
        <v>786</v>
      </c>
      <c r="C135" s="9"/>
      <c r="D135" s="275"/>
      <c r="E135" s="9" t="s">
        <v>1583</v>
      </c>
      <c r="F135" s="9" t="s">
        <v>1631</v>
      </c>
      <c r="G135" s="9"/>
      <c r="H135" t="s">
        <v>798</v>
      </c>
    </row>
    <row r="136" spans="1:8">
      <c r="A136" s="9" t="s">
        <v>166</v>
      </c>
      <c r="B136" s="9" t="s">
        <v>787</v>
      </c>
      <c r="C136" s="9"/>
      <c r="D136" s="275"/>
      <c r="E136" s="9" t="s">
        <v>1584</v>
      </c>
      <c r="F136" s="9" t="s">
        <v>1631</v>
      </c>
      <c r="G136" s="9"/>
      <c r="H136" t="s">
        <v>798</v>
      </c>
    </row>
    <row r="137" spans="1:8">
      <c r="A137" s="9" t="s">
        <v>166</v>
      </c>
      <c r="B137" s="9" t="s">
        <v>788</v>
      </c>
      <c r="C137" s="9"/>
      <c r="D137" s="275"/>
      <c r="E137" s="9" t="s">
        <v>1585</v>
      </c>
      <c r="F137" s="9" t="s">
        <v>1631</v>
      </c>
      <c r="G137" s="9"/>
      <c r="H137" t="s">
        <v>798</v>
      </c>
    </row>
    <row r="138" spans="1:8">
      <c r="A138" s="9" t="s">
        <v>166</v>
      </c>
      <c r="B138" s="9" t="s">
        <v>789</v>
      </c>
      <c r="C138" s="9"/>
      <c r="D138" s="275"/>
      <c r="E138" s="9" t="s">
        <v>1586</v>
      </c>
      <c r="F138" s="9" t="s">
        <v>1631</v>
      </c>
      <c r="G138" s="9"/>
      <c r="H138" t="s">
        <v>798</v>
      </c>
    </row>
    <row r="139" spans="1:8">
      <c r="A139" s="9" t="s">
        <v>166</v>
      </c>
      <c r="B139" s="9" t="s">
        <v>790</v>
      </c>
      <c r="C139" s="9"/>
      <c r="D139" s="275"/>
      <c r="E139" s="9" t="s">
        <v>1587</v>
      </c>
      <c r="F139" s="9" t="s">
        <v>1631</v>
      </c>
      <c r="G139" s="9"/>
      <c r="H139" t="s">
        <v>798</v>
      </c>
    </row>
    <row r="140" spans="1:8">
      <c r="A140" s="9" t="s">
        <v>166</v>
      </c>
      <c r="B140" s="9" t="s">
        <v>791</v>
      </c>
      <c r="C140" s="9"/>
      <c r="D140" s="275"/>
      <c r="E140" s="9" t="s">
        <v>1588</v>
      </c>
      <c r="F140" s="9" t="s">
        <v>1631</v>
      </c>
      <c r="G140" s="9"/>
      <c r="H140" t="s">
        <v>798</v>
      </c>
    </row>
    <row r="141" spans="1:8">
      <c r="A141" s="9" t="s">
        <v>166</v>
      </c>
      <c r="B141" s="9" t="s">
        <v>792</v>
      </c>
      <c r="C141" s="9"/>
      <c r="D141" s="275"/>
      <c r="E141" s="9" t="s">
        <v>1589</v>
      </c>
      <c r="F141" s="9" t="s">
        <v>1631</v>
      </c>
      <c r="G141" s="9"/>
      <c r="H141" t="s">
        <v>798</v>
      </c>
    </row>
    <row r="142" spans="1:8">
      <c r="A142" s="9" t="s">
        <v>166</v>
      </c>
      <c r="B142" s="9" t="s">
        <v>793</v>
      </c>
      <c r="C142" s="9"/>
      <c r="D142" s="275"/>
      <c r="E142" s="9" t="s">
        <v>1590</v>
      </c>
      <c r="F142" s="9" t="s">
        <v>1631</v>
      </c>
      <c r="G142" s="9"/>
      <c r="H142" t="s">
        <v>798</v>
      </c>
    </row>
    <row r="143" spans="1:8">
      <c r="A143" s="9" t="s">
        <v>166</v>
      </c>
      <c r="B143" s="9" t="s">
        <v>794</v>
      </c>
      <c r="C143" s="9"/>
      <c r="D143" s="275"/>
      <c r="E143" s="9" t="s">
        <v>1591</v>
      </c>
      <c r="F143" s="9" t="s">
        <v>1631</v>
      </c>
      <c r="G143" s="9"/>
      <c r="H143" t="s">
        <v>798</v>
      </c>
    </row>
    <row r="144" spans="1:8">
      <c r="A144" s="9" t="s">
        <v>166</v>
      </c>
      <c r="B144" s="9" t="s">
        <v>795</v>
      </c>
      <c r="C144" s="9"/>
      <c r="D144" s="275"/>
      <c r="E144" s="9" t="s">
        <v>1592</v>
      </c>
      <c r="F144" s="9" t="s">
        <v>1631</v>
      </c>
      <c r="G144" s="9"/>
      <c r="H144" t="s">
        <v>913</v>
      </c>
    </row>
    <row r="145" spans="1:8">
      <c r="A145" s="9" t="s">
        <v>166</v>
      </c>
      <c r="B145" s="9" t="s">
        <v>796</v>
      </c>
      <c r="C145" s="9"/>
      <c r="D145" s="275"/>
      <c r="E145" s="9" t="s">
        <v>1593</v>
      </c>
      <c r="F145" s="9" t="s">
        <v>1631</v>
      </c>
      <c r="G145" s="9"/>
      <c r="H145" t="s">
        <v>913</v>
      </c>
    </row>
    <row r="146" spans="1:8">
      <c r="A146" s="9" t="s">
        <v>166</v>
      </c>
      <c r="B146" s="9" t="s">
        <v>797</v>
      </c>
      <c r="C146" s="9"/>
      <c r="D146" s="275"/>
      <c r="E146" s="9" t="s">
        <v>1594</v>
      </c>
      <c r="F146" s="9" t="s">
        <v>1631</v>
      </c>
      <c r="G146" s="9"/>
      <c r="H146" t="s">
        <v>913</v>
      </c>
    </row>
    <row r="147" spans="1:8">
      <c r="A147" s="9" t="s">
        <v>166</v>
      </c>
      <c r="B147" s="9" t="s">
        <v>834</v>
      </c>
      <c r="C147" s="9"/>
      <c r="D147" s="275"/>
      <c r="E147" s="9" t="s">
        <v>1595</v>
      </c>
      <c r="F147" s="9" t="s">
        <v>1631</v>
      </c>
      <c r="G147" s="9"/>
      <c r="H147" t="s">
        <v>913</v>
      </c>
    </row>
    <row r="148" spans="1:8">
      <c r="A148" s="9" t="s">
        <v>166</v>
      </c>
      <c r="B148" s="9" t="s">
        <v>835</v>
      </c>
      <c r="C148" s="9"/>
      <c r="D148" s="275"/>
      <c r="E148" s="9" t="s">
        <v>1596</v>
      </c>
      <c r="F148" s="9" t="s">
        <v>1631</v>
      </c>
      <c r="G148" s="9"/>
      <c r="H148" t="s">
        <v>913</v>
      </c>
    </row>
    <row r="149" spans="1:8">
      <c r="A149" s="9" t="s">
        <v>166</v>
      </c>
      <c r="B149" s="9" t="s">
        <v>836</v>
      </c>
      <c r="C149" s="9"/>
      <c r="D149" s="275"/>
      <c r="E149" s="9" t="s">
        <v>1597</v>
      </c>
      <c r="F149" s="9" t="s">
        <v>1631</v>
      </c>
      <c r="G149" s="9"/>
      <c r="H149" t="s">
        <v>913</v>
      </c>
    </row>
    <row r="150" spans="1:8">
      <c r="A150" s="9" t="s">
        <v>166</v>
      </c>
      <c r="B150" s="9" t="s">
        <v>837</v>
      </c>
      <c r="C150" s="9"/>
      <c r="D150" s="275"/>
      <c r="E150" s="9" t="s">
        <v>1598</v>
      </c>
      <c r="F150" s="9" t="s">
        <v>1631</v>
      </c>
      <c r="G150" s="9"/>
      <c r="H150" t="s">
        <v>913</v>
      </c>
    </row>
    <row r="151" spans="1:8">
      <c r="A151" s="9" t="s">
        <v>166</v>
      </c>
      <c r="B151" s="9" t="s">
        <v>838</v>
      </c>
      <c r="C151" s="9"/>
      <c r="D151" s="275"/>
      <c r="E151" s="9" t="s">
        <v>1599</v>
      </c>
      <c r="F151" s="9" t="s">
        <v>1631</v>
      </c>
      <c r="G151" s="9"/>
      <c r="H151" t="s">
        <v>913</v>
      </c>
    </row>
    <row r="152" spans="1:8">
      <c r="A152" s="9" t="s">
        <v>166</v>
      </c>
      <c r="B152" s="9" t="s">
        <v>839</v>
      </c>
      <c r="C152" s="9"/>
      <c r="D152" s="275"/>
      <c r="E152" s="9" t="s">
        <v>1600</v>
      </c>
      <c r="F152" s="9" t="s">
        <v>1631</v>
      </c>
      <c r="G152" s="9"/>
      <c r="H152" t="s">
        <v>913</v>
      </c>
    </row>
    <row r="153" spans="1:8">
      <c r="A153" s="9" t="s">
        <v>166</v>
      </c>
      <c r="B153" s="9" t="s">
        <v>840</v>
      </c>
      <c r="C153" s="9"/>
      <c r="D153" s="275"/>
      <c r="E153" s="9" t="s">
        <v>1601</v>
      </c>
      <c r="F153" s="9" t="s">
        <v>1631</v>
      </c>
      <c r="G153" s="9"/>
      <c r="H153" t="s">
        <v>913</v>
      </c>
    </row>
    <row r="154" spans="1:8">
      <c r="A154" s="9" t="s">
        <v>166</v>
      </c>
      <c r="B154" s="9" t="s">
        <v>841</v>
      </c>
      <c r="C154" s="9"/>
      <c r="D154" s="275"/>
      <c r="E154" s="9" t="s">
        <v>1602</v>
      </c>
      <c r="F154" s="9" t="s">
        <v>1631</v>
      </c>
      <c r="G154" s="9"/>
      <c r="H154" t="s">
        <v>913</v>
      </c>
    </row>
    <row r="155" spans="1:8">
      <c r="A155" s="9" t="s">
        <v>166</v>
      </c>
      <c r="B155" s="9" t="s">
        <v>842</v>
      </c>
      <c r="C155" s="9"/>
      <c r="D155" s="275"/>
      <c r="E155" s="9" t="s">
        <v>1603</v>
      </c>
      <c r="F155" s="9" t="s">
        <v>1631</v>
      </c>
      <c r="G155" s="9"/>
      <c r="H155" t="s">
        <v>913</v>
      </c>
    </row>
    <row r="156" spans="1:8">
      <c r="A156" s="9" t="s">
        <v>166</v>
      </c>
      <c r="B156" s="9" t="s">
        <v>843</v>
      </c>
      <c r="C156" s="9"/>
      <c r="D156" s="275"/>
      <c r="E156" s="9" t="s">
        <v>1604</v>
      </c>
      <c r="F156" s="9" t="s">
        <v>1631</v>
      </c>
      <c r="G156" s="9"/>
      <c r="H156" t="s">
        <v>913</v>
      </c>
    </row>
    <row r="157" spans="1:8">
      <c r="A157" s="9" t="s">
        <v>166</v>
      </c>
      <c r="B157" s="9" t="s">
        <v>844</v>
      </c>
      <c r="C157" s="9"/>
      <c r="D157" s="275"/>
      <c r="E157" s="9" t="s">
        <v>1605</v>
      </c>
      <c r="F157" s="9" t="s">
        <v>1631</v>
      </c>
      <c r="G157" s="9"/>
      <c r="H157" t="s">
        <v>913</v>
      </c>
    </row>
    <row r="158" spans="1:8">
      <c r="A158" s="9" t="s">
        <v>166</v>
      </c>
      <c r="B158" s="9" t="s">
        <v>845</v>
      </c>
      <c r="C158" s="9"/>
      <c r="D158" s="275"/>
      <c r="E158" s="9" t="s">
        <v>1606</v>
      </c>
      <c r="F158" s="9" t="s">
        <v>1631</v>
      </c>
      <c r="G158" s="9"/>
      <c r="H158" t="s">
        <v>913</v>
      </c>
    </row>
    <row r="159" spans="1:8">
      <c r="A159" s="9" t="s">
        <v>166</v>
      </c>
      <c r="B159" s="9" t="s">
        <v>846</v>
      </c>
      <c r="C159" s="9"/>
      <c r="D159" s="275"/>
      <c r="E159" s="9" t="s">
        <v>1607</v>
      </c>
      <c r="F159" s="9" t="s">
        <v>1631</v>
      </c>
      <c r="G159" s="9"/>
      <c r="H159" t="s">
        <v>913</v>
      </c>
    </row>
    <row r="160" spans="1:8">
      <c r="A160" s="9" t="s">
        <v>166</v>
      </c>
      <c r="B160" s="9" t="s">
        <v>847</v>
      </c>
      <c r="C160" s="9"/>
      <c r="D160" s="275"/>
      <c r="E160" s="9" t="s">
        <v>1608</v>
      </c>
      <c r="F160" s="9" t="s">
        <v>1631</v>
      </c>
      <c r="G160" s="9"/>
      <c r="H160" t="s">
        <v>913</v>
      </c>
    </row>
    <row r="161" spans="1:8">
      <c r="A161" s="9" t="s">
        <v>166</v>
      </c>
      <c r="B161" s="9" t="s">
        <v>848</v>
      </c>
      <c r="C161" s="9"/>
      <c r="D161" s="275"/>
      <c r="E161" s="9" t="s">
        <v>1609</v>
      </c>
      <c r="F161" s="9" t="s">
        <v>1631</v>
      </c>
      <c r="G161" s="9"/>
      <c r="H161" t="s">
        <v>913</v>
      </c>
    </row>
    <row r="162" spans="1:8">
      <c r="A162" s="9" t="s">
        <v>166</v>
      </c>
      <c r="B162" s="9" t="s">
        <v>849</v>
      </c>
      <c r="C162" s="9"/>
      <c r="D162" s="275"/>
      <c r="E162" s="9" t="s">
        <v>1610</v>
      </c>
      <c r="F162" s="9" t="s">
        <v>1631</v>
      </c>
      <c r="G162" s="9"/>
      <c r="H162" t="s">
        <v>913</v>
      </c>
    </row>
    <row r="163" spans="1:8">
      <c r="A163" s="9" t="s">
        <v>167</v>
      </c>
      <c r="B163" s="9"/>
      <c r="C163" s="9"/>
      <c r="D163" s="275"/>
      <c r="E163" s="9"/>
      <c r="F163" s="9"/>
      <c r="G163" s="9"/>
    </row>
    <row r="164" spans="1:8">
      <c r="A164" s="9" t="s">
        <v>180</v>
      </c>
      <c r="B164" s="9" t="s">
        <v>78</v>
      </c>
      <c r="C164" s="9"/>
      <c r="D164" s="282" t="s">
        <v>1748</v>
      </c>
      <c r="E164" s="9" t="s">
        <v>1704</v>
      </c>
      <c r="F164" s="9"/>
      <c r="G164" s="10" t="s">
        <v>1490</v>
      </c>
      <c r="H164" t="s">
        <v>801</v>
      </c>
    </row>
    <row r="165" spans="1:8">
      <c r="A165" s="9" t="s">
        <v>287</v>
      </c>
      <c r="B165" s="9" t="s">
        <v>79</v>
      </c>
      <c r="C165" s="9"/>
      <c r="D165" s="282" t="s">
        <v>1748</v>
      </c>
      <c r="E165" s="9" t="s">
        <v>1705</v>
      </c>
      <c r="F165" s="9"/>
      <c r="G165" s="9"/>
      <c r="H165" t="s">
        <v>801</v>
      </c>
    </row>
    <row r="166" spans="1:8">
      <c r="A166" s="9" t="s">
        <v>902</v>
      </c>
      <c r="B166" s="9" t="s">
        <v>80</v>
      </c>
      <c r="C166" s="9"/>
      <c r="D166" s="282" t="s">
        <v>1748</v>
      </c>
      <c r="E166" s="9" t="s">
        <v>1611</v>
      </c>
      <c r="F166" s="9"/>
      <c r="G166" s="9"/>
      <c r="H166" t="s">
        <v>801</v>
      </c>
    </row>
    <row r="167" spans="1:8">
      <c r="A167" s="9" t="s">
        <v>903</v>
      </c>
      <c r="B167" s="9" t="s">
        <v>81</v>
      </c>
      <c r="C167" s="9"/>
      <c r="D167" s="282" t="s">
        <v>1748</v>
      </c>
      <c r="E167" s="9" t="s">
        <v>1612</v>
      </c>
      <c r="F167" s="9"/>
      <c r="G167" s="9"/>
      <c r="H167" t="s">
        <v>801</v>
      </c>
    </row>
    <row r="168" spans="1:8">
      <c r="A168" s="9" t="s">
        <v>904</v>
      </c>
      <c r="B168" s="9" t="s">
        <v>82</v>
      </c>
      <c r="C168" s="9"/>
      <c r="D168" s="282" t="s">
        <v>1748</v>
      </c>
      <c r="E168" s="9" t="s">
        <v>1613</v>
      </c>
      <c r="F168" s="9"/>
      <c r="G168" s="9"/>
      <c r="H168" t="s">
        <v>801</v>
      </c>
    </row>
    <row r="169" spans="1:8">
      <c r="A169" s="9" t="s">
        <v>181</v>
      </c>
      <c r="B169" s="9" t="s">
        <v>83</v>
      </c>
      <c r="C169" s="9"/>
      <c r="D169" s="278" t="s">
        <v>1749</v>
      </c>
      <c r="E169" s="10" t="s">
        <v>1709</v>
      </c>
      <c r="F169" s="10"/>
      <c r="G169" s="10" t="s">
        <v>1490</v>
      </c>
      <c r="H169" t="s">
        <v>801</v>
      </c>
    </row>
    <row r="170" spans="1:8">
      <c r="A170" s="9" t="s">
        <v>739</v>
      </c>
      <c r="B170" s="9" t="s">
        <v>84</v>
      </c>
      <c r="C170" s="9"/>
      <c r="D170" s="282" t="s">
        <v>1748</v>
      </c>
      <c r="E170" s="9" t="s">
        <v>1710</v>
      </c>
      <c r="F170" s="9"/>
      <c r="G170" s="9"/>
      <c r="H170" t="s">
        <v>801</v>
      </c>
    </row>
    <row r="171" spans="1:8">
      <c r="A171" s="9" t="s">
        <v>734</v>
      </c>
      <c r="B171" s="9" t="s">
        <v>85</v>
      </c>
      <c r="C171" s="9" t="s">
        <v>1615</v>
      </c>
      <c r="D171" s="282" t="s">
        <v>1748</v>
      </c>
      <c r="E171" s="274" t="s">
        <v>1714</v>
      </c>
      <c r="F171" s="9"/>
      <c r="G171" s="9"/>
      <c r="H171" t="s">
        <v>801</v>
      </c>
    </row>
    <row r="172" spans="1:8" ht="30">
      <c r="A172" s="9" t="s">
        <v>735</v>
      </c>
      <c r="B172" s="9" t="s">
        <v>741</v>
      </c>
      <c r="C172" s="9" t="s">
        <v>1615</v>
      </c>
      <c r="D172" s="282" t="s">
        <v>1748</v>
      </c>
      <c r="E172" s="274" t="s">
        <v>1759</v>
      </c>
      <c r="F172" s="9"/>
      <c r="G172" s="257" t="s">
        <v>1337</v>
      </c>
      <c r="H172" t="s">
        <v>801</v>
      </c>
    </row>
    <row r="173" spans="1:8">
      <c r="A173" s="9" t="s">
        <v>736</v>
      </c>
      <c r="B173" s="9" t="s">
        <v>742</v>
      </c>
      <c r="C173" s="9" t="s">
        <v>1615</v>
      </c>
      <c r="D173" s="282" t="s">
        <v>1748</v>
      </c>
      <c r="E173" s="274" t="s">
        <v>1760</v>
      </c>
      <c r="F173" s="9"/>
      <c r="G173" s="9"/>
      <c r="H173" t="s">
        <v>801</v>
      </c>
    </row>
    <row r="174" spans="1:8">
      <c r="A174" s="268" t="s">
        <v>1712</v>
      </c>
      <c r="B174" s="9" t="s">
        <v>743</v>
      </c>
      <c r="C174" s="268" t="s">
        <v>1713</v>
      </c>
      <c r="D174" s="278"/>
      <c r="E174" s="9" t="s">
        <v>1711</v>
      </c>
      <c r="F174" s="9" t="s">
        <v>1631</v>
      </c>
      <c r="G174" s="10"/>
      <c r="H174" t="s">
        <v>801</v>
      </c>
    </row>
    <row r="175" spans="1:8">
      <c r="A175" s="9" t="s">
        <v>166</v>
      </c>
      <c r="B175" s="9" t="s">
        <v>744</v>
      </c>
      <c r="C175" s="9"/>
      <c r="D175" s="275"/>
      <c r="E175" s="9" t="s">
        <v>1614</v>
      </c>
      <c r="F175" s="9" t="s">
        <v>1631</v>
      </c>
      <c r="G175" s="9"/>
      <c r="H175" t="s">
        <v>801</v>
      </c>
    </row>
    <row r="176" spans="1:8">
      <c r="A176" s="9"/>
      <c r="B176" s="9"/>
      <c r="C176" s="9"/>
      <c r="D176" s="275"/>
      <c r="E176" s="9"/>
      <c r="F176" s="9"/>
      <c r="G176" s="9"/>
    </row>
    <row r="177" spans="1:8">
      <c r="A177" s="9" t="s">
        <v>1309</v>
      </c>
      <c r="B177" s="9" t="s">
        <v>86</v>
      </c>
      <c r="C177" s="9"/>
      <c r="D177" s="282" t="s">
        <v>1748</v>
      </c>
      <c r="E177" s="9" t="s">
        <v>1715</v>
      </c>
      <c r="F177" s="9"/>
      <c r="G177" s="9"/>
      <c r="H177" s="251" t="s">
        <v>914</v>
      </c>
    </row>
    <row r="178" spans="1:8">
      <c r="A178" s="9" t="s">
        <v>1310</v>
      </c>
      <c r="B178" s="9" t="s">
        <v>1519</v>
      </c>
      <c r="C178" s="9"/>
      <c r="D178" s="282" t="s">
        <v>1748</v>
      </c>
      <c r="E178" s="9" t="s">
        <v>1716</v>
      </c>
      <c r="F178" s="9"/>
      <c r="G178" s="9"/>
      <c r="H178" s="251" t="s">
        <v>915</v>
      </c>
    </row>
    <row r="179" spans="1:8" ht="30">
      <c r="A179" s="9" t="s">
        <v>1311</v>
      </c>
      <c r="B179" s="9" t="s">
        <v>87</v>
      </c>
      <c r="C179" s="9"/>
      <c r="D179" s="282" t="s">
        <v>1748</v>
      </c>
      <c r="E179" s="9" t="s">
        <v>1717</v>
      </c>
      <c r="F179" s="9"/>
      <c r="G179" s="10" t="s">
        <v>1338</v>
      </c>
      <c r="H179" s="251" t="s">
        <v>916</v>
      </c>
    </row>
    <row r="180" spans="1:8">
      <c r="A180" s="9" t="s">
        <v>1312</v>
      </c>
      <c r="B180" s="9" t="s">
        <v>1520</v>
      </c>
      <c r="C180" s="9"/>
      <c r="D180" s="282" t="s">
        <v>1748</v>
      </c>
      <c r="E180" s="9" t="s">
        <v>1718</v>
      </c>
      <c r="F180" s="9"/>
      <c r="G180" s="9"/>
      <c r="H180" s="251" t="s">
        <v>916</v>
      </c>
    </row>
    <row r="181" spans="1:8">
      <c r="A181" s="9" t="s">
        <v>1313</v>
      </c>
      <c r="B181" s="9" t="s">
        <v>88</v>
      </c>
      <c r="C181" s="9"/>
      <c r="D181" s="278" t="s">
        <v>1748</v>
      </c>
      <c r="E181" s="9" t="s">
        <v>1719</v>
      </c>
      <c r="F181" s="9"/>
      <c r="G181" s="9"/>
    </row>
    <row r="182" spans="1:8">
      <c r="A182" s="9" t="s">
        <v>1314</v>
      </c>
      <c r="B182" s="9" t="s">
        <v>1750</v>
      </c>
      <c r="C182" s="268" t="s">
        <v>1742</v>
      </c>
      <c r="D182" s="278" t="s">
        <v>1748</v>
      </c>
      <c r="E182" s="268" t="s">
        <v>1720</v>
      </c>
      <c r="F182" s="9"/>
      <c r="G182" s="9"/>
    </row>
    <row r="183" spans="1:8">
      <c r="A183" s="9" t="s">
        <v>1315</v>
      </c>
      <c r="B183" s="9" t="s">
        <v>89</v>
      </c>
      <c r="C183" s="268" t="s">
        <v>1742</v>
      </c>
      <c r="D183" s="278" t="s">
        <v>1748</v>
      </c>
      <c r="E183" s="268" t="s">
        <v>1721</v>
      </c>
      <c r="F183" s="9"/>
      <c r="G183" s="9"/>
    </row>
    <row r="184" spans="1:8">
      <c r="A184" s="9" t="s">
        <v>1316</v>
      </c>
      <c r="B184" s="9" t="s">
        <v>90</v>
      </c>
      <c r="C184" s="9"/>
      <c r="D184" s="282" t="s">
        <v>1748</v>
      </c>
      <c r="E184" s="9" t="s">
        <v>1722</v>
      </c>
      <c r="F184" s="9"/>
      <c r="G184" s="9"/>
    </row>
    <row r="185" spans="1:8">
      <c r="A185" s="9" t="s">
        <v>1317</v>
      </c>
      <c r="B185" s="9" t="s">
        <v>1752</v>
      </c>
      <c r="C185" s="9"/>
      <c r="D185" s="282" t="s">
        <v>1748</v>
      </c>
      <c r="E185" s="9" t="s">
        <v>1723</v>
      </c>
      <c r="F185" s="9"/>
      <c r="G185" s="9"/>
    </row>
    <row r="186" spans="1:8">
      <c r="A186" s="9" t="s">
        <v>1318</v>
      </c>
      <c r="B186" s="9" t="s">
        <v>91</v>
      </c>
      <c r="C186" s="9"/>
      <c r="D186" s="282" t="s">
        <v>1748</v>
      </c>
      <c r="E186" s="9" t="s">
        <v>1724</v>
      </c>
      <c r="F186" s="9"/>
      <c r="G186" s="10"/>
    </row>
    <row r="187" spans="1:8">
      <c r="A187" s="9" t="s">
        <v>1319</v>
      </c>
      <c r="B187" s="9" t="s">
        <v>1753</v>
      </c>
      <c r="C187" s="9"/>
      <c r="D187" s="282" t="s">
        <v>1748</v>
      </c>
      <c r="E187" s="9" t="s">
        <v>1725</v>
      </c>
      <c r="F187" s="9"/>
      <c r="G187" s="9"/>
    </row>
    <row r="188" spans="1:8">
      <c r="A188" s="9" t="s">
        <v>1320</v>
      </c>
      <c r="B188" s="9" t="s">
        <v>92</v>
      </c>
      <c r="C188" s="9"/>
      <c r="D188" s="278" t="s">
        <v>1748</v>
      </c>
      <c r="E188" s="9" t="s">
        <v>1726</v>
      </c>
      <c r="F188" s="9"/>
      <c r="G188" s="9"/>
    </row>
    <row r="189" spans="1:8">
      <c r="A189" s="9" t="s">
        <v>1321</v>
      </c>
      <c r="B189" s="9" t="s">
        <v>1330</v>
      </c>
      <c r="C189" s="268" t="s">
        <v>1742</v>
      </c>
      <c r="D189" s="278" t="s">
        <v>1748</v>
      </c>
      <c r="E189" s="268" t="s">
        <v>1727</v>
      </c>
      <c r="F189" s="9"/>
      <c r="G189" s="9"/>
    </row>
    <row r="190" spans="1:8">
      <c r="A190" s="9" t="s">
        <v>1322</v>
      </c>
      <c r="B190" s="9" t="s">
        <v>1754</v>
      </c>
      <c r="C190" s="268" t="s">
        <v>1742</v>
      </c>
      <c r="D190" s="278" t="s">
        <v>1748</v>
      </c>
      <c r="E190" s="268" t="s">
        <v>1728</v>
      </c>
      <c r="F190" s="9"/>
      <c r="G190" s="9"/>
    </row>
    <row r="191" spans="1:8">
      <c r="A191" s="9" t="s">
        <v>1323</v>
      </c>
      <c r="B191" s="9" t="s">
        <v>1331</v>
      </c>
      <c r="C191" s="9"/>
      <c r="D191" s="282" t="s">
        <v>1748</v>
      </c>
      <c r="E191" s="9" t="s">
        <v>1729</v>
      </c>
      <c r="F191" s="9"/>
      <c r="G191" s="9"/>
    </row>
    <row r="192" spans="1:8">
      <c r="A192" s="9" t="s">
        <v>1324</v>
      </c>
      <c r="B192" s="9" t="s">
        <v>1755</v>
      </c>
      <c r="C192" s="9"/>
      <c r="D192" s="282" t="s">
        <v>1748</v>
      </c>
      <c r="E192" s="9" t="s">
        <v>1730</v>
      </c>
      <c r="F192" s="9"/>
      <c r="G192" s="9"/>
    </row>
    <row r="193" spans="1:7">
      <c r="A193" s="9" t="s">
        <v>1325</v>
      </c>
      <c r="B193" s="9" t="s">
        <v>1332</v>
      </c>
      <c r="C193" s="9"/>
      <c r="D193" s="282" t="s">
        <v>1748</v>
      </c>
      <c r="E193" s="9" t="s">
        <v>1731</v>
      </c>
      <c r="F193" s="9"/>
      <c r="G193" s="9"/>
    </row>
    <row r="194" spans="1:7">
      <c r="A194" s="9" t="s">
        <v>1326</v>
      </c>
      <c r="B194" s="9" t="s">
        <v>1333</v>
      </c>
      <c r="C194" s="9"/>
      <c r="D194" s="282" t="s">
        <v>1748</v>
      </c>
      <c r="E194" s="9" t="s">
        <v>1732</v>
      </c>
      <c r="F194" s="9"/>
      <c r="G194" s="9"/>
    </row>
    <row r="195" spans="1:7">
      <c r="A195" s="9" t="s">
        <v>1327</v>
      </c>
      <c r="B195" s="9" t="s">
        <v>1756</v>
      </c>
      <c r="C195" s="9"/>
      <c r="D195" s="278" t="s">
        <v>1748</v>
      </c>
      <c r="E195" s="9" t="s">
        <v>1733</v>
      </c>
      <c r="F195" s="9"/>
      <c r="G195" s="9" t="s">
        <v>1334</v>
      </c>
    </row>
    <row r="196" spans="1:7">
      <c r="A196" s="9" t="s">
        <v>1328</v>
      </c>
      <c r="B196" s="9" t="s">
        <v>1335</v>
      </c>
      <c r="C196" s="268" t="s">
        <v>1742</v>
      </c>
      <c r="D196" s="278" t="s">
        <v>1748</v>
      </c>
      <c r="E196" s="268" t="s">
        <v>1734</v>
      </c>
      <c r="F196" s="9"/>
      <c r="G196" s="9"/>
    </row>
    <row r="197" spans="1:7">
      <c r="A197" s="9" t="s">
        <v>1329</v>
      </c>
      <c r="B197" s="9" t="s">
        <v>1757</v>
      </c>
      <c r="C197" s="268" t="s">
        <v>1742</v>
      </c>
      <c r="D197" s="278" t="s">
        <v>1748</v>
      </c>
      <c r="E197" s="268" t="s">
        <v>1735</v>
      </c>
      <c r="F197" s="9"/>
      <c r="G197" s="9"/>
    </row>
    <row r="198" spans="1:7">
      <c r="A198" s="9" t="s">
        <v>166</v>
      </c>
      <c r="B198" s="9" t="s">
        <v>1336</v>
      </c>
      <c r="C198" s="9"/>
      <c r="D198" s="275"/>
      <c r="E198" s="9" t="s">
        <v>1758</v>
      </c>
      <c r="F198" s="9" t="s">
        <v>1631</v>
      </c>
      <c r="G198" s="9"/>
    </row>
    <row r="199" spans="1:7">
      <c r="A199" s="9"/>
      <c r="B199" s="9"/>
      <c r="C199" s="9"/>
      <c r="D199" s="275"/>
      <c r="E199" s="9"/>
      <c r="F199" s="9"/>
      <c r="G199" s="9"/>
    </row>
    <row r="200" spans="1:7">
      <c r="A200" s="268" t="s">
        <v>1514</v>
      </c>
      <c r="B200" s="9" t="s">
        <v>1517</v>
      </c>
      <c r="C200" s="268" t="s">
        <v>1623</v>
      </c>
      <c r="D200" s="278"/>
      <c r="E200" s="9" t="s">
        <v>1616</v>
      </c>
      <c r="F200" s="9"/>
      <c r="G200" s="9"/>
    </row>
    <row r="201" spans="1:7">
      <c r="A201" s="268" t="s">
        <v>1515</v>
      </c>
      <c r="B201" s="9" t="s">
        <v>1518</v>
      </c>
      <c r="C201" s="268" t="s">
        <v>1623</v>
      </c>
      <c r="D201" s="278"/>
      <c r="E201" s="9" t="s">
        <v>1617</v>
      </c>
      <c r="F201" s="9"/>
      <c r="G201" s="9"/>
    </row>
    <row r="202" spans="1:7">
      <c r="A202" s="268" t="s">
        <v>1516</v>
      </c>
      <c r="B202" s="9" t="s">
        <v>1521</v>
      </c>
      <c r="C202" s="268" t="s">
        <v>1623</v>
      </c>
      <c r="D202" s="278"/>
      <c r="E202" s="9" t="s">
        <v>1751</v>
      </c>
      <c r="F202" s="9"/>
      <c r="G202" s="9"/>
    </row>
    <row r="203" spans="1:7">
      <c r="A203" s="9" t="s">
        <v>166</v>
      </c>
      <c r="B203" s="9" t="s">
        <v>1522</v>
      </c>
      <c r="C203" s="9"/>
      <c r="D203" s="275"/>
      <c r="E203" s="9" t="s">
        <v>1618</v>
      </c>
      <c r="F203" s="9" t="s">
        <v>1631</v>
      </c>
      <c r="G203" s="9"/>
    </row>
    <row r="210" spans="1:7">
      <c r="A210" t="s">
        <v>1491</v>
      </c>
    </row>
    <row r="211" spans="1:7">
      <c r="A211" s="22" t="s">
        <v>177</v>
      </c>
      <c r="G211" t="s">
        <v>730</v>
      </c>
    </row>
    <row r="212" spans="1:7">
      <c r="A212" s="22" t="s">
        <v>178</v>
      </c>
      <c r="G212" t="s">
        <v>730</v>
      </c>
    </row>
    <row r="213" spans="1:7">
      <c r="A213" s="22" t="s">
        <v>179</v>
      </c>
      <c r="G213" t="s">
        <v>730</v>
      </c>
    </row>
  </sheetData>
  <mergeCells count="6">
    <mergeCell ref="C116:C118"/>
    <mergeCell ref="C21:C28"/>
    <mergeCell ref="C29:C36"/>
    <mergeCell ref="C37:C44"/>
    <mergeCell ref="C110:C112"/>
    <mergeCell ref="C113:C115"/>
  </mergeCells>
  <phoneticPr fontId="7"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9D822-653A-49DE-8A4D-B34B02F3A080}">
  <dimension ref="A1:G120"/>
  <sheetViews>
    <sheetView workbookViewId="0">
      <selection activeCell="B20" sqref="B20"/>
    </sheetView>
  </sheetViews>
  <sheetFormatPr defaultRowHeight="15"/>
  <cols>
    <col min="1" max="1" width="11.28515625" bestFit="1" customWidth="1"/>
    <col min="2" max="2" width="36.28515625" style="17" bestFit="1" customWidth="1"/>
    <col min="3" max="3" width="13.28515625" bestFit="1" customWidth="1"/>
    <col min="4" max="4" width="27" bestFit="1" customWidth="1"/>
    <col min="5" max="5" width="33.140625" bestFit="1" customWidth="1"/>
    <col min="6" max="6" width="33.140625" customWidth="1"/>
    <col min="7" max="7" width="100.7109375" customWidth="1"/>
    <col min="8" max="8" width="34.28515625" bestFit="1" customWidth="1"/>
  </cols>
  <sheetData>
    <row r="1" spans="1:7">
      <c r="A1" s="13" t="s">
        <v>32</v>
      </c>
      <c r="B1" s="15" t="s">
        <v>33</v>
      </c>
      <c r="C1" s="13" t="s">
        <v>34</v>
      </c>
      <c r="D1" s="13" t="s">
        <v>35</v>
      </c>
      <c r="E1" s="13" t="s">
        <v>182</v>
      </c>
      <c r="F1" s="13" t="s">
        <v>183</v>
      </c>
      <c r="G1" s="13" t="s">
        <v>36</v>
      </c>
    </row>
    <row r="2" spans="1:7">
      <c r="A2" s="14" t="s">
        <v>185</v>
      </c>
      <c r="B2" s="16"/>
      <c r="C2" s="11"/>
      <c r="D2" s="11"/>
      <c r="E2" s="11"/>
      <c r="F2" s="11"/>
      <c r="G2" s="12"/>
    </row>
    <row r="3" spans="1:7" ht="30">
      <c r="A3" s="9" t="s">
        <v>186</v>
      </c>
      <c r="B3" s="10" t="s">
        <v>196</v>
      </c>
      <c r="C3" s="9">
        <v>2</v>
      </c>
      <c r="D3" s="9" t="s">
        <v>188</v>
      </c>
      <c r="E3" s="10"/>
      <c r="F3" s="9"/>
      <c r="G3" s="10" t="s">
        <v>1095</v>
      </c>
    </row>
    <row r="4" spans="1:7" ht="30">
      <c r="A4" s="9" t="s">
        <v>187</v>
      </c>
      <c r="B4" s="10" t="s">
        <v>196</v>
      </c>
      <c r="C4" s="9">
        <v>2</v>
      </c>
      <c r="D4" s="9" t="s">
        <v>188</v>
      </c>
      <c r="E4" s="10"/>
      <c r="F4" s="9"/>
      <c r="G4" s="10" t="s">
        <v>1095</v>
      </c>
    </row>
    <row r="5" spans="1:7" ht="45">
      <c r="A5" s="9" t="s">
        <v>189</v>
      </c>
      <c r="B5" s="10" t="s">
        <v>195</v>
      </c>
      <c r="C5" s="9">
        <v>2</v>
      </c>
      <c r="D5" s="9" t="s">
        <v>184</v>
      </c>
      <c r="E5" s="9"/>
      <c r="F5" s="9"/>
      <c r="G5" s="10" t="s">
        <v>1060</v>
      </c>
    </row>
    <row r="6" spans="1:7" ht="45">
      <c r="A6" s="9" t="s">
        <v>190</v>
      </c>
      <c r="B6" s="10" t="s">
        <v>195</v>
      </c>
      <c r="C6" s="9">
        <v>2</v>
      </c>
      <c r="D6" s="9" t="s">
        <v>184</v>
      </c>
      <c r="E6" s="9"/>
      <c r="F6" s="9"/>
      <c r="G6" s="10" t="s">
        <v>1060</v>
      </c>
    </row>
    <row r="7" spans="1:7" ht="30">
      <c r="A7" s="9" t="s">
        <v>191</v>
      </c>
      <c r="B7" s="10" t="s">
        <v>198</v>
      </c>
      <c r="C7" s="9">
        <v>2</v>
      </c>
      <c r="D7" s="9" t="s">
        <v>184</v>
      </c>
      <c r="E7" s="9"/>
      <c r="F7" s="9"/>
      <c r="G7" s="10" t="s">
        <v>1061</v>
      </c>
    </row>
    <row r="8" spans="1:7" ht="30">
      <c r="A8" s="9" t="s">
        <v>192</v>
      </c>
      <c r="B8" s="10" t="s">
        <v>197</v>
      </c>
      <c r="C8" s="9">
        <v>2</v>
      </c>
      <c r="D8" s="9" t="s">
        <v>184</v>
      </c>
      <c r="E8" s="9"/>
      <c r="F8" s="9"/>
      <c r="G8" s="10" t="s">
        <v>1061</v>
      </c>
    </row>
    <row r="9" spans="1:7" ht="30">
      <c r="A9" s="9" t="s">
        <v>193</v>
      </c>
      <c r="B9" s="10" t="s">
        <v>166</v>
      </c>
      <c r="C9" s="9">
        <v>2</v>
      </c>
      <c r="D9" s="9" t="s">
        <v>184</v>
      </c>
      <c r="E9" s="9"/>
      <c r="F9" s="9"/>
      <c r="G9" s="10" t="s">
        <v>1061</v>
      </c>
    </row>
    <row r="10" spans="1:7" ht="30">
      <c r="A10" s="9" t="s">
        <v>194</v>
      </c>
      <c r="B10" s="10" t="s">
        <v>199</v>
      </c>
      <c r="C10" s="9">
        <v>2</v>
      </c>
      <c r="D10" s="9" t="s">
        <v>184</v>
      </c>
      <c r="E10" s="9"/>
      <c r="F10" s="9"/>
      <c r="G10" s="10" t="s">
        <v>1061</v>
      </c>
    </row>
    <row r="11" spans="1:7">
      <c r="A11" s="21" t="s">
        <v>200</v>
      </c>
      <c r="B11" s="18"/>
      <c r="C11" s="19"/>
      <c r="D11" s="19"/>
      <c r="E11" s="19"/>
      <c r="F11" s="19"/>
      <c r="G11" s="20"/>
    </row>
    <row r="12" spans="1:7">
      <c r="A12" s="9" t="s">
        <v>1023</v>
      </c>
      <c r="B12" s="10" t="s">
        <v>201</v>
      </c>
      <c r="C12" s="9">
        <v>1</v>
      </c>
      <c r="D12" s="9" t="s">
        <v>208</v>
      </c>
      <c r="E12" s="9"/>
      <c r="F12" s="9"/>
      <c r="G12" s="10" t="s">
        <v>1096</v>
      </c>
    </row>
    <row r="13" spans="1:7">
      <c r="A13" s="9" t="s">
        <v>1024</v>
      </c>
      <c r="B13" s="10" t="s">
        <v>202</v>
      </c>
      <c r="C13" s="9">
        <v>1</v>
      </c>
      <c r="D13" s="9" t="s">
        <v>208</v>
      </c>
      <c r="E13" s="9"/>
      <c r="F13" s="9"/>
      <c r="G13" s="9"/>
    </row>
    <row r="14" spans="1:7">
      <c r="A14" s="9" t="s">
        <v>1025</v>
      </c>
      <c r="B14" s="10" t="s">
        <v>203</v>
      </c>
      <c r="C14" s="9">
        <v>1</v>
      </c>
      <c r="D14" s="9" t="s">
        <v>208</v>
      </c>
      <c r="E14" s="9"/>
      <c r="F14" s="9"/>
      <c r="G14" s="9"/>
    </row>
    <row r="15" spans="1:7">
      <c r="A15" s="9" t="s">
        <v>1026</v>
      </c>
      <c r="B15" s="10" t="s">
        <v>204</v>
      </c>
      <c r="C15" s="9">
        <v>1</v>
      </c>
      <c r="D15" s="9" t="s">
        <v>208</v>
      </c>
      <c r="E15" s="9"/>
      <c r="F15" s="9"/>
      <c r="G15" s="9"/>
    </row>
    <row r="16" spans="1:7">
      <c r="A16" s="9" t="s">
        <v>1027</v>
      </c>
      <c r="B16" s="10" t="s">
        <v>205</v>
      </c>
      <c r="C16" s="9">
        <v>1</v>
      </c>
      <c r="D16" s="9" t="s">
        <v>208</v>
      </c>
      <c r="E16" s="9"/>
      <c r="F16" s="9"/>
      <c r="G16" s="9"/>
    </row>
    <row r="17" spans="1:7">
      <c r="A17" s="9" t="s">
        <v>1028</v>
      </c>
      <c r="B17" s="10" t="s">
        <v>206</v>
      </c>
      <c r="C17" s="9">
        <v>1</v>
      </c>
      <c r="D17" s="9" t="s">
        <v>208</v>
      </c>
      <c r="E17" s="9"/>
      <c r="F17" s="9"/>
      <c r="G17" s="9"/>
    </row>
    <row r="18" spans="1:7">
      <c r="A18" s="9" t="s">
        <v>1029</v>
      </c>
      <c r="B18" s="10" t="s">
        <v>207</v>
      </c>
      <c r="C18" s="9">
        <v>1</v>
      </c>
      <c r="D18" s="9" t="s">
        <v>208</v>
      </c>
      <c r="E18" s="9"/>
      <c r="F18" s="9"/>
      <c r="G18" s="9"/>
    </row>
    <row r="19" spans="1:7">
      <c r="A19" s="9" t="s">
        <v>1030</v>
      </c>
      <c r="B19" s="10" t="s">
        <v>209</v>
      </c>
      <c r="C19" s="9">
        <v>1</v>
      </c>
      <c r="D19" s="9" t="s">
        <v>208</v>
      </c>
      <c r="E19" s="9"/>
      <c r="F19" s="9"/>
      <c r="G19" s="9"/>
    </row>
    <row r="20" spans="1:7" ht="30">
      <c r="A20" s="9" t="s">
        <v>1031</v>
      </c>
      <c r="B20" s="10" t="s">
        <v>1039</v>
      </c>
      <c r="C20" s="9">
        <v>1</v>
      </c>
      <c r="D20" s="9" t="s">
        <v>208</v>
      </c>
      <c r="E20" s="9"/>
      <c r="F20" s="9"/>
      <c r="G20" s="9" t="s">
        <v>857</v>
      </c>
    </row>
    <row r="21" spans="1:7" ht="30">
      <c r="A21" s="9" t="s">
        <v>1032</v>
      </c>
      <c r="B21" s="23" t="s">
        <v>1306</v>
      </c>
      <c r="C21" s="9">
        <v>1</v>
      </c>
      <c r="D21" s="9" t="s">
        <v>208</v>
      </c>
      <c r="E21" s="9"/>
      <c r="F21" s="9"/>
      <c r="G21" s="9"/>
    </row>
    <row r="22" spans="1:7" ht="30">
      <c r="A22" s="9" t="s">
        <v>1033</v>
      </c>
      <c r="B22" s="23" t="s">
        <v>1307</v>
      </c>
      <c r="C22" s="9">
        <v>1</v>
      </c>
      <c r="D22" s="9" t="s">
        <v>208</v>
      </c>
      <c r="E22" s="9"/>
      <c r="F22" s="9"/>
      <c r="G22" s="9"/>
    </row>
    <row r="23" spans="1:7" ht="30">
      <c r="A23" s="9" t="s">
        <v>1034</v>
      </c>
      <c r="B23" s="23" t="s">
        <v>1308</v>
      </c>
      <c r="C23" s="9">
        <v>1</v>
      </c>
      <c r="D23" s="9" t="s">
        <v>208</v>
      </c>
      <c r="E23" s="9"/>
      <c r="F23" s="9"/>
      <c r="G23" s="9"/>
    </row>
    <row r="24" spans="1:7" ht="30">
      <c r="A24" s="9" t="s">
        <v>1035</v>
      </c>
      <c r="B24" s="10" t="s">
        <v>923</v>
      </c>
      <c r="C24" s="9">
        <v>1</v>
      </c>
      <c r="D24" s="9" t="s">
        <v>208</v>
      </c>
      <c r="E24" s="9"/>
      <c r="F24" s="9"/>
      <c r="G24" s="9" t="s">
        <v>858</v>
      </c>
    </row>
    <row r="25" spans="1:7">
      <c r="A25" s="9" t="s">
        <v>1036</v>
      </c>
      <c r="B25" s="10" t="s">
        <v>166</v>
      </c>
      <c r="C25" s="9">
        <v>1</v>
      </c>
      <c r="D25" s="9" t="s">
        <v>208</v>
      </c>
      <c r="E25" s="9"/>
      <c r="F25" s="9"/>
      <c r="G25" s="9"/>
    </row>
    <row r="26" spans="1:7">
      <c r="A26" s="9" t="s">
        <v>1037</v>
      </c>
      <c r="B26" s="10" t="s">
        <v>166</v>
      </c>
      <c r="C26" s="9">
        <v>1</v>
      </c>
      <c r="D26" s="9" t="s">
        <v>208</v>
      </c>
      <c r="E26" s="9"/>
      <c r="F26" s="9"/>
      <c r="G26" s="9"/>
    </row>
    <row r="27" spans="1:7">
      <c r="A27" s="9" t="s">
        <v>1038</v>
      </c>
      <c r="B27" s="10" t="s">
        <v>166</v>
      </c>
      <c r="C27" s="9">
        <v>1</v>
      </c>
      <c r="D27" s="9" t="s">
        <v>208</v>
      </c>
      <c r="E27" s="9"/>
      <c r="F27" s="9"/>
      <c r="G27" s="9"/>
    </row>
    <row r="53" spans="1:1">
      <c r="A53" t="s">
        <v>1062</v>
      </c>
    </row>
    <row r="54" spans="1:1">
      <c r="A54" t="s">
        <v>1063</v>
      </c>
    </row>
    <row r="55" spans="1:1">
      <c r="A55" t="s">
        <v>1064</v>
      </c>
    </row>
    <row r="56" spans="1:1">
      <c r="A56" t="s">
        <v>1065</v>
      </c>
    </row>
    <row r="57" spans="1:1">
      <c r="A57" t="s">
        <v>1066</v>
      </c>
    </row>
    <row r="58" spans="1:1">
      <c r="A58" t="s">
        <v>1000</v>
      </c>
    </row>
    <row r="59" spans="1:1">
      <c r="A59" t="s">
        <v>1067</v>
      </c>
    </row>
    <row r="60" spans="1:1">
      <c r="A60" t="s">
        <v>1068</v>
      </c>
    </row>
    <row r="61" spans="1:1">
      <c r="A61" t="s">
        <v>1069</v>
      </c>
    </row>
    <row r="62" spans="1:1">
      <c r="A62" t="s">
        <v>1070</v>
      </c>
    </row>
    <row r="118" spans="2:4">
      <c r="B118" s="17" t="s">
        <v>1099</v>
      </c>
      <c r="C118" t="s">
        <v>1100</v>
      </c>
      <c r="D118">
        <v>2</v>
      </c>
    </row>
    <row r="119" spans="2:4">
      <c r="B119" s="17" t="s">
        <v>917</v>
      </c>
      <c r="C119">
        <v>1123490000</v>
      </c>
      <c r="D119">
        <v>12</v>
      </c>
    </row>
    <row r="120" spans="2:4">
      <c r="B120" s="17" t="s">
        <v>1098</v>
      </c>
      <c r="C120" t="s">
        <v>1101</v>
      </c>
      <c r="D120">
        <v>5</v>
      </c>
    </row>
  </sheetData>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E72B6-5971-482C-ACAC-23B9DA9175A8}">
  <dimension ref="A1:I128"/>
  <sheetViews>
    <sheetView topLeftCell="A96" zoomScale="115" zoomScaleNormal="115" workbookViewId="0">
      <selection activeCell="C103" sqref="C103"/>
    </sheetView>
  </sheetViews>
  <sheetFormatPr defaultRowHeight="15"/>
  <cols>
    <col min="1" max="1" width="11.5703125" style="17" customWidth="1"/>
    <col min="2" max="2" width="43.85546875" style="17" customWidth="1"/>
    <col min="3" max="3" width="18.85546875" style="17" bestFit="1" customWidth="1"/>
    <col min="4" max="4" width="26.5703125" bestFit="1" customWidth="1"/>
    <col min="5" max="5" width="8" bestFit="1" customWidth="1"/>
    <col min="6" max="6" width="14.42578125" bestFit="1" customWidth="1"/>
    <col min="7" max="7" width="36" bestFit="1" customWidth="1"/>
    <col min="8" max="8" width="26.42578125" bestFit="1" customWidth="1"/>
    <col min="9" max="9" width="16.5703125" bestFit="1" customWidth="1"/>
  </cols>
  <sheetData>
    <row r="1" spans="1:7">
      <c r="A1" s="10" t="s">
        <v>352</v>
      </c>
      <c r="B1" s="10" t="s">
        <v>822</v>
      </c>
      <c r="C1" s="10" t="s">
        <v>1179</v>
      </c>
      <c r="D1" s="9" t="s">
        <v>1104</v>
      </c>
      <c r="E1" s="9" t="s">
        <v>292</v>
      </c>
      <c r="F1" s="9" t="s">
        <v>1105</v>
      </c>
      <c r="G1" s="9" t="s">
        <v>823</v>
      </c>
    </row>
    <row r="2" spans="1:7" ht="45">
      <c r="A2" s="10"/>
      <c r="B2" s="10" t="s">
        <v>1102</v>
      </c>
      <c r="C2" s="10">
        <v>8808071</v>
      </c>
      <c r="D2" s="9" t="s">
        <v>821</v>
      </c>
      <c r="E2" s="9">
        <v>2</v>
      </c>
      <c r="F2" s="9" t="s">
        <v>810</v>
      </c>
      <c r="G2" s="10"/>
    </row>
    <row r="3" spans="1:7" ht="30">
      <c r="A3" s="10"/>
      <c r="B3" s="10" t="s">
        <v>1103</v>
      </c>
      <c r="C3" s="10">
        <v>4591700</v>
      </c>
      <c r="D3" s="9" t="s">
        <v>821</v>
      </c>
      <c r="E3" s="9">
        <v>2</v>
      </c>
      <c r="F3" s="9" t="s">
        <v>371</v>
      </c>
      <c r="G3" s="9"/>
    </row>
    <row r="4" spans="1:7" ht="30">
      <c r="A4" s="10"/>
      <c r="B4" s="10" t="s">
        <v>1180</v>
      </c>
      <c r="C4" s="10">
        <v>4540000</v>
      </c>
      <c r="D4" s="9" t="s">
        <v>821</v>
      </c>
      <c r="E4" s="9">
        <v>1</v>
      </c>
      <c r="F4" s="9" t="s">
        <v>810</v>
      </c>
      <c r="G4" s="9"/>
    </row>
    <row r="5" spans="1:7" ht="30">
      <c r="A5" s="10"/>
      <c r="B5" s="10" t="s">
        <v>1181</v>
      </c>
      <c r="C5" s="10">
        <v>8660003</v>
      </c>
      <c r="D5" s="9" t="s">
        <v>821</v>
      </c>
      <c r="E5" s="9">
        <v>2</v>
      </c>
      <c r="F5" s="9" t="s">
        <v>810</v>
      </c>
      <c r="G5" s="9"/>
    </row>
    <row r="6" spans="1:7" ht="45">
      <c r="A6" s="255" t="s">
        <v>1118</v>
      </c>
      <c r="B6" s="10" t="s">
        <v>1182</v>
      </c>
      <c r="C6" s="10">
        <v>2500460</v>
      </c>
      <c r="D6" s="9" t="s">
        <v>821</v>
      </c>
      <c r="E6" s="9">
        <v>4</v>
      </c>
      <c r="F6" s="9" t="s">
        <v>371</v>
      </c>
      <c r="G6" s="9"/>
    </row>
    <row r="7" spans="1:7">
      <c r="A7" s="10"/>
      <c r="B7" s="10" t="s">
        <v>1106</v>
      </c>
      <c r="C7" s="10">
        <v>8108245</v>
      </c>
      <c r="D7" s="9" t="s">
        <v>821</v>
      </c>
      <c r="E7" s="9">
        <v>1</v>
      </c>
      <c r="F7" s="9" t="s">
        <v>810</v>
      </c>
      <c r="G7" s="9"/>
    </row>
    <row r="8" spans="1:7" ht="30">
      <c r="A8" s="255" t="s">
        <v>1117</v>
      </c>
      <c r="B8" s="10" t="s">
        <v>1183</v>
      </c>
      <c r="C8" s="10">
        <v>3105370</v>
      </c>
      <c r="D8" s="9" t="s">
        <v>821</v>
      </c>
      <c r="E8" s="9">
        <v>2</v>
      </c>
      <c r="F8" s="9" t="s">
        <v>371</v>
      </c>
      <c r="G8" s="9"/>
    </row>
    <row r="9" spans="1:7" ht="45">
      <c r="A9" s="10"/>
      <c r="B9" s="10" t="s">
        <v>1184</v>
      </c>
      <c r="C9" s="10">
        <v>8617500</v>
      </c>
      <c r="D9" s="9" t="s">
        <v>821</v>
      </c>
      <c r="E9" s="9">
        <v>1</v>
      </c>
      <c r="F9" s="9" t="s">
        <v>810</v>
      </c>
      <c r="G9" s="9"/>
    </row>
    <row r="10" spans="1:7" ht="30">
      <c r="A10" s="255" t="s">
        <v>1119</v>
      </c>
      <c r="B10" s="10" t="s">
        <v>1185</v>
      </c>
      <c r="C10" s="10">
        <v>3110000</v>
      </c>
      <c r="D10" s="9" t="s">
        <v>821</v>
      </c>
      <c r="E10" s="9">
        <v>1</v>
      </c>
      <c r="F10" s="9" t="s">
        <v>371</v>
      </c>
      <c r="G10" s="9"/>
    </row>
    <row r="11" spans="1:7" ht="30">
      <c r="A11" s="10"/>
      <c r="B11" s="10" t="s">
        <v>1186</v>
      </c>
      <c r="C11" s="10">
        <v>8660034</v>
      </c>
      <c r="D11" s="9" t="s">
        <v>821</v>
      </c>
      <c r="E11" s="9">
        <v>2</v>
      </c>
      <c r="F11" s="9" t="s">
        <v>810</v>
      </c>
      <c r="G11" s="9"/>
    </row>
    <row r="12" spans="1:7" ht="30">
      <c r="A12" s="10"/>
      <c r="B12" s="10" t="s">
        <v>1187</v>
      </c>
      <c r="C12" s="10">
        <v>1206421</v>
      </c>
      <c r="D12" s="9" t="s">
        <v>821</v>
      </c>
      <c r="E12" s="9">
        <v>2</v>
      </c>
      <c r="F12" s="9" t="s">
        <v>371</v>
      </c>
      <c r="G12" s="9"/>
    </row>
    <row r="13" spans="1:7">
      <c r="A13" s="10"/>
      <c r="B13" s="10" t="s">
        <v>1107</v>
      </c>
      <c r="C13" s="10">
        <v>8617502</v>
      </c>
      <c r="D13" s="9" t="s">
        <v>821</v>
      </c>
      <c r="E13" s="9">
        <v>1</v>
      </c>
      <c r="F13" s="9" t="s">
        <v>810</v>
      </c>
      <c r="G13" s="9"/>
    </row>
    <row r="14" spans="1:7" ht="30">
      <c r="A14" s="10"/>
      <c r="B14" s="10" t="s">
        <v>1108</v>
      </c>
      <c r="C14" s="10">
        <v>8800885</v>
      </c>
      <c r="D14" s="9" t="s">
        <v>821</v>
      </c>
      <c r="E14" s="9">
        <v>1</v>
      </c>
      <c r="F14" s="9" t="s">
        <v>371</v>
      </c>
      <c r="G14" s="9"/>
    </row>
    <row r="15" spans="1:7" ht="30">
      <c r="A15" s="10"/>
      <c r="B15" s="10" t="s">
        <v>1188</v>
      </c>
      <c r="C15" s="10">
        <v>5302351</v>
      </c>
      <c r="D15" s="9" t="s">
        <v>821</v>
      </c>
      <c r="E15" s="9">
        <v>4</v>
      </c>
      <c r="F15" s="9" t="s">
        <v>371</v>
      </c>
      <c r="G15" s="9"/>
    </row>
    <row r="16" spans="1:7" ht="30">
      <c r="A16" s="10"/>
      <c r="B16" s="10" t="s">
        <v>1111</v>
      </c>
      <c r="C16" s="10">
        <v>2500530</v>
      </c>
      <c r="D16" s="9" t="s">
        <v>821</v>
      </c>
      <c r="E16" s="9">
        <v>2</v>
      </c>
      <c r="F16" s="9" t="s">
        <v>371</v>
      </c>
      <c r="G16" s="9"/>
    </row>
    <row r="17" spans="1:9" ht="30">
      <c r="A17" s="10"/>
      <c r="B17" s="10" t="s">
        <v>1109</v>
      </c>
      <c r="C17" s="253" t="s">
        <v>982</v>
      </c>
      <c r="D17" s="9" t="s">
        <v>821</v>
      </c>
      <c r="E17" s="9">
        <v>2</v>
      </c>
      <c r="F17" s="9" t="s">
        <v>371</v>
      </c>
      <c r="G17" s="9"/>
      <c r="H17" s="252"/>
      <c r="I17" s="252"/>
    </row>
    <row r="18" spans="1:9" ht="30">
      <c r="A18" s="255" t="s">
        <v>1120</v>
      </c>
      <c r="B18" s="10" t="s">
        <v>1110</v>
      </c>
      <c r="C18" s="10">
        <v>2500200</v>
      </c>
      <c r="D18" s="9" t="s">
        <v>821</v>
      </c>
      <c r="E18" s="9">
        <v>2</v>
      </c>
      <c r="F18" s="9" t="s">
        <v>371</v>
      </c>
      <c r="G18" s="9"/>
    </row>
    <row r="19" spans="1:9" ht="45">
      <c r="A19" s="10"/>
      <c r="B19" s="10" t="s">
        <v>1189</v>
      </c>
      <c r="C19" s="10">
        <v>2500490</v>
      </c>
      <c r="D19" s="9" t="s">
        <v>821</v>
      </c>
      <c r="E19" s="9">
        <v>4</v>
      </c>
      <c r="F19" s="9" t="s">
        <v>371</v>
      </c>
      <c r="G19" s="9"/>
    </row>
    <row r="20" spans="1:9">
      <c r="A20" s="10"/>
      <c r="B20" s="10" t="s">
        <v>1112</v>
      </c>
      <c r="C20" s="10">
        <v>4568000</v>
      </c>
      <c r="D20" s="9" t="s">
        <v>821</v>
      </c>
      <c r="E20" s="9">
        <v>2</v>
      </c>
      <c r="F20" s="9" t="s">
        <v>810</v>
      </c>
      <c r="G20" s="9"/>
    </row>
    <row r="21" spans="1:9" ht="30">
      <c r="A21" s="10"/>
      <c r="B21" s="10" t="s">
        <v>1113</v>
      </c>
      <c r="C21" s="10">
        <v>8618200</v>
      </c>
      <c r="D21" s="9" t="s">
        <v>821</v>
      </c>
      <c r="E21" s="9">
        <v>4</v>
      </c>
      <c r="F21" s="9" t="s">
        <v>371</v>
      </c>
      <c r="G21" s="9"/>
    </row>
    <row r="22" spans="1:9">
      <c r="A22" s="255" t="s">
        <v>1122</v>
      </c>
      <c r="B22" s="10" t="s">
        <v>1114</v>
      </c>
      <c r="C22" s="10">
        <v>3118000</v>
      </c>
      <c r="D22" s="9" t="s">
        <v>821</v>
      </c>
      <c r="E22" s="9">
        <v>1</v>
      </c>
      <c r="F22" s="9" t="s">
        <v>371</v>
      </c>
      <c r="G22" s="9"/>
    </row>
    <row r="23" spans="1:9" ht="30">
      <c r="A23" s="10"/>
      <c r="B23" s="10" t="s">
        <v>1115</v>
      </c>
      <c r="C23" s="10">
        <v>8618801</v>
      </c>
      <c r="D23" s="9" t="s">
        <v>821</v>
      </c>
      <c r="E23" s="9">
        <v>4</v>
      </c>
      <c r="F23" s="9" t="s">
        <v>810</v>
      </c>
      <c r="G23" s="9"/>
    </row>
    <row r="24" spans="1:9" ht="30">
      <c r="A24" s="10"/>
      <c r="B24" s="10" t="s">
        <v>1116</v>
      </c>
      <c r="C24" s="10">
        <v>4118000</v>
      </c>
      <c r="D24" s="9" t="s">
        <v>821</v>
      </c>
      <c r="E24" s="9">
        <v>2</v>
      </c>
      <c r="F24" s="9" t="s">
        <v>371</v>
      </c>
      <c r="G24" s="9"/>
    </row>
    <row r="25" spans="1:9" ht="30">
      <c r="A25" s="255" t="s">
        <v>1123</v>
      </c>
      <c r="B25" s="10" t="s">
        <v>1190</v>
      </c>
      <c r="C25" s="253" t="s">
        <v>981</v>
      </c>
      <c r="D25" s="9" t="s">
        <v>809</v>
      </c>
      <c r="E25" s="9">
        <v>2</v>
      </c>
      <c r="F25" s="9" t="s">
        <v>371</v>
      </c>
      <c r="G25" s="9"/>
      <c r="H25" s="252"/>
      <c r="I25" s="252"/>
    </row>
    <row r="26" spans="1:9" ht="150">
      <c r="A26" s="255" t="s">
        <v>1011</v>
      </c>
      <c r="B26" s="10" t="s">
        <v>1191</v>
      </c>
      <c r="C26" s="10" t="s">
        <v>825</v>
      </c>
      <c r="D26" s="9" t="s">
        <v>826</v>
      </c>
      <c r="E26" s="9">
        <v>1</v>
      </c>
      <c r="F26" s="9" t="s">
        <v>371</v>
      </c>
      <c r="G26" s="9" t="s">
        <v>1192</v>
      </c>
      <c r="H26" s="252"/>
      <c r="I26" s="252" t="s">
        <v>1055</v>
      </c>
    </row>
    <row r="27" spans="1:9" ht="105">
      <c r="A27" s="10"/>
      <c r="B27" s="10" t="s">
        <v>1193</v>
      </c>
      <c r="C27" s="10" t="s">
        <v>828</v>
      </c>
      <c r="D27" s="9" t="s">
        <v>826</v>
      </c>
      <c r="E27" s="9">
        <v>1</v>
      </c>
      <c r="F27" s="9" t="s">
        <v>371</v>
      </c>
      <c r="G27" s="9"/>
      <c r="H27" s="252"/>
      <c r="I27" s="252" t="s">
        <v>1055</v>
      </c>
    </row>
    <row r="28" spans="1:9" ht="45">
      <c r="A28" s="10"/>
      <c r="B28" s="10" t="s">
        <v>1194</v>
      </c>
      <c r="C28" s="10" t="s">
        <v>829</v>
      </c>
      <c r="D28" s="9" t="s">
        <v>826</v>
      </c>
      <c r="E28" s="9">
        <v>2</v>
      </c>
      <c r="F28" s="9" t="s">
        <v>371</v>
      </c>
      <c r="G28" s="9"/>
      <c r="H28" s="252"/>
      <c r="I28" s="252" t="s">
        <v>1055</v>
      </c>
    </row>
    <row r="29" spans="1:9" ht="90">
      <c r="A29" s="255" t="s">
        <v>467</v>
      </c>
      <c r="B29" s="10" t="s">
        <v>1195</v>
      </c>
      <c r="C29" s="10" t="s">
        <v>827</v>
      </c>
      <c r="D29" s="9" t="s">
        <v>826</v>
      </c>
      <c r="E29" s="9">
        <v>1</v>
      </c>
      <c r="F29" s="9" t="s">
        <v>371</v>
      </c>
      <c r="G29" s="9" t="s">
        <v>824</v>
      </c>
      <c r="H29" s="252"/>
      <c r="I29" s="252" t="s">
        <v>1055</v>
      </c>
    </row>
    <row r="30" spans="1:9" ht="30">
      <c r="A30" s="10"/>
      <c r="B30" s="10" t="s">
        <v>1196</v>
      </c>
      <c r="C30" s="10" t="s">
        <v>830</v>
      </c>
      <c r="D30" s="9" t="s">
        <v>826</v>
      </c>
      <c r="E30" s="9">
        <v>1</v>
      </c>
      <c r="F30" s="9" t="s">
        <v>371</v>
      </c>
      <c r="G30" s="9"/>
      <c r="H30" s="252"/>
      <c r="I30" s="252" t="s">
        <v>1055</v>
      </c>
    </row>
    <row r="31" spans="1:9" ht="105">
      <c r="A31" s="255" t="s">
        <v>1010</v>
      </c>
      <c r="B31" s="10" t="s">
        <v>1197</v>
      </c>
      <c r="C31" s="10" t="s">
        <v>832</v>
      </c>
      <c r="D31" s="9" t="s">
        <v>826</v>
      </c>
      <c r="E31" s="9">
        <v>3</v>
      </c>
      <c r="F31" s="9" t="s">
        <v>371</v>
      </c>
      <c r="G31" s="9"/>
      <c r="H31" s="252"/>
      <c r="I31" s="252" t="s">
        <v>1055</v>
      </c>
    </row>
    <row r="32" spans="1:9" ht="150">
      <c r="A32" s="255" t="s">
        <v>1012</v>
      </c>
      <c r="B32" s="10" t="s">
        <v>1198</v>
      </c>
      <c r="C32" s="10" t="s">
        <v>833</v>
      </c>
      <c r="D32" s="9" t="s">
        <v>826</v>
      </c>
      <c r="E32" s="9">
        <v>2</v>
      </c>
      <c r="F32" s="9" t="s">
        <v>371</v>
      </c>
      <c r="G32" s="9"/>
      <c r="H32" s="252"/>
      <c r="I32" s="252" t="s">
        <v>1055</v>
      </c>
    </row>
    <row r="33" spans="1:9" ht="120">
      <c r="A33" s="255" t="s">
        <v>1013</v>
      </c>
      <c r="B33" s="10" t="s">
        <v>1199</v>
      </c>
      <c r="C33" s="10" t="s">
        <v>831</v>
      </c>
      <c r="D33" s="9" t="s">
        <v>826</v>
      </c>
      <c r="E33" s="9">
        <v>5</v>
      </c>
      <c r="F33" s="9" t="s">
        <v>371</v>
      </c>
      <c r="G33" s="9"/>
      <c r="H33" s="252"/>
      <c r="I33" s="252" t="s">
        <v>1055</v>
      </c>
    </row>
    <row r="34" spans="1:9" ht="75">
      <c r="A34" s="10"/>
      <c r="B34" s="10" t="s">
        <v>1200</v>
      </c>
      <c r="C34" s="10" t="s">
        <v>850</v>
      </c>
      <c r="D34" s="9" t="s">
        <v>826</v>
      </c>
      <c r="E34" s="9">
        <v>4</v>
      </c>
      <c r="F34" s="9" t="s">
        <v>371</v>
      </c>
      <c r="G34" s="9"/>
      <c r="H34" s="252"/>
      <c r="I34" s="252" t="s">
        <v>1055</v>
      </c>
    </row>
    <row r="35" spans="1:9" ht="60">
      <c r="A35" s="10"/>
      <c r="B35" s="10" t="s">
        <v>1201</v>
      </c>
      <c r="C35" s="10" t="s">
        <v>851</v>
      </c>
      <c r="D35" s="9" t="s">
        <v>826</v>
      </c>
      <c r="E35" s="9">
        <v>1</v>
      </c>
      <c r="F35" s="9" t="s">
        <v>810</v>
      </c>
      <c r="G35" s="9"/>
      <c r="H35" s="252"/>
      <c r="I35" s="252" t="s">
        <v>1055</v>
      </c>
    </row>
    <row r="36" spans="1:9" ht="60">
      <c r="A36" s="10"/>
      <c r="B36" s="10" t="s">
        <v>1202</v>
      </c>
      <c r="C36" s="10" t="s">
        <v>852</v>
      </c>
      <c r="D36" s="9" t="s">
        <v>826</v>
      </c>
      <c r="E36" s="9">
        <v>1</v>
      </c>
      <c r="F36" s="9" t="s">
        <v>371</v>
      </c>
      <c r="G36" s="9"/>
      <c r="H36" s="252"/>
      <c r="I36" s="252" t="s">
        <v>1055</v>
      </c>
    </row>
    <row r="37" spans="1:9" ht="60">
      <c r="A37" s="10"/>
      <c r="B37" s="10" t="s">
        <v>1203</v>
      </c>
      <c r="C37" s="10" t="s">
        <v>853</v>
      </c>
      <c r="D37" s="9" t="s">
        <v>826</v>
      </c>
      <c r="E37" s="9">
        <v>10</v>
      </c>
      <c r="F37" s="9" t="s">
        <v>371</v>
      </c>
      <c r="G37" s="9"/>
      <c r="H37" s="252"/>
      <c r="I37" s="252" t="s">
        <v>1055</v>
      </c>
    </row>
    <row r="38" spans="1:9" ht="90">
      <c r="A38" s="255" t="s">
        <v>1014</v>
      </c>
      <c r="B38" s="10" t="s">
        <v>1204</v>
      </c>
      <c r="C38" s="10" t="s">
        <v>854</v>
      </c>
      <c r="D38" s="9" t="s">
        <v>826</v>
      </c>
      <c r="E38" s="9">
        <v>1</v>
      </c>
      <c r="F38" s="9" t="s">
        <v>371</v>
      </c>
      <c r="G38" s="9"/>
      <c r="H38" s="252"/>
      <c r="I38" s="252" t="s">
        <v>1055</v>
      </c>
    </row>
    <row r="39" spans="1:9" ht="45">
      <c r="A39" s="255" t="s">
        <v>1015</v>
      </c>
      <c r="B39" s="10" t="s">
        <v>1205</v>
      </c>
      <c r="C39" s="10" t="s">
        <v>855</v>
      </c>
      <c r="D39" s="9" t="s">
        <v>826</v>
      </c>
      <c r="E39" s="9">
        <v>2</v>
      </c>
      <c r="F39" s="9" t="s">
        <v>371</v>
      </c>
      <c r="G39" s="9"/>
      <c r="H39" s="252"/>
      <c r="I39" s="252" t="s">
        <v>1055</v>
      </c>
    </row>
    <row r="40" spans="1:9" ht="60">
      <c r="A40" s="255" t="s">
        <v>1016</v>
      </c>
      <c r="B40" s="10" t="s">
        <v>1206</v>
      </c>
      <c r="C40" s="10" t="s">
        <v>856</v>
      </c>
      <c r="D40" s="9" t="s">
        <v>826</v>
      </c>
      <c r="E40" s="9">
        <v>1</v>
      </c>
      <c r="F40" s="9" t="s">
        <v>371</v>
      </c>
      <c r="G40" s="9"/>
      <c r="H40" s="252"/>
      <c r="I40" s="252" t="s">
        <v>1055</v>
      </c>
    </row>
    <row r="41" spans="1:9" ht="60">
      <c r="A41" s="255" t="s">
        <v>1017</v>
      </c>
      <c r="B41" s="10" t="s">
        <v>1207</v>
      </c>
      <c r="C41" s="10" t="s">
        <v>857</v>
      </c>
      <c r="D41" s="9" t="s">
        <v>826</v>
      </c>
      <c r="E41" s="9">
        <v>2</v>
      </c>
      <c r="F41" s="9" t="s">
        <v>371</v>
      </c>
      <c r="G41" s="9"/>
      <c r="H41" s="252"/>
      <c r="I41" s="252" t="s">
        <v>1055</v>
      </c>
    </row>
    <row r="42" spans="1:9" ht="60">
      <c r="A42" s="255" t="s">
        <v>1018</v>
      </c>
      <c r="B42" s="10" t="s">
        <v>1208</v>
      </c>
      <c r="C42" s="10">
        <v>1176010000</v>
      </c>
      <c r="D42" s="9" t="s">
        <v>1209</v>
      </c>
      <c r="E42" s="9">
        <v>16</v>
      </c>
      <c r="F42" s="9" t="s">
        <v>371</v>
      </c>
      <c r="G42" s="9" t="s">
        <v>860</v>
      </c>
      <c r="H42" s="252"/>
      <c r="I42" s="252" t="s">
        <v>1055</v>
      </c>
    </row>
    <row r="43" spans="1:9" ht="60">
      <c r="A43" s="10"/>
      <c r="B43" s="10" t="s">
        <v>1210</v>
      </c>
      <c r="C43" s="10">
        <v>1877680000</v>
      </c>
      <c r="D43" s="9" t="s">
        <v>1209</v>
      </c>
      <c r="E43" s="9">
        <v>1</v>
      </c>
      <c r="F43" s="9" t="s">
        <v>810</v>
      </c>
      <c r="G43" s="9" t="s">
        <v>1211</v>
      </c>
      <c r="H43" s="252"/>
      <c r="I43" s="252" t="s">
        <v>1055</v>
      </c>
    </row>
    <row r="44" spans="1:9" ht="75">
      <c r="A44" s="255" t="s">
        <v>1019</v>
      </c>
      <c r="B44" s="10" t="s">
        <v>1212</v>
      </c>
      <c r="C44" s="10">
        <v>1123540000</v>
      </c>
      <c r="D44" s="9" t="s">
        <v>1209</v>
      </c>
      <c r="E44" s="9">
        <v>41</v>
      </c>
      <c r="F44" s="9" t="s">
        <v>371</v>
      </c>
      <c r="G44" s="9" t="s">
        <v>984</v>
      </c>
      <c r="H44" s="252"/>
      <c r="I44" s="252" t="s">
        <v>1055</v>
      </c>
    </row>
    <row r="45" spans="1:9" ht="90">
      <c r="A45" s="10"/>
      <c r="B45" s="10" t="s">
        <v>1213</v>
      </c>
      <c r="C45" s="10">
        <v>2556460000</v>
      </c>
      <c r="D45" s="9" t="s">
        <v>1209</v>
      </c>
      <c r="E45" s="9">
        <v>1</v>
      </c>
      <c r="F45" s="9" t="s">
        <v>810</v>
      </c>
      <c r="G45" s="9" t="s">
        <v>1214</v>
      </c>
      <c r="H45" s="252"/>
      <c r="I45" s="252" t="s">
        <v>1055</v>
      </c>
    </row>
    <row r="46" spans="1:9" ht="75">
      <c r="A46" s="255" t="s">
        <v>1145</v>
      </c>
      <c r="B46" s="10" t="s">
        <v>1215</v>
      </c>
      <c r="C46" s="10">
        <v>1122770000</v>
      </c>
      <c r="D46" s="9" t="s">
        <v>1209</v>
      </c>
      <c r="E46" s="9">
        <v>40</v>
      </c>
      <c r="F46" s="9" t="s">
        <v>371</v>
      </c>
      <c r="G46" s="9" t="s">
        <v>861</v>
      </c>
      <c r="H46" s="252"/>
      <c r="I46" s="252" t="s">
        <v>1055</v>
      </c>
    </row>
    <row r="47" spans="1:9" ht="75">
      <c r="A47" s="255" t="s">
        <v>1020</v>
      </c>
      <c r="B47" s="10" t="s">
        <v>1216</v>
      </c>
      <c r="C47" s="10">
        <v>1123490000</v>
      </c>
      <c r="D47" s="9" t="s">
        <v>1209</v>
      </c>
      <c r="E47" s="9">
        <v>30</v>
      </c>
      <c r="F47" s="9" t="s">
        <v>371</v>
      </c>
      <c r="G47" s="9" t="s">
        <v>983</v>
      </c>
      <c r="H47" s="252"/>
      <c r="I47" s="252" t="s">
        <v>1055</v>
      </c>
    </row>
    <row r="48" spans="1:9" ht="60">
      <c r="A48" s="10"/>
      <c r="B48" s="10" t="s">
        <v>1217</v>
      </c>
      <c r="C48" s="10">
        <v>1240800000</v>
      </c>
      <c r="D48" s="9" t="s">
        <v>1209</v>
      </c>
      <c r="E48" s="9">
        <v>1</v>
      </c>
      <c r="F48" s="9" t="s">
        <v>810</v>
      </c>
      <c r="G48" s="9" t="s">
        <v>1214</v>
      </c>
      <c r="H48" s="252"/>
      <c r="I48" s="252" t="s">
        <v>1056</v>
      </c>
    </row>
    <row r="49" spans="1:9" ht="90">
      <c r="A49" s="10"/>
      <c r="B49" s="10" t="s">
        <v>1218</v>
      </c>
      <c r="C49" s="10">
        <v>2556450000</v>
      </c>
      <c r="D49" s="9" t="s">
        <v>1209</v>
      </c>
      <c r="E49" s="9">
        <v>1</v>
      </c>
      <c r="F49" s="9" t="s">
        <v>810</v>
      </c>
      <c r="G49" s="9" t="s">
        <v>1214</v>
      </c>
      <c r="H49" s="252"/>
      <c r="I49" s="252" t="s">
        <v>1056</v>
      </c>
    </row>
    <row r="50" spans="1:9" ht="45">
      <c r="A50" s="255" t="s">
        <v>1219</v>
      </c>
      <c r="B50" s="10" t="s">
        <v>1220</v>
      </c>
      <c r="C50" s="10">
        <v>1020100000</v>
      </c>
      <c r="D50" s="9" t="s">
        <v>1209</v>
      </c>
      <c r="E50" s="9">
        <v>6</v>
      </c>
      <c r="F50" s="9" t="s">
        <v>810</v>
      </c>
      <c r="G50" s="9" t="s">
        <v>865</v>
      </c>
      <c r="H50" s="252"/>
      <c r="I50" s="252" t="s">
        <v>1056</v>
      </c>
    </row>
    <row r="51" spans="1:9" ht="30">
      <c r="A51" s="10"/>
      <c r="B51" s="10" t="s">
        <v>1221</v>
      </c>
      <c r="C51" s="10">
        <v>1061200000</v>
      </c>
      <c r="D51" s="9" t="s">
        <v>1209</v>
      </c>
      <c r="E51" s="9">
        <v>2</v>
      </c>
      <c r="F51" s="9" t="s">
        <v>810</v>
      </c>
      <c r="G51" s="9" t="s">
        <v>866</v>
      </c>
      <c r="H51" s="252"/>
      <c r="I51" s="252" t="s">
        <v>1056</v>
      </c>
    </row>
    <row r="52" spans="1:9" ht="45">
      <c r="A52" s="10"/>
      <c r="B52" s="10" t="s">
        <v>1222</v>
      </c>
      <c r="C52" s="10">
        <v>2460780000</v>
      </c>
      <c r="D52" s="9" t="s">
        <v>1209</v>
      </c>
      <c r="E52" s="9">
        <v>1</v>
      </c>
      <c r="F52" s="9" t="s">
        <v>810</v>
      </c>
      <c r="G52" s="9" t="s">
        <v>867</v>
      </c>
      <c r="H52" s="252"/>
      <c r="I52" s="252" t="s">
        <v>1056</v>
      </c>
    </row>
    <row r="53" spans="1:9" ht="45">
      <c r="A53" s="10"/>
      <c r="B53" s="10" t="s">
        <v>1223</v>
      </c>
      <c r="C53" s="10">
        <v>2460740000</v>
      </c>
      <c r="D53" s="9" t="s">
        <v>1209</v>
      </c>
      <c r="E53" s="9">
        <v>3</v>
      </c>
      <c r="F53" s="9" t="s">
        <v>810</v>
      </c>
      <c r="G53" s="9" t="s">
        <v>868</v>
      </c>
      <c r="H53" s="252"/>
      <c r="I53" s="252" t="s">
        <v>1056</v>
      </c>
    </row>
    <row r="54" spans="1:9" ht="45">
      <c r="A54" s="10"/>
      <c r="B54" s="10" t="s">
        <v>1224</v>
      </c>
      <c r="C54" s="10">
        <v>2561600000</v>
      </c>
      <c r="D54" s="9" t="s">
        <v>1209</v>
      </c>
      <c r="E54" s="9">
        <v>3</v>
      </c>
      <c r="F54" s="9" t="s">
        <v>810</v>
      </c>
      <c r="G54" s="9" t="s">
        <v>869</v>
      </c>
      <c r="H54" s="252"/>
      <c r="I54" s="252" t="s">
        <v>1056</v>
      </c>
    </row>
    <row r="55" spans="1:9" ht="45">
      <c r="A55" s="10"/>
      <c r="B55" s="10" t="s">
        <v>1225</v>
      </c>
      <c r="C55" s="10">
        <v>1050000000</v>
      </c>
      <c r="D55" s="9" t="s">
        <v>1209</v>
      </c>
      <c r="E55" s="9">
        <v>2</v>
      </c>
      <c r="F55" s="9" t="s">
        <v>810</v>
      </c>
      <c r="G55" s="9" t="s">
        <v>866</v>
      </c>
      <c r="H55" s="252"/>
      <c r="I55" s="252" t="s">
        <v>1056</v>
      </c>
    </row>
    <row r="56" spans="1:9" ht="45">
      <c r="A56" s="255"/>
      <c r="B56" s="10" t="s">
        <v>1226</v>
      </c>
      <c r="C56" s="10">
        <v>1020400000</v>
      </c>
      <c r="D56" s="9" t="s">
        <v>1209</v>
      </c>
      <c r="E56" s="9">
        <v>1</v>
      </c>
      <c r="F56" s="9" t="s">
        <v>810</v>
      </c>
      <c r="G56" s="9" t="s">
        <v>1227</v>
      </c>
      <c r="H56" s="252"/>
      <c r="I56" s="252" t="s">
        <v>1056</v>
      </c>
    </row>
    <row r="57" spans="1:9" ht="30">
      <c r="A57" s="10"/>
      <c r="B57" s="10" t="s">
        <v>1228</v>
      </c>
      <c r="C57" s="10">
        <v>1059000000</v>
      </c>
      <c r="D57" s="9" t="s">
        <v>1209</v>
      </c>
      <c r="E57" s="9">
        <v>1</v>
      </c>
      <c r="F57" s="9" t="s">
        <v>810</v>
      </c>
      <c r="G57" s="9" t="s">
        <v>1227</v>
      </c>
      <c r="H57" s="252" t="s">
        <v>1056</v>
      </c>
      <c r="I57" s="252" t="s">
        <v>1056</v>
      </c>
    </row>
    <row r="58" spans="1:9" ht="45">
      <c r="A58" s="10"/>
      <c r="B58" s="10" t="s">
        <v>1229</v>
      </c>
      <c r="C58" s="10">
        <v>1050100000</v>
      </c>
      <c r="D58" s="9" t="s">
        <v>1209</v>
      </c>
      <c r="E58" s="9">
        <v>1</v>
      </c>
      <c r="F58" s="9" t="s">
        <v>810</v>
      </c>
      <c r="G58" s="9" t="s">
        <v>1227</v>
      </c>
      <c r="H58" s="252" t="s">
        <v>1056</v>
      </c>
      <c r="I58" s="252" t="s">
        <v>1056</v>
      </c>
    </row>
    <row r="59" spans="1:9" ht="60">
      <c r="A59" s="255" t="s">
        <v>1094</v>
      </c>
      <c r="B59" s="10" t="s">
        <v>1230</v>
      </c>
      <c r="C59" s="10">
        <v>2954934</v>
      </c>
      <c r="D59" s="9" t="s">
        <v>864</v>
      </c>
      <c r="E59" s="9">
        <v>1</v>
      </c>
      <c r="F59" s="9" t="s">
        <v>371</v>
      </c>
      <c r="G59" s="9" t="s">
        <v>1231</v>
      </c>
      <c r="H59" s="252" t="s">
        <v>1055</v>
      </c>
      <c r="I59" s="252" t="s">
        <v>1055</v>
      </c>
    </row>
    <row r="60" spans="1:9" ht="30">
      <c r="A60" s="10"/>
      <c r="B60" s="10" t="s">
        <v>1232</v>
      </c>
      <c r="C60" s="253" t="s">
        <v>262</v>
      </c>
      <c r="D60" s="9" t="s">
        <v>263</v>
      </c>
      <c r="E60" s="9">
        <v>41</v>
      </c>
      <c r="F60" s="9" t="s">
        <v>371</v>
      </c>
      <c r="G60" s="9" t="s">
        <v>878</v>
      </c>
      <c r="H60" s="252" t="s">
        <v>1056</v>
      </c>
      <c r="I60" s="252" t="s">
        <v>1056</v>
      </c>
    </row>
    <row r="61" spans="1:9" ht="30">
      <c r="A61" s="10"/>
      <c r="B61" s="10" t="s">
        <v>1233</v>
      </c>
      <c r="C61" s="253" t="s">
        <v>277</v>
      </c>
      <c r="D61" s="9" t="s">
        <v>263</v>
      </c>
      <c r="E61" s="9">
        <v>11</v>
      </c>
      <c r="F61" s="9" t="s">
        <v>371</v>
      </c>
      <c r="G61" s="9"/>
      <c r="H61" s="252" t="s">
        <v>1057</v>
      </c>
      <c r="I61" s="252" t="s">
        <v>1057</v>
      </c>
    </row>
    <row r="62" spans="1:9" ht="30">
      <c r="A62" s="10"/>
      <c r="B62" s="10" t="s">
        <v>1234</v>
      </c>
      <c r="C62" s="253" t="s">
        <v>282</v>
      </c>
      <c r="D62" s="9" t="s">
        <v>263</v>
      </c>
      <c r="E62" s="9">
        <v>1</v>
      </c>
      <c r="F62" s="9" t="s">
        <v>371</v>
      </c>
      <c r="G62" s="9"/>
      <c r="H62" s="252" t="s">
        <v>1057</v>
      </c>
      <c r="I62" s="252" t="s">
        <v>1057</v>
      </c>
    </row>
    <row r="63" spans="1:9" ht="30">
      <c r="A63" s="10"/>
      <c r="B63" s="10" t="s">
        <v>1235</v>
      </c>
      <c r="C63" s="253" t="s">
        <v>863</v>
      </c>
      <c r="D63" s="9" t="s">
        <v>263</v>
      </c>
      <c r="E63" s="9">
        <v>1</v>
      </c>
      <c r="F63" s="9" t="s">
        <v>371</v>
      </c>
      <c r="G63" s="9"/>
      <c r="H63" s="252" t="s">
        <v>1057</v>
      </c>
      <c r="I63" s="252" t="s">
        <v>1057</v>
      </c>
    </row>
    <row r="64" spans="1:9" ht="75">
      <c r="A64" s="255" t="s">
        <v>1125</v>
      </c>
      <c r="B64" s="10" t="s">
        <v>1236</v>
      </c>
      <c r="C64" s="253" t="s">
        <v>879</v>
      </c>
      <c r="D64" s="9" t="s">
        <v>985</v>
      </c>
      <c r="E64" s="9">
        <v>7</v>
      </c>
      <c r="F64" s="9" t="s">
        <v>371</v>
      </c>
      <c r="G64" s="9" t="s">
        <v>880</v>
      </c>
      <c r="H64" s="252" t="s">
        <v>1057</v>
      </c>
      <c r="I64" s="252" t="s">
        <v>1057</v>
      </c>
    </row>
    <row r="65" spans="1:9" ht="180">
      <c r="A65" s="255" t="s">
        <v>1127</v>
      </c>
      <c r="B65" s="10" t="s">
        <v>1237</v>
      </c>
      <c r="C65" s="254" t="s">
        <v>1238</v>
      </c>
      <c r="D65" s="9" t="s">
        <v>263</v>
      </c>
      <c r="E65" s="9">
        <v>15</v>
      </c>
      <c r="F65" s="9" t="s">
        <v>371</v>
      </c>
      <c r="G65" s="9"/>
    </row>
    <row r="66" spans="1:9" ht="45">
      <c r="A66" s="255" t="s">
        <v>1130</v>
      </c>
      <c r="B66" s="10" t="s">
        <v>1239</v>
      </c>
      <c r="C66" s="254" t="s">
        <v>268</v>
      </c>
      <c r="D66" s="9" t="s">
        <v>263</v>
      </c>
      <c r="E66" s="9">
        <v>6</v>
      </c>
      <c r="F66" s="9" t="s">
        <v>371</v>
      </c>
      <c r="G66" s="9"/>
      <c r="H66" s="252" t="s">
        <v>1057</v>
      </c>
      <c r="I66" s="252" t="s">
        <v>1057</v>
      </c>
    </row>
    <row r="67" spans="1:9" ht="75">
      <c r="A67" s="255" t="s">
        <v>1126</v>
      </c>
      <c r="B67" s="10" t="s">
        <v>1240</v>
      </c>
      <c r="C67" s="254" t="s">
        <v>270</v>
      </c>
      <c r="D67" s="9" t="s">
        <v>263</v>
      </c>
      <c r="E67" s="9">
        <v>6</v>
      </c>
      <c r="F67" s="9" t="s">
        <v>371</v>
      </c>
      <c r="G67" s="9"/>
      <c r="H67" s="252" t="s">
        <v>1057</v>
      </c>
      <c r="I67" s="252" t="s">
        <v>1057</v>
      </c>
    </row>
    <row r="68" spans="1:9" ht="45">
      <c r="A68" s="255" t="s">
        <v>1131</v>
      </c>
      <c r="B68" s="10" t="s">
        <v>1241</v>
      </c>
      <c r="C68" s="254" t="s">
        <v>269</v>
      </c>
      <c r="D68" s="9" t="s">
        <v>263</v>
      </c>
      <c r="E68" s="9">
        <v>3</v>
      </c>
      <c r="F68" s="9" t="s">
        <v>371</v>
      </c>
      <c r="G68" s="9"/>
      <c r="H68" s="252" t="s">
        <v>1057</v>
      </c>
      <c r="I68" s="252" t="s">
        <v>1057</v>
      </c>
    </row>
    <row r="69" spans="1:9" ht="45">
      <c r="A69" s="255" t="s">
        <v>1124</v>
      </c>
      <c r="B69" s="10" t="s">
        <v>1242</v>
      </c>
      <c r="C69" s="254" t="s">
        <v>987</v>
      </c>
      <c r="D69" s="9" t="s">
        <v>263</v>
      </c>
      <c r="E69" s="9">
        <v>4</v>
      </c>
      <c r="F69" s="9" t="s">
        <v>371</v>
      </c>
      <c r="G69" s="9"/>
      <c r="H69" s="252" t="s">
        <v>1057</v>
      </c>
      <c r="I69" s="252" t="s">
        <v>1057</v>
      </c>
    </row>
    <row r="70" spans="1:9" ht="45">
      <c r="A70" s="255" t="s">
        <v>1129</v>
      </c>
      <c r="B70" s="10" t="s">
        <v>1243</v>
      </c>
      <c r="C70" s="254" t="s">
        <v>275</v>
      </c>
      <c r="D70" s="9" t="s">
        <v>263</v>
      </c>
      <c r="E70" s="9">
        <v>3</v>
      </c>
      <c r="F70" s="9" t="s">
        <v>371</v>
      </c>
      <c r="G70" s="9"/>
      <c r="H70" s="252" t="s">
        <v>1057</v>
      </c>
      <c r="I70" s="252" t="s">
        <v>1057</v>
      </c>
    </row>
    <row r="71" spans="1:9" ht="45">
      <c r="A71" s="255" t="s">
        <v>1128</v>
      </c>
      <c r="B71" s="10" t="s">
        <v>1244</v>
      </c>
      <c r="C71" s="254" t="s">
        <v>986</v>
      </c>
      <c r="D71" s="9" t="s">
        <v>263</v>
      </c>
      <c r="E71" s="9">
        <v>3</v>
      </c>
      <c r="F71" s="9" t="s">
        <v>371</v>
      </c>
      <c r="G71" s="9"/>
      <c r="H71" s="252" t="s">
        <v>1057</v>
      </c>
      <c r="I71" s="252" t="s">
        <v>1057</v>
      </c>
    </row>
    <row r="72" spans="1:9" ht="45">
      <c r="A72" s="255" t="s">
        <v>1146</v>
      </c>
      <c r="B72" s="10" t="s">
        <v>1245</v>
      </c>
      <c r="C72" s="254" t="s">
        <v>279</v>
      </c>
      <c r="D72" s="9" t="s">
        <v>263</v>
      </c>
      <c r="E72" s="9">
        <v>1</v>
      </c>
      <c r="F72" s="9" t="s">
        <v>371</v>
      </c>
      <c r="G72" s="9"/>
      <c r="H72" s="252" t="s">
        <v>1055</v>
      </c>
      <c r="I72" s="252" t="s">
        <v>1055</v>
      </c>
    </row>
    <row r="73" spans="1:9">
      <c r="A73" s="255" t="s">
        <v>1146</v>
      </c>
      <c r="B73" s="9" t="s">
        <v>1246</v>
      </c>
      <c r="C73" s="254" t="s">
        <v>1147</v>
      </c>
      <c r="D73" s="9" t="s">
        <v>263</v>
      </c>
      <c r="E73" s="9">
        <v>1</v>
      </c>
      <c r="F73" s="9" t="s">
        <v>371</v>
      </c>
      <c r="G73" s="9"/>
      <c r="H73" s="252" t="s">
        <v>1055</v>
      </c>
      <c r="I73" s="252" t="s">
        <v>1055</v>
      </c>
    </row>
    <row r="74" spans="1:9" ht="60">
      <c r="A74" s="255" t="s">
        <v>1042</v>
      </c>
      <c r="B74" s="10" t="s">
        <v>1247</v>
      </c>
      <c r="C74" s="253" t="s">
        <v>870</v>
      </c>
      <c r="D74" s="9" t="s">
        <v>826</v>
      </c>
      <c r="E74" s="9">
        <v>1</v>
      </c>
      <c r="F74" s="9" t="s">
        <v>371</v>
      </c>
      <c r="G74" s="9"/>
      <c r="H74" s="252" t="s">
        <v>1057</v>
      </c>
      <c r="I74" s="252" t="s">
        <v>1057</v>
      </c>
    </row>
    <row r="75" spans="1:9" ht="45">
      <c r="A75" s="256" t="s">
        <v>1058</v>
      </c>
      <c r="B75" s="10" t="s">
        <v>1248</v>
      </c>
      <c r="C75" s="253" t="s">
        <v>988</v>
      </c>
      <c r="D75" s="9" t="s">
        <v>809</v>
      </c>
      <c r="E75" s="9">
        <v>6</v>
      </c>
      <c r="F75" s="9" t="s">
        <v>371</v>
      </c>
      <c r="G75" s="9"/>
      <c r="H75" s="252" t="s">
        <v>1057</v>
      </c>
      <c r="I75" s="252" t="s">
        <v>1057</v>
      </c>
    </row>
    <row r="76" spans="1:9" ht="45">
      <c r="A76" s="256" t="s">
        <v>1058</v>
      </c>
      <c r="B76" s="10" t="s">
        <v>1249</v>
      </c>
      <c r="C76" s="253" t="s">
        <v>871</v>
      </c>
      <c r="D76" s="9" t="s">
        <v>809</v>
      </c>
      <c r="E76" s="9">
        <v>3</v>
      </c>
      <c r="F76" s="9" t="s">
        <v>810</v>
      </c>
      <c r="G76" s="9"/>
      <c r="H76" s="252" t="s">
        <v>1057</v>
      </c>
      <c r="I76" s="252" t="s">
        <v>1057</v>
      </c>
    </row>
    <row r="77" spans="1:9" ht="30">
      <c r="A77" s="255" t="s">
        <v>1021</v>
      </c>
      <c r="B77" s="10" t="s">
        <v>1250</v>
      </c>
      <c r="C77" s="253">
        <v>943405</v>
      </c>
      <c r="D77" s="9" t="s">
        <v>872</v>
      </c>
      <c r="E77" s="9">
        <v>1</v>
      </c>
      <c r="F77" s="9" t="s">
        <v>371</v>
      </c>
      <c r="G77" s="9" t="s">
        <v>989</v>
      </c>
      <c r="H77" s="252" t="s">
        <v>1057</v>
      </c>
      <c r="I77" s="252" t="s">
        <v>1057</v>
      </c>
    </row>
    <row r="78" spans="1:9" ht="45">
      <c r="A78" s="255" t="s">
        <v>1022</v>
      </c>
      <c r="B78" s="10" t="s">
        <v>1251</v>
      </c>
      <c r="C78" s="253">
        <v>93444012</v>
      </c>
      <c r="D78" s="9" t="s">
        <v>873</v>
      </c>
      <c r="E78" s="9">
        <v>1</v>
      </c>
      <c r="F78" s="9" t="s">
        <v>371</v>
      </c>
      <c r="G78" s="9" t="s">
        <v>874</v>
      </c>
      <c r="H78" s="252" t="s">
        <v>1057</v>
      </c>
      <c r="I78" s="252" t="s">
        <v>1057</v>
      </c>
    </row>
    <row r="79" spans="1:9" ht="30">
      <c r="A79" s="255" t="s">
        <v>1022</v>
      </c>
      <c r="B79" s="10" t="s">
        <v>990</v>
      </c>
      <c r="C79" s="253">
        <v>13094006</v>
      </c>
      <c r="D79" s="9" t="s">
        <v>873</v>
      </c>
      <c r="E79" s="9">
        <v>1</v>
      </c>
      <c r="F79" s="9" t="s">
        <v>371</v>
      </c>
      <c r="G79" s="9"/>
      <c r="H79" s="252" t="s">
        <v>1057</v>
      </c>
      <c r="I79" s="252" t="s">
        <v>1057</v>
      </c>
    </row>
    <row r="80" spans="1:9">
      <c r="A80" s="255" t="s">
        <v>1022</v>
      </c>
      <c r="B80" s="10" t="s">
        <v>991</v>
      </c>
      <c r="C80" s="253">
        <v>22944016</v>
      </c>
      <c r="D80" s="9" t="s">
        <v>873</v>
      </c>
      <c r="E80" s="9">
        <v>1</v>
      </c>
      <c r="F80" s="9" t="s">
        <v>371</v>
      </c>
      <c r="G80" s="9"/>
      <c r="H80" s="252" t="s">
        <v>1057</v>
      </c>
      <c r="I80" s="252" t="s">
        <v>1057</v>
      </c>
    </row>
    <row r="81" spans="1:9" ht="30">
      <c r="A81" s="255" t="s">
        <v>1022</v>
      </c>
      <c r="B81" s="10" t="s">
        <v>992</v>
      </c>
      <c r="C81" s="253">
        <v>13994006</v>
      </c>
      <c r="D81" s="9" t="s">
        <v>873</v>
      </c>
      <c r="E81" s="9">
        <v>1</v>
      </c>
      <c r="F81" s="9" t="s">
        <v>371</v>
      </c>
      <c r="G81" s="9"/>
      <c r="H81" s="252" t="s">
        <v>1057</v>
      </c>
      <c r="I81" s="252" t="s">
        <v>1057</v>
      </c>
    </row>
    <row r="82" spans="1:9" ht="45">
      <c r="A82" s="255" t="s">
        <v>1022</v>
      </c>
      <c r="B82" s="10" t="s">
        <v>1252</v>
      </c>
      <c r="C82" s="253">
        <v>13091001</v>
      </c>
      <c r="D82" s="9" t="s">
        <v>873</v>
      </c>
      <c r="E82" s="9">
        <v>1</v>
      </c>
      <c r="F82" s="9" t="s">
        <v>371</v>
      </c>
      <c r="G82" s="9"/>
      <c r="H82" s="252" t="s">
        <v>1057</v>
      </c>
      <c r="I82" s="252" t="s">
        <v>1057</v>
      </c>
    </row>
    <row r="83" spans="1:9">
      <c r="A83" s="255" t="s">
        <v>1132</v>
      </c>
      <c r="B83" s="10" t="s">
        <v>876</v>
      </c>
      <c r="C83" s="253" t="s">
        <v>875</v>
      </c>
      <c r="D83" s="9" t="s">
        <v>809</v>
      </c>
      <c r="E83" s="9">
        <v>1</v>
      </c>
      <c r="F83" s="9" t="s">
        <v>371</v>
      </c>
      <c r="G83" s="9"/>
      <c r="H83" s="252" t="s">
        <v>1057</v>
      </c>
      <c r="I83" s="252" t="s">
        <v>1057</v>
      </c>
    </row>
    <row r="84" spans="1:9" ht="45">
      <c r="A84" s="10"/>
      <c r="B84" s="10" t="s">
        <v>877</v>
      </c>
      <c r="C84" s="253" t="s">
        <v>881</v>
      </c>
      <c r="D84" s="9" t="s">
        <v>809</v>
      </c>
      <c r="E84" s="9">
        <v>30</v>
      </c>
      <c r="F84" s="9" t="s">
        <v>371</v>
      </c>
      <c r="G84" s="9" t="s">
        <v>882</v>
      </c>
      <c r="H84" s="252" t="s">
        <v>1056</v>
      </c>
      <c r="I84" s="252" t="s">
        <v>1056</v>
      </c>
    </row>
    <row r="85" spans="1:9" ht="30">
      <c r="A85" s="255" t="s">
        <v>1133</v>
      </c>
      <c r="B85" s="10" t="s">
        <v>883</v>
      </c>
      <c r="C85" s="253" t="s">
        <v>993</v>
      </c>
      <c r="D85" s="9" t="s">
        <v>809</v>
      </c>
      <c r="E85" s="9">
        <v>3</v>
      </c>
      <c r="F85" s="9" t="s">
        <v>371</v>
      </c>
      <c r="G85" s="9" t="s">
        <v>1253</v>
      </c>
      <c r="H85" s="252" t="s">
        <v>1057</v>
      </c>
      <c r="I85" s="252" t="s">
        <v>1057</v>
      </c>
    </row>
    <row r="86" spans="1:9" ht="60">
      <c r="A86" s="255" t="s">
        <v>1133</v>
      </c>
      <c r="B86" s="10" t="s">
        <v>1254</v>
      </c>
      <c r="C86" s="253" t="s">
        <v>884</v>
      </c>
      <c r="D86" s="9" t="s">
        <v>809</v>
      </c>
      <c r="E86" s="9">
        <v>3</v>
      </c>
      <c r="F86" s="9" t="s">
        <v>371</v>
      </c>
      <c r="G86" s="9"/>
      <c r="H86" s="252" t="s">
        <v>1057</v>
      </c>
      <c r="I86" s="252" t="s">
        <v>1057</v>
      </c>
    </row>
    <row r="87" spans="1:9" ht="45">
      <c r="A87" s="255" t="s">
        <v>1134</v>
      </c>
      <c r="B87" s="10" t="s">
        <v>1255</v>
      </c>
      <c r="C87" s="253" t="s">
        <v>885</v>
      </c>
      <c r="D87" s="9" t="s">
        <v>809</v>
      </c>
      <c r="E87" s="9">
        <v>6</v>
      </c>
      <c r="F87" s="9" t="s">
        <v>371</v>
      </c>
      <c r="G87" s="9" t="s">
        <v>890</v>
      </c>
      <c r="H87" s="252" t="s">
        <v>1057</v>
      </c>
      <c r="I87" s="252" t="s">
        <v>1057</v>
      </c>
    </row>
    <row r="88" spans="1:9" ht="30">
      <c r="A88" s="255" t="s">
        <v>1135</v>
      </c>
      <c r="B88" s="10" t="s">
        <v>1256</v>
      </c>
      <c r="C88" s="253" t="s">
        <v>886</v>
      </c>
      <c r="D88" s="9" t="s">
        <v>809</v>
      </c>
      <c r="E88" s="9">
        <v>1</v>
      </c>
      <c r="F88" s="9" t="s">
        <v>371</v>
      </c>
      <c r="G88" s="9"/>
      <c r="H88" s="252" t="s">
        <v>1057</v>
      </c>
      <c r="I88" s="252" t="s">
        <v>1057</v>
      </c>
    </row>
    <row r="89" spans="1:9" ht="30">
      <c r="A89" s="255" t="s">
        <v>1136</v>
      </c>
      <c r="B89" s="10" t="s">
        <v>1257</v>
      </c>
      <c r="C89" s="253" t="s">
        <v>887</v>
      </c>
      <c r="D89" s="9" t="s">
        <v>809</v>
      </c>
      <c r="E89" s="9">
        <v>1</v>
      </c>
      <c r="F89" s="9" t="s">
        <v>371</v>
      </c>
      <c r="G89" s="9"/>
      <c r="H89" s="252" t="s">
        <v>1057</v>
      </c>
      <c r="I89" s="252" t="s">
        <v>1057</v>
      </c>
    </row>
    <row r="90" spans="1:9" ht="60">
      <c r="A90" s="255" t="s">
        <v>1137</v>
      </c>
      <c r="B90" s="10" t="s">
        <v>1258</v>
      </c>
      <c r="C90" s="253" t="s">
        <v>888</v>
      </c>
      <c r="D90" s="9" t="s">
        <v>809</v>
      </c>
      <c r="E90" s="9">
        <v>14</v>
      </c>
      <c r="F90" s="9" t="s">
        <v>371</v>
      </c>
      <c r="G90" s="9"/>
      <c r="H90" s="252" t="s">
        <v>1057</v>
      </c>
      <c r="I90" s="252" t="s">
        <v>1057</v>
      </c>
    </row>
    <row r="91" spans="1:9" ht="45">
      <c r="A91" s="255" t="s">
        <v>1138</v>
      </c>
      <c r="B91" s="10" t="s">
        <v>1259</v>
      </c>
      <c r="C91" s="253" t="s">
        <v>889</v>
      </c>
      <c r="D91" s="9" t="s">
        <v>809</v>
      </c>
      <c r="E91" s="9">
        <v>2</v>
      </c>
      <c r="F91" s="9" t="s">
        <v>371</v>
      </c>
      <c r="G91" s="9"/>
      <c r="H91" s="252" t="s">
        <v>1057</v>
      </c>
      <c r="I91" s="252" t="s">
        <v>1057</v>
      </c>
    </row>
    <row r="92" spans="1:9" ht="45">
      <c r="A92" s="10"/>
      <c r="B92" s="10" t="s">
        <v>1260</v>
      </c>
      <c r="C92" s="253" t="s">
        <v>891</v>
      </c>
      <c r="D92" s="9" t="s">
        <v>809</v>
      </c>
      <c r="E92" s="9">
        <v>8</v>
      </c>
      <c r="F92" s="9" t="s">
        <v>371</v>
      </c>
      <c r="G92" s="9"/>
      <c r="H92" s="252" t="s">
        <v>1055</v>
      </c>
      <c r="I92" s="252" t="s">
        <v>1055</v>
      </c>
    </row>
    <row r="93" spans="1:9" ht="30">
      <c r="A93" s="255" t="s">
        <v>1139</v>
      </c>
      <c r="B93" s="10" t="s">
        <v>1261</v>
      </c>
      <c r="C93" s="253" t="s">
        <v>892</v>
      </c>
      <c r="D93" s="9" t="s">
        <v>809</v>
      </c>
      <c r="E93" s="9">
        <v>6</v>
      </c>
      <c r="F93" s="9" t="s">
        <v>371</v>
      </c>
      <c r="G93" s="9"/>
      <c r="H93" s="252" t="s">
        <v>1055</v>
      </c>
      <c r="I93" s="252" t="s">
        <v>1055</v>
      </c>
    </row>
    <row r="94" spans="1:9" ht="45">
      <c r="A94" s="255" t="s">
        <v>1140</v>
      </c>
      <c r="B94" s="10" t="s">
        <v>1262</v>
      </c>
      <c r="C94" s="253" t="s">
        <v>997</v>
      </c>
      <c r="D94" s="9" t="s">
        <v>809</v>
      </c>
      <c r="E94" s="9">
        <v>2</v>
      </c>
      <c r="F94" s="9" t="s">
        <v>371</v>
      </c>
      <c r="G94" s="9"/>
      <c r="H94" s="252" t="s">
        <v>1055</v>
      </c>
      <c r="I94" s="252" t="s">
        <v>1055</v>
      </c>
    </row>
    <row r="95" spans="1:9" ht="60">
      <c r="A95" s="255" t="s">
        <v>1140</v>
      </c>
      <c r="B95" s="10" t="s">
        <v>1263</v>
      </c>
      <c r="C95" s="253">
        <v>29450</v>
      </c>
      <c r="D95" s="9" t="s">
        <v>809</v>
      </c>
      <c r="E95" s="9">
        <v>2</v>
      </c>
      <c r="F95" s="9" t="s">
        <v>371</v>
      </c>
      <c r="G95" s="9"/>
      <c r="H95" s="252" t="s">
        <v>1055</v>
      </c>
      <c r="I95" s="252" t="s">
        <v>1055</v>
      </c>
    </row>
    <row r="96" spans="1:9">
      <c r="A96" s="255" t="s">
        <v>1040</v>
      </c>
      <c r="B96" s="10" t="s">
        <v>1264</v>
      </c>
      <c r="C96" s="253" t="s">
        <v>893</v>
      </c>
      <c r="D96" s="9" t="s">
        <v>894</v>
      </c>
      <c r="E96" s="9">
        <v>2</v>
      </c>
      <c r="F96" s="9" t="s">
        <v>371</v>
      </c>
      <c r="G96" s="9" t="s">
        <v>1265</v>
      </c>
      <c r="H96" s="252" t="s">
        <v>1055</v>
      </c>
      <c r="I96" s="252" t="s">
        <v>1055</v>
      </c>
    </row>
    <row r="97" spans="1:9">
      <c r="A97" s="255"/>
      <c r="B97" s="10" t="s">
        <v>1266</v>
      </c>
      <c r="C97" s="253" t="s">
        <v>994</v>
      </c>
      <c r="D97" s="9" t="s">
        <v>894</v>
      </c>
      <c r="E97" s="9">
        <v>1</v>
      </c>
      <c r="F97" s="9" t="s">
        <v>371</v>
      </c>
      <c r="G97" s="9"/>
      <c r="H97" s="252" t="s">
        <v>1055</v>
      </c>
      <c r="I97" s="252" t="s">
        <v>1055</v>
      </c>
    </row>
    <row r="98" spans="1:9" ht="75">
      <c r="A98" s="255" t="s">
        <v>1043</v>
      </c>
      <c r="B98" s="10" t="s">
        <v>1267</v>
      </c>
      <c r="C98" s="253" t="s">
        <v>996</v>
      </c>
      <c r="D98" s="9" t="s">
        <v>995</v>
      </c>
      <c r="E98" s="9">
        <v>1</v>
      </c>
      <c r="F98" s="9" t="s">
        <v>371</v>
      </c>
      <c r="G98" s="9"/>
      <c r="H98" s="252" t="s">
        <v>1057</v>
      </c>
      <c r="I98" s="252" t="s">
        <v>1057</v>
      </c>
    </row>
    <row r="99" spans="1:9" ht="45">
      <c r="A99" s="255" t="s">
        <v>1044</v>
      </c>
      <c r="B99" s="10" t="s">
        <v>1268</v>
      </c>
      <c r="C99" s="10">
        <v>2864011</v>
      </c>
      <c r="D99" s="9" t="s">
        <v>864</v>
      </c>
      <c r="E99" s="9">
        <v>2</v>
      </c>
      <c r="F99" s="9" t="s">
        <v>371</v>
      </c>
      <c r="G99" s="9"/>
      <c r="H99" s="252" t="s">
        <v>1057</v>
      </c>
      <c r="I99" s="252" t="s">
        <v>1057</v>
      </c>
    </row>
    <row r="100" spans="1:9" ht="39.950000000000003" customHeight="1">
      <c r="A100" s="255" t="s">
        <v>1141</v>
      </c>
      <c r="B100" s="10" t="s">
        <v>1269</v>
      </c>
      <c r="C100" s="253" t="s">
        <v>895</v>
      </c>
      <c r="D100" s="9" t="s">
        <v>1270</v>
      </c>
      <c r="E100" s="9">
        <v>2</v>
      </c>
      <c r="F100" s="9" t="s">
        <v>371</v>
      </c>
      <c r="G100" s="9"/>
      <c r="H100" s="252" t="s">
        <v>1057</v>
      </c>
      <c r="I100" s="252" t="s">
        <v>1057</v>
      </c>
    </row>
    <row r="101" spans="1:9" ht="60">
      <c r="A101" s="10"/>
      <c r="B101" s="10" t="s">
        <v>1271</v>
      </c>
      <c r="C101" s="253" t="s">
        <v>896</v>
      </c>
      <c r="D101" s="9" t="s">
        <v>821</v>
      </c>
      <c r="E101" s="9">
        <v>1</v>
      </c>
      <c r="F101" s="9" t="s">
        <v>371</v>
      </c>
      <c r="G101" s="9" t="s">
        <v>897</v>
      </c>
    </row>
    <row r="102" spans="1:9" ht="45">
      <c r="A102" s="10"/>
      <c r="B102" s="10" t="s">
        <v>1272</v>
      </c>
      <c r="C102" s="253" t="s">
        <v>1273</v>
      </c>
      <c r="D102" s="9" t="s">
        <v>821</v>
      </c>
      <c r="E102" s="9">
        <v>1</v>
      </c>
      <c r="F102" s="9" t="s">
        <v>371</v>
      </c>
      <c r="G102" s="9"/>
    </row>
    <row r="103" spans="1:9" ht="60">
      <c r="A103" s="255" t="s">
        <v>1045</v>
      </c>
      <c r="B103" s="10" t="s">
        <v>1274</v>
      </c>
      <c r="C103" s="253" t="s">
        <v>898</v>
      </c>
      <c r="D103" s="9" t="s">
        <v>901</v>
      </c>
      <c r="E103" s="9">
        <v>5</v>
      </c>
      <c r="F103" s="9" t="s">
        <v>371</v>
      </c>
      <c r="G103" s="9"/>
      <c r="H103" s="252" t="s">
        <v>1057</v>
      </c>
      <c r="I103" s="252" t="s">
        <v>1057</v>
      </c>
    </row>
    <row r="104" spans="1:9" ht="60">
      <c r="A104" s="255" t="s">
        <v>1045</v>
      </c>
      <c r="B104" s="10" t="s">
        <v>1275</v>
      </c>
      <c r="C104" s="253" t="s">
        <v>899</v>
      </c>
      <c r="D104" s="9" t="s">
        <v>901</v>
      </c>
      <c r="E104" s="9">
        <v>5</v>
      </c>
      <c r="F104" s="9" t="s">
        <v>371</v>
      </c>
      <c r="G104" s="9"/>
      <c r="H104" s="252" t="s">
        <v>1057</v>
      </c>
      <c r="I104" s="252" t="s">
        <v>1057</v>
      </c>
    </row>
    <row r="105" spans="1:9" ht="75">
      <c r="A105" s="255" t="s">
        <v>1045</v>
      </c>
      <c r="B105" s="10" t="s">
        <v>1276</v>
      </c>
      <c r="C105" s="253" t="s">
        <v>900</v>
      </c>
      <c r="D105" s="9" t="s">
        <v>901</v>
      </c>
      <c r="E105" s="9">
        <v>5</v>
      </c>
      <c r="F105" s="9" t="s">
        <v>371</v>
      </c>
      <c r="G105" s="9"/>
      <c r="H105" s="252" t="s">
        <v>1057</v>
      </c>
      <c r="I105" s="252" t="s">
        <v>1057</v>
      </c>
    </row>
    <row r="106" spans="1:9" ht="45">
      <c r="A106" s="255"/>
      <c r="B106" s="10" t="s">
        <v>1220</v>
      </c>
      <c r="C106" s="10">
        <v>1020100000</v>
      </c>
      <c r="D106" s="9" t="s">
        <v>1209</v>
      </c>
      <c r="E106" s="9">
        <v>1</v>
      </c>
      <c r="F106" s="9" t="s">
        <v>371</v>
      </c>
      <c r="G106" s="9" t="s">
        <v>1277</v>
      </c>
    </row>
    <row r="107" spans="1:9" ht="60">
      <c r="A107" s="255" t="s">
        <v>1142</v>
      </c>
      <c r="B107" s="10" t="s">
        <v>1278</v>
      </c>
      <c r="C107" s="10" t="s">
        <v>999</v>
      </c>
      <c r="D107" s="9" t="s">
        <v>1000</v>
      </c>
      <c r="E107" s="9">
        <v>1</v>
      </c>
      <c r="F107" s="9" t="s">
        <v>371</v>
      </c>
      <c r="G107" s="9"/>
    </row>
    <row r="108" spans="1:9" ht="75">
      <c r="A108" s="255" t="s">
        <v>1143</v>
      </c>
      <c r="B108" s="10" t="s">
        <v>1279</v>
      </c>
      <c r="C108" s="10" t="s">
        <v>1280</v>
      </c>
      <c r="D108" s="9" t="s">
        <v>1209</v>
      </c>
      <c r="E108" s="9">
        <v>5</v>
      </c>
      <c r="F108" s="9" t="s">
        <v>371</v>
      </c>
      <c r="G108" s="9"/>
    </row>
    <row r="109" spans="1:9" ht="135">
      <c r="A109" s="255" t="s">
        <v>1144</v>
      </c>
      <c r="B109" s="10" t="s">
        <v>1281</v>
      </c>
      <c r="C109" s="10" t="s">
        <v>1100</v>
      </c>
      <c r="D109" s="9" t="s">
        <v>1000</v>
      </c>
      <c r="E109" s="9">
        <v>2</v>
      </c>
      <c r="F109" s="9" t="s">
        <v>371</v>
      </c>
      <c r="G109" s="9"/>
    </row>
    <row r="110" spans="1:9">
      <c r="A110" s="25"/>
    </row>
    <row r="111" spans="1:9">
      <c r="A111" s="25"/>
    </row>
    <row r="112" spans="1:9">
      <c r="A112" s="25"/>
    </row>
    <row r="113" spans="1:6">
      <c r="A113" s="25"/>
    </row>
    <row r="115" spans="1:6" ht="30">
      <c r="B115" s="17" t="s">
        <v>998</v>
      </c>
    </row>
    <row r="116" spans="1:6">
      <c r="B116" s="10" t="s">
        <v>980</v>
      </c>
      <c r="C116" s="10" t="s">
        <v>999</v>
      </c>
      <c r="D116" s="9" t="s">
        <v>1000</v>
      </c>
      <c r="E116" s="9">
        <v>1</v>
      </c>
      <c r="F116" s="9" t="s">
        <v>811</v>
      </c>
    </row>
    <row r="117" spans="1:6">
      <c r="B117" s="10" t="s">
        <v>1001</v>
      </c>
      <c r="C117" s="10" t="s">
        <v>1004</v>
      </c>
      <c r="D117" s="9" t="s">
        <v>1009</v>
      </c>
      <c r="E117" s="9">
        <v>2</v>
      </c>
      <c r="F117" s="9" t="s">
        <v>811</v>
      </c>
    </row>
    <row r="118" spans="1:6">
      <c r="B118" s="10" t="s">
        <v>1002</v>
      </c>
      <c r="C118" s="10" t="s">
        <v>1003</v>
      </c>
      <c r="D118" s="9" t="s">
        <v>1009</v>
      </c>
      <c r="E118" s="9">
        <v>6</v>
      </c>
      <c r="F118" s="9" t="s">
        <v>811</v>
      </c>
    </row>
    <row r="119" spans="1:6">
      <c r="B119" s="10" t="s">
        <v>1005</v>
      </c>
      <c r="C119" s="10" t="s">
        <v>899</v>
      </c>
      <c r="D119" s="9" t="s">
        <v>1009</v>
      </c>
      <c r="E119" s="9">
        <v>8</v>
      </c>
      <c r="F119" s="9" t="s">
        <v>811</v>
      </c>
    </row>
    <row r="120" spans="1:6">
      <c r="B120" s="10" t="s">
        <v>1006</v>
      </c>
      <c r="C120" s="10" t="s">
        <v>900</v>
      </c>
      <c r="D120" s="9" t="s">
        <v>1009</v>
      </c>
      <c r="E120" s="9">
        <v>8</v>
      </c>
      <c r="F120" s="9" t="s">
        <v>811</v>
      </c>
    </row>
    <row r="121" spans="1:6">
      <c r="B121" s="10" t="s">
        <v>1007</v>
      </c>
      <c r="C121" s="10" t="s">
        <v>1008</v>
      </c>
      <c r="D121" s="9" t="s">
        <v>1009</v>
      </c>
      <c r="E121" s="9">
        <v>3</v>
      </c>
      <c r="F121" s="9" t="s">
        <v>811</v>
      </c>
    </row>
    <row r="123" spans="1:6">
      <c r="B123" s="17" t="s">
        <v>1093</v>
      </c>
    </row>
    <row r="124" spans="1:6">
      <c r="B124" s="10" t="s">
        <v>1099</v>
      </c>
      <c r="C124" s="10" t="s">
        <v>1100</v>
      </c>
      <c r="D124" s="9" t="s">
        <v>1000</v>
      </c>
      <c r="E124" s="9">
        <v>2</v>
      </c>
      <c r="F124" s="9" t="s">
        <v>371</v>
      </c>
    </row>
    <row r="125" spans="1:6">
      <c r="B125" s="10" t="s">
        <v>1121</v>
      </c>
      <c r="C125" s="10" t="s">
        <v>1101</v>
      </c>
      <c r="D125" s="9" t="s">
        <v>1000</v>
      </c>
      <c r="E125" s="9">
        <v>5</v>
      </c>
      <c r="F125" s="9" t="s">
        <v>371</v>
      </c>
    </row>
    <row r="126" spans="1:6">
      <c r="B126" s="9" t="s">
        <v>917</v>
      </c>
      <c r="C126" s="10">
        <v>1123490000</v>
      </c>
      <c r="D126" s="9" t="s">
        <v>859</v>
      </c>
      <c r="E126" s="9">
        <v>21</v>
      </c>
      <c r="F126" s="9" t="s">
        <v>371</v>
      </c>
    </row>
    <row r="127" spans="1:6" ht="30">
      <c r="B127" s="10" t="s">
        <v>1110</v>
      </c>
      <c r="C127" s="10">
        <v>2500200</v>
      </c>
      <c r="D127" s="9" t="s">
        <v>821</v>
      </c>
      <c r="E127" s="9">
        <v>2</v>
      </c>
      <c r="F127" s="9" t="s">
        <v>371</v>
      </c>
    </row>
    <row r="128" spans="1:6">
      <c r="B128" s="9" t="s">
        <v>272</v>
      </c>
      <c r="C128" s="254" t="s">
        <v>274</v>
      </c>
      <c r="D128" s="9" t="s">
        <v>263</v>
      </c>
      <c r="E128" s="9">
        <v>3</v>
      </c>
      <c r="F128" s="9" t="s">
        <v>371</v>
      </c>
    </row>
  </sheetData>
  <autoFilter ref="B1:G106" xr:uid="{C0EE72B6-5971-482C-ACAC-23B9DA9175A8}"/>
  <phoneticPr fontId="7"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1B51-8BBD-4E22-B90E-ED8E52E5824B}">
  <dimension ref="A2:R128"/>
  <sheetViews>
    <sheetView topLeftCell="A25" zoomScale="70" zoomScaleNormal="70" workbookViewId="0">
      <selection activeCell="C122" sqref="C122"/>
    </sheetView>
  </sheetViews>
  <sheetFormatPr defaultRowHeight="15"/>
  <cols>
    <col min="1" max="1" width="11.5703125" style="17" customWidth="1"/>
    <col min="2" max="2" width="43.85546875" style="17" customWidth="1"/>
    <col min="3" max="3" width="18.85546875" style="17" bestFit="1" customWidth="1"/>
    <col min="4" max="4" width="26.5703125" bestFit="1" customWidth="1"/>
    <col min="5" max="5" width="8" bestFit="1" customWidth="1"/>
    <col min="6" max="6" width="14.42578125" bestFit="1" customWidth="1"/>
    <col min="9" max="9" width="10.140625" bestFit="1" customWidth="1"/>
    <col min="10" max="10" width="11.5703125" style="17" customWidth="1"/>
    <col min="11" max="11" width="46.7109375" customWidth="1"/>
    <col min="12" max="12" width="10" customWidth="1"/>
  </cols>
  <sheetData>
    <row r="2" spans="1:18">
      <c r="I2" s="293" t="s">
        <v>1446</v>
      </c>
      <c r="J2" s="294"/>
      <c r="K2" s="294"/>
      <c r="L2" s="294"/>
      <c r="M2" s="295"/>
    </row>
    <row r="3" spans="1:18" ht="30">
      <c r="A3" s="10" t="s">
        <v>352</v>
      </c>
      <c r="B3" s="10" t="s">
        <v>822</v>
      </c>
      <c r="C3" s="10" t="s">
        <v>1353</v>
      </c>
      <c r="D3" s="9" t="s">
        <v>1104</v>
      </c>
      <c r="E3" s="9" t="s">
        <v>292</v>
      </c>
      <c r="F3" s="9" t="s">
        <v>1105</v>
      </c>
      <c r="I3" s="9" t="s">
        <v>289</v>
      </c>
      <c r="J3" s="10" t="s">
        <v>290</v>
      </c>
      <c r="K3" s="9" t="s">
        <v>0</v>
      </c>
      <c r="L3" s="10" t="s">
        <v>291</v>
      </c>
      <c r="M3" s="9" t="s">
        <v>292</v>
      </c>
      <c r="R3" t="s">
        <v>1445</v>
      </c>
    </row>
    <row r="4" spans="1:18" ht="75">
      <c r="A4" s="10"/>
      <c r="B4" s="10" t="s">
        <v>1102</v>
      </c>
      <c r="C4" s="10">
        <v>8808071</v>
      </c>
      <c r="D4" s="9" t="s">
        <v>821</v>
      </c>
      <c r="E4" s="9">
        <v>2</v>
      </c>
      <c r="F4" s="9" t="s">
        <v>810</v>
      </c>
      <c r="I4" s="259" t="s">
        <v>294</v>
      </c>
      <c r="J4" s="10" t="str">
        <f>IF(A4=0,"",A4)</f>
        <v/>
      </c>
      <c r="K4" s="10" t="str">
        <f>_xlfn.CONCAT(B4,CHAR(10),$C$3,": ",C4,CHAR(10),$D$3,": ",D4)</f>
        <v>Ormar samostojeći VX25, š×v×d: 800×2000×800 mm, IP 55, s prednjim i stražnjim vratima, s 2 montažne ploče
Narudžbeni broj: 8808071
Proizvođač: Rittal</v>
      </c>
      <c r="L4" s="9">
        <f>E4</f>
        <v>2</v>
      </c>
      <c r="M4" s="9" t="str">
        <f>F4</f>
        <v>set</v>
      </c>
      <c r="P4" s="258"/>
    </row>
    <row r="5" spans="1:18" ht="45">
      <c r="A5" s="10"/>
      <c r="B5" s="10" t="s">
        <v>1103</v>
      </c>
      <c r="C5" s="10">
        <v>4591700</v>
      </c>
      <c r="D5" s="9" t="s">
        <v>821</v>
      </c>
      <c r="E5" s="9">
        <v>2</v>
      </c>
      <c r="F5" s="9" t="s">
        <v>371</v>
      </c>
      <c r="I5" s="259" t="s">
        <v>299</v>
      </c>
      <c r="J5" s="10" t="str">
        <f t="shared" ref="J5:J70" si="0">IF(A5=0,"",A5)</f>
        <v/>
      </c>
      <c r="K5" s="10" t="str">
        <f t="shared" ref="K5:K70" si="1">_xlfn.CONCAT(B5,CHAR(10),$C$3,": ",C5,CHAR(10),$D$3,": ",D5)</f>
        <v>Međuploča montažna, za ormare visine 2000 mm
Narudžbeni broj: 4591700
Proizvođač: Rittal</v>
      </c>
      <c r="L5" s="9">
        <f t="shared" ref="L5:L70" si="2">E5</f>
        <v>2</v>
      </c>
      <c r="M5" s="9" t="str">
        <f t="shared" ref="M5:M69" si="3">F5</f>
        <v>kom</v>
      </c>
    </row>
    <row r="6" spans="1:18" ht="60">
      <c r="A6" s="10"/>
      <c r="B6" s="10" t="s">
        <v>1180</v>
      </c>
      <c r="C6" s="10">
        <v>4540000</v>
      </c>
      <c r="D6" s="9" t="s">
        <v>821</v>
      </c>
      <c r="E6" s="9">
        <v>1</v>
      </c>
      <c r="F6" s="9" t="s">
        <v>810</v>
      </c>
      <c r="I6" s="9" t="s">
        <v>302</v>
      </c>
      <c r="J6" s="10" t="str">
        <f t="shared" si="0"/>
        <v/>
      </c>
      <c r="K6" s="10" t="str">
        <f t="shared" si="1"/>
        <v>Kutnik spojni za raspodjelu vlačnih sila tijekom transporta  ormara, pak=4
Narudžbeni broj: 4540000
Proizvođač: Rittal</v>
      </c>
      <c r="L6" s="9">
        <f t="shared" si="2"/>
        <v>1</v>
      </c>
      <c r="M6" s="9" t="str">
        <f t="shared" si="3"/>
        <v>set</v>
      </c>
    </row>
    <row r="7" spans="1:18" ht="60">
      <c r="A7" s="10"/>
      <c r="B7" s="10" t="s">
        <v>1181</v>
      </c>
      <c r="C7" s="10">
        <v>8660003</v>
      </c>
      <c r="D7" s="9" t="s">
        <v>821</v>
      </c>
      <c r="E7" s="9">
        <v>2</v>
      </c>
      <c r="F7" s="9" t="s">
        <v>810</v>
      </c>
      <c r="I7" s="9" t="s">
        <v>1354</v>
      </c>
      <c r="J7" s="10" t="str">
        <f t="shared" si="0"/>
        <v/>
      </c>
      <c r="K7" s="10" t="str">
        <f t="shared" si="1"/>
        <v>Podnožje prednje/ stražnje VX25, š×v: 800×100 mm, crno, pak=2
Narudžbeni broj: 8660003
Proizvođač: Rittal</v>
      </c>
      <c r="L7" s="9">
        <f t="shared" si="2"/>
        <v>2</v>
      </c>
      <c r="M7" s="9" t="str">
        <f t="shared" si="3"/>
        <v>set</v>
      </c>
    </row>
    <row r="8" spans="1:18" ht="60">
      <c r="A8" s="10"/>
      <c r="B8" s="10" t="s">
        <v>1184</v>
      </c>
      <c r="C8" s="10">
        <v>8617500</v>
      </c>
      <c r="D8" s="9" t="s">
        <v>821</v>
      </c>
      <c r="E8" s="9">
        <v>1</v>
      </c>
      <c r="F8" s="9" t="s">
        <v>810</v>
      </c>
      <c r="I8" s="9" t="s">
        <v>1355</v>
      </c>
      <c r="J8" s="10" t="str">
        <f t="shared" ref="J8:J18" si="4">IF(A8=0,"",A8)</f>
        <v/>
      </c>
      <c r="K8" s="10" t="str">
        <f t="shared" ref="K8:K18" si="5">_xlfn.CONCAT(B8,CHAR(10),$C$3,": ",C8,CHAR(10),$D$3,": ",D8)</f>
        <v>Unutarnji spojni nosač za spajanje ormara, VX25/VX25, materijal: pocinčani čelični lim, pak=6
Narudžbeni broj: 8617500
Proizvođač: Rittal</v>
      </c>
      <c r="L8" s="9">
        <f t="shared" ref="L8:L18" si="6">E8</f>
        <v>1</v>
      </c>
      <c r="M8" s="9" t="str">
        <f t="shared" si="3"/>
        <v>set</v>
      </c>
    </row>
    <row r="9" spans="1:18" ht="45">
      <c r="A9" s="10"/>
      <c r="B9" s="10" t="s">
        <v>1106</v>
      </c>
      <c r="C9" s="10">
        <v>8108245</v>
      </c>
      <c r="D9" s="9" t="s">
        <v>821</v>
      </c>
      <c r="E9" s="9">
        <v>1</v>
      </c>
      <c r="F9" s="9" t="s">
        <v>810</v>
      </c>
      <c r="I9" s="9" t="s">
        <v>1356</v>
      </c>
      <c r="J9" s="10" t="str">
        <f t="shared" si="4"/>
        <v/>
      </c>
      <c r="K9" s="10" t="str">
        <f t="shared" si="5"/>
        <v>Stranica bočna VX25, v×d: 2000×800mm, pak=2
Narudžbeni broj: 8108245
Proizvođač: Rittal</v>
      </c>
      <c r="L9" s="9">
        <f t="shared" si="6"/>
        <v>1</v>
      </c>
      <c r="M9" s="9" t="str">
        <f t="shared" si="3"/>
        <v>set</v>
      </c>
    </row>
    <row r="10" spans="1:18" ht="60">
      <c r="A10" s="10"/>
      <c r="B10" s="10" t="s">
        <v>1186</v>
      </c>
      <c r="C10" s="10">
        <v>8660034</v>
      </c>
      <c r="D10" s="9" t="s">
        <v>821</v>
      </c>
      <c r="E10" s="9">
        <v>2</v>
      </c>
      <c r="F10" s="9" t="s">
        <v>810</v>
      </c>
      <c r="I10" s="9" t="s">
        <v>305</v>
      </c>
      <c r="J10" s="10" t="str">
        <f t="shared" si="4"/>
        <v/>
      </c>
      <c r="K10" s="10" t="str">
        <f t="shared" si="5"/>
        <v>Stranica podnožja bočna, čelični lim, VX25, v×d: 100×800 mm, pak=2
Narudžbeni broj: 8660034
Proizvođač: Rittal</v>
      </c>
      <c r="L10" s="9">
        <f t="shared" si="6"/>
        <v>2</v>
      </c>
      <c r="M10" s="9" t="str">
        <f t="shared" si="3"/>
        <v>set</v>
      </c>
    </row>
    <row r="11" spans="1:18" ht="60">
      <c r="A11" s="10"/>
      <c r="B11" s="10" t="s">
        <v>1187</v>
      </c>
      <c r="C11" s="10">
        <v>1206421</v>
      </c>
      <c r="D11" s="9" t="s">
        <v>821</v>
      </c>
      <c r="E11" s="9">
        <v>2</v>
      </c>
      <c r="F11" s="9" t="s">
        <v>371</v>
      </c>
      <c r="I11" s="9" t="s">
        <v>1357</v>
      </c>
      <c r="J11" s="10" t="str">
        <f t="shared" si="4"/>
        <v/>
      </c>
      <c r="K11" s="10" t="str">
        <f t="shared" si="5"/>
        <v>Šina perforirana DIN, 35/ 7,5 mm, L=2000 mm, ZN vrh: NS 35/ 7,5
Narudžbeni broj: 1206421
Proizvođač: Rittal</v>
      </c>
      <c r="L11" s="9">
        <f t="shared" si="6"/>
        <v>2</v>
      </c>
      <c r="M11" s="9" t="str">
        <f t="shared" si="3"/>
        <v>kom</v>
      </c>
    </row>
    <row r="12" spans="1:18" ht="45">
      <c r="A12" s="10"/>
      <c r="B12" s="10" t="s">
        <v>1107</v>
      </c>
      <c r="C12" s="10">
        <v>8617502</v>
      </c>
      <c r="D12" s="9" t="s">
        <v>821</v>
      </c>
      <c r="E12" s="9">
        <v>1</v>
      </c>
      <c r="F12" s="9" t="s">
        <v>810</v>
      </c>
      <c r="I12" s="9" t="s">
        <v>1358</v>
      </c>
      <c r="J12" s="10" t="str">
        <f t="shared" si="4"/>
        <v/>
      </c>
      <c r="K12" s="10" t="str">
        <f t="shared" si="5"/>
        <v>Spojnik ormara Vanjski, VX25/VX25, pak=6
Narudžbeni broj: 8617502
Proizvođač: Rittal</v>
      </c>
      <c r="L12" s="9">
        <f t="shared" si="6"/>
        <v>1</v>
      </c>
      <c r="M12" s="9" t="str">
        <f t="shared" si="3"/>
        <v>set</v>
      </c>
    </row>
    <row r="13" spans="1:18" ht="60">
      <c r="A13" s="10"/>
      <c r="B13" s="10" t="s">
        <v>1108</v>
      </c>
      <c r="C13" s="10">
        <v>8800885</v>
      </c>
      <c r="D13" s="9" t="s">
        <v>821</v>
      </c>
      <c r="E13" s="9">
        <v>1</v>
      </c>
      <c r="F13" s="9" t="s">
        <v>371</v>
      </c>
      <c r="I13" s="9" t="s">
        <v>1359</v>
      </c>
      <c r="J13" s="10" t="str">
        <f t="shared" si="4"/>
        <v/>
      </c>
      <c r="K13" s="10" t="str">
        <f t="shared" si="5"/>
        <v>Pokrov za spoj polja ormara TS8/VX25 dubine 800 mm
Narudžbeni broj: 8800885
Proizvođač: Rittal</v>
      </c>
      <c r="L13" s="9">
        <f t="shared" si="6"/>
        <v>1</v>
      </c>
      <c r="M13" s="9" t="str">
        <f t="shared" si="3"/>
        <v>kom</v>
      </c>
    </row>
    <row r="14" spans="1:18" ht="60">
      <c r="A14" s="10"/>
      <c r="B14" s="10" t="s">
        <v>1188</v>
      </c>
      <c r="C14" s="10">
        <v>5302351</v>
      </c>
      <c r="D14" s="9" t="s">
        <v>821</v>
      </c>
      <c r="E14" s="9">
        <v>4</v>
      </c>
      <c r="F14" s="9" t="s">
        <v>371</v>
      </c>
      <c r="I14" s="9" t="s">
        <v>1360</v>
      </c>
      <c r="J14" s="10" t="str">
        <f t="shared" si="4"/>
        <v/>
      </c>
      <c r="K14" s="10" t="str">
        <f t="shared" si="5"/>
        <v>Montažni nosač za pričvršćivanje prekidača s upravljanjem vratima na okvir VX, VX IT
Narudžbeni broj: 5302351
Proizvođač: Rittal</v>
      </c>
      <c r="L14" s="9">
        <f t="shared" si="6"/>
        <v>4</v>
      </c>
      <c r="M14" s="9" t="str">
        <f t="shared" si="3"/>
        <v>kom</v>
      </c>
    </row>
    <row r="15" spans="1:18" ht="45">
      <c r="A15" s="10"/>
      <c r="B15" s="10" t="s">
        <v>1112</v>
      </c>
      <c r="C15" s="10">
        <v>4568000</v>
      </c>
      <c r="D15" s="9" t="s">
        <v>821</v>
      </c>
      <c r="E15" s="9">
        <v>2</v>
      </c>
      <c r="F15" s="9" t="s">
        <v>810</v>
      </c>
      <c r="I15" s="9" t="s">
        <v>1361</v>
      </c>
      <c r="J15" s="10" t="str">
        <f t="shared" si="4"/>
        <v/>
      </c>
      <c r="K15" s="10" t="str">
        <f t="shared" si="5"/>
        <v>Kuke transportne VX25, M12, pak=4
Narudžbeni broj: 4568000
Proizvođač: Rittal</v>
      </c>
      <c r="L15" s="9">
        <f t="shared" si="6"/>
        <v>2</v>
      </c>
      <c r="M15" s="9" t="str">
        <f t="shared" si="3"/>
        <v>set</v>
      </c>
    </row>
    <row r="16" spans="1:18" ht="60">
      <c r="A16" s="10"/>
      <c r="B16" s="10" t="s">
        <v>1113</v>
      </c>
      <c r="C16" s="10">
        <v>8618200</v>
      </c>
      <c r="D16" s="9" t="s">
        <v>821</v>
      </c>
      <c r="E16" s="9">
        <v>4</v>
      </c>
      <c r="F16" s="9" t="s">
        <v>371</v>
      </c>
      <c r="I16" s="9" t="s">
        <v>308</v>
      </c>
      <c r="J16" s="10" t="str">
        <f t="shared" si="4"/>
        <v/>
      </c>
      <c r="K16" s="10" t="str">
        <f t="shared" si="5"/>
        <v>Ručica COMFORT VX25, bez umetka, RAL 7035, za polucilindar umetke
Narudžbeni broj: 8618200
Proizvođač: Rittal</v>
      </c>
      <c r="L16" s="9">
        <f t="shared" si="6"/>
        <v>4</v>
      </c>
      <c r="M16" s="9" t="str">
        <f t="shared" si="3"/>
        <v>kom</v>
      </c>
    </row>
    <row r="17" spans="1:13" ht="60">
      <c r="A17" s="10"/>
      <c r="B17" s="10" t="s">
        <v>1115</v>
      </c>
      <c r="C17" s="10">
        <v>8618801</v>
      </c>
      <c r="D17" s="9" t="s">
        <v>821</v>
      </c>
      <c r="E17" s="9">
        <v>4</v>
      </c>
      <c r="F17" s="9" t="s">
        <v>810</v>
      </c>
      <c r="I17" s="9" t="s">
        <v>1362</v>
      </c>
      <c r="J17" s="10" t="str">
        <f t="shared" si="4"/>
        <v/>
      </c>
      <c r="K17" s="10" t="str">
        <f t="shared" si="5"/>
        <v>Sekcija za ulaz kabela VX25, Centralna za ormar širine 800 mm, pak=2
Narudžbeni broj: 8618801
Proizvođač: Rittal</v>
      </c>
      <c r="L17" s="9">
        <f t="shared" si="6"/>
        <v>4</v>
      </c>
      <c r="M17" s="9" t="str">
        <f t="shared" si="3"/>
        <v>set</v>
      </c>
    </row>
    <row r="18" spans="1:13" ht="60">
      <c r="A18" s="10"/>
      <c r="B18" s="10" t="s">
        <v>1116</v>
      </c>
      <c r="C18" s="10">
        <v>4118000</v>
      </c>
      <c r="D18" s="9" t="s">
        <v>821</v>
      </c>
      <c r="E18" s="9">
        <v>2</v>
      </c>
      <c r="F18" s="9" t="s">
        <v>371</v>
      </c>
      <c r="I18" s="9" t="s">
        <v>1363</v>
      </c>
      <c r="J18" s="10" t="str">
        <f t="shared" si="4"/>
        <v/>
      </c>
      <c r="K18" s="10" t="str">
        <f t="shared" si="5"/>
        <v>Džep za nacrte metalni, š×v×d: 655×210×90 mm, za montažu vijcima na okvir vrata
Narudžbeni broj: 4118000
Proizvođač: Rittal</v>
      </c>
      <c r="L18" s="9">
        <f t="shared" si="6"/>
        <v>2</v>
      </c>
      <c r="M18" s="9" t="str">
        <f t="shared" si="3"/>
        <v>kom</v>
      </c>
    </row>
    <row r="19" spans="1:13" ht="60">
      <c r="A19" s="255" t="s">
        <v>1448</v>
      </c>
      <c r="B19" s="10" t="s">
        <v>1182</v>
      </c>
      <c r="C19" s="10">
        <v>2500460</v>
      </c>
      <c r="D19" s="9" t="s">
        <v>821</v>
      </c>
      <c r="E19" s="9">
        <v>4</v>
      </c>
      <c r="F19" s="9" t="s">
        <v>371</v>
      </c>
      <c r="I19" s="9" t="s">
        <v>1364</v>
      </c>
      <c r="J19" s="10" t="str">
        <f t="shared" si="0"/>
        <v>-S151, -S152, -S153, -S154</v>
      </c>
      <c r="K19" s="10" t="str">
        <f t="shared" si="1"/>
        <v>Prekidač za vrata za LED sistemsku rasvjetu, sa kabelom 0,8 m
Narudžbeni broj: 2500460
Proizvođač: Rittal</v>
      </c>
      <c r="L19" s="9">
        <f t="shared" si="2"/>
        <v>4</v>
      </c>
      <c r="M19" s="9" t="str">
        <f t="shared" si="3"/>
        <v>kom</v>
      </c>
    </row>
    <row r="20" spans="1:13" ht="60">
      <c r="A20" s="255" t="s">
        <v>1117</v>
      </c>
      <c r="B20" s="10" t="s">
        <v>1183</v>
      </c>
      <c r="C20" s="10">
        <v>3105370</v>
      </c>
      <c r="D20" s="9" t="s">
        <v>821</v>
      </c>
      <c r="E20" s="9">
        <v>2</v>
      </c>
      <c r="F20" s="9" t="s">
        <v>371</v>
      </c>
      <c r="I20" s="9" t="s">
        <v>1365</v>
      </c>
      <c r="J20" s="10" t="str">
        <f t="shared" si="0"/>
        <v>-R101, -R102</v>
      </c>
      <c r="K20" s="10" t="str">
        <f t="shared" si="1"/>
        <v>Grijač PTC TopTherm, 130..150 W, 110-240V AC/DC, Izvedba bez ventilatora
Narudžbeni broj: 3105370
Proizvođač: Rittal</v>
      </c>
      <c r="L20" s="9">
        <f t="shared" si="2"/>
        <v>2</v>
      </c>
      <c r="M20" s="9" t="str">
        <f t="shared" si="3"/>
        <v>kom</v>
      </c>
    </row>
    <row r="21" spans="1:13" ht="60">
      <c r="A21" s="255" t="s">
        <v>1119</v>
      </c>
      <c r="B21" s="10" t="s">
        <v>1185</v>
      </c>
      <c r="C21" s="10">
        <v>3110000</v>
      </c>
      <c r="D21" s="9" t="s">
        <v>821</v>
      </c>
      <c r="E21" s="9">
        <v>1</v>
      </c>
      <c r="F21" s="9" t="s">
        <v>371</v>
      </c>
      <c r="I21" s="9" t="s">
        <v>1366</v>
      </c>
      <c r="J21" s="10" t="str">
        <f t="shared" si="0"/>
        <v>-B101</v>
      </c>
      <c r="K21" s="10" t="str">
        <f t="shared" si="1"/>
        <v>Unutarnji termostat za kućište +5...+60°C, 24-230V AC, 24-60V DC
Narudžbeni broj: 3110000
Proizvođač: Rittal</v>
      </c>
      <c r="L21" s="9">
        <f t="shared" si="2"/>
        <v>1</v>
      </c>
      <c r="M21" s="9" t="str">
        <f t="shared" si="3"/>
        <v>kom</v>
      </c>
    </row>
    <row r="22" spans="1:13" ht="60">
      <c r="A22" s="10"/>
      <c r="B22" s="10" t="s">
        <v>1111</v>
      </c>
      <c r="C22" s="10">
        <v>2500530</v>
      </c>
      <c r="D22" s="9" t="s">
        <v>821</v>
      </c>
      <c r="E22" s="9">
        <v>2</v>
      </c>
      <c r="F22" s="9" t="s">
        <v>371</v>
      </c>
      <c r="I22" s="9" t="s">
        <v>1367</v>
      </c>
      <c r="J22" s="10" t="str">
        <f t="shared" si="0"/>
        <v/>
      </c>
      <c r="K22" s="10" t="str">
        <f t="shared" si="1"/>
        <v>Kabel međuspojni za LED rasvjetu (narančasti) UL, 100...240 V AC, 3-pol, 1m
Narudžbeni broj: 2500530
Proizvođač: Rittal</v>
      </c>
      <c r="L22" s="9">
        <f t="shared" si="2"/>
        <v>2</v>
      </c>
      <c r="M22" s="9" t="str">
        <f t="shared" si="3"/>
        <v>kom</v>
      </c>
    </row>
    <row r="23" spans="1:13" ht="60">
      <c r="A23" s="10"/>
      <c r="B23" s="10" t="s">
        <v>1109</v>
      </c>
      <c r="C23" s="253" t="s">
        <v>982</v>
      </c>
      <c r="D23" s="9" t="s">
        <v>821</v>
      </c>
      <c r="E23" s="9">
        <v>2</v>
      </c>
      <c r="F23" s="9" t="s">
        <v>371</v>
      </c>
      <c r="I23" s="9" t="s">
        <v>1368</v>
      </c>
      <c r="J23" s="10" t="str">
        <f t="shared" si="0"/>
        <v/>
      </c>
      <c r="K23" s="10" t="str">
        <f t="shared" si="1"/>
        <v>Kabel za napajanje LED rasvjete (narančasti), 100...240 V AC, 3-pol, 3m
Narudžbeni broj: 2500500K
Proizvođač: Rittal</v>
      </c>
      <c r="L23" s="9">
        <f t="shared" si="2"/>
        <v>2</v>
      </c>
      <c r="M23" s="9" t="str">
        <f t="shared" si="3"/>
        <v>kom</v>
      </c>
    </row>
    <row r="24" spans="1:13" ht="60">
      <c r="A24" s="255" t="s">
        <v>1120</v>
      </c>
      <c r="B24" s="10" t="s">
        <v>1110</v>
      </c>
      <c r="C24" s="10">
        <v>2500200</v>
      </c>
      <c r="D24" s="9" t="s">
        <v>821</v>
      </c>
      <c r="E24" s="9">
        <v>2</v>
      </c>
      <c r="F24" s="9" t="s">
        <v>371</v>
      </c>
      <c r="I24" s="9" t="s">
        <v>1369</v>
      </c>
      <c r="J24" s="10" t="str">
        <f t="shared" si="0"/>
        <v>-E101, -E102</v>
      </c>
      <c r="K24" s="10" t="str">
        <f t="shared" si="1"/>
        <v>Rasvjeta LED, 100...240V AC, 900 lm, L=437 mm, bez utičnice
Narudžbeni broj: 2500200
Proizvođač: Rittal</v>
      </c>
      <c r="L24" s="9">
        <f t="shared" si="2"/>
        <v>2</v>
      </c>
      <c r="M24" s="9" t="str">
        <f t="shared" si="3"/>
        <v>kom</v>
      </c>
    </row>
    <row r="25" spans="1:13" ht="75">
      <c r="A25" s="10"/>
      <c r="B25" s="10" t="s">
        <v>1189</v>
      </c>
      <c r="C25" s="10">
        <v>2500490</v>
      </c>
      <c r="D25" s="9" t="s">
        <v>821</v>
      </c>
      <c r="E25" s="9">
        <v>4</v>
      </c>
      <c r="F25" s="9" t="s">
        <v>371</v>
      </c>
      <c r="I25" s="9" t="s">
        <v>1370</v>
      </c>
      <c r="J25" s="10" t="str">
        <f t="shared" si="0"/>
        <v/>
      </c>
      <c r="K25" s="10" t="str">
        <f t="shared" si="1"/>
        <v>Komplet za montažu s magnetom za LED sustavnu svjetiljku, za lijepljenje na stražnju stranu svjetala bez grla
Narudžbeni broj: 2500490
Proizvođač: Rittal</v>
      </c>
      <c r="L25" s="9">
        <f t="shared" si="2"/>
        <v>4</v>
      </c>
      <c r="M25" s="9" t="str">
        <f t="shared" si="3"/>
        <v>kom</v>
      </c>
    </row>
    <row r="26" spans="1:13" ht="45">
      <c r="A26" s="255" t="s">
        <v>1122</v>
      </c>
      <c r="B26" s="10" t="s">
        <v>1114</v>
      </c>
      <c r="C26" s="10">
        <v>3118000</v>
      </c>
      <c r="D26" s="9" t="s">
        <v>821</v>
      </c>
      <c r="E26" s="9">
        <v>1</v>
      </c>
      <c r="F26" s="9" t="s">
        <v>371</v>
      </c>
      <c r="I26" s="9" t="s">
        <v>1371</v>
      </c>
      <c r="J26" s="10" t="str">
        <f t="shared" si="0"/>
        <v>-B102</v>
      </c>
      <c r="K26" s="10" t="str">
        <f t="shared" si="1"/>
        <v>Higrostat 50...100%, 24-230V AC / 24 - 48V DC
Narudžbeni broj: 3118000
Proizvođač: Rittal</v>
      </c>
      <c r="L26" s="9">
        <f t="shared" si="2"/>
        <v>1</v>
      </c>
      <c r="M26" s="9" t="str">
        <f t="shared" si="3"/>
        <v>kom</v>
      </c>
    </row>
    <row r="27" spans="1:13" ht="60">
      <c r="A27" s="255" t="s">
        <v>1123</v>
      </c>
      <c r="B27" s="10" t="s">
        <v>1190</v>
      </c>
      <c r="C27" s="253" t="s">
        <v>981</v>
      </c>
      <c r="D27" s="9" t="s">
        <v>809</v>
      </c>
      <c r="E27" s="9">
        <v>2</v>
      </c>
      <c r="F27" s="9" t="s">
        <v>371</v>
      </c>
      <c r="I27" s="9" t="s">
        <v>1372</v>
      </c>
      <c r="J27" s="10" t="str">
        <f t="shared" si="0"/>
        <v>-X101, -X102</v>
      </c>
      <c r="K27" s="10" t="str">
        <f t="shared" si="1"/>
        <v>Utičnica 2P+PE 10/16A, 250V AC (DIN standard) za montažu na DIN nosač
Narudžbeni broj: A9A153010
Proizvođač: Schneider Electric</v>
      </c>
      <c r="L27" s="9">
        <f t="shared" si="2"/>
        <v>2</v>
      </c>
      <c r="M27" s="9" t="str">
        <f t="shared" si="3"/>
        <v>kom</v>
      </c>
    </row>
    <row r="28" spans="1:13" ht="165">
      <c r="A28" s="255" t="s">
        <v>1011</v>
      </c>
      <c r="B28" s="10" t="s">
        <v>1191</v>
      </c>
      <c r="C28" s="10" t="s">
        <v>825</v>
      </c>
      <c r="D28" s="9" t="s">
        <v>826</v>
      </c>
      <c r="E28" s="9">
        <v>1</v>
      </c>
      <c r="F28" s="9" t="s">
        <v>371</v>
      </c>
      <c r="I28" s="9" t="s">
        <v>1373</v>
      </c>
      <c r="J28" s="10" t="str">
        <f t="shared" si="0"/>
        <v>-U111</v>
      </c>
      <c r="K28" s="10" t="str">
        <f t="shared" si="1"/>
        <v>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
Narudžbeni broj: 6GK5206-2BS00-2AC2
Proizvođač: Siemens</v>
      </c>
      <c r="L28" s="9">
        <f t="shared" si="2"/>
        <v>1</v>
      </c>
      <c r="M28" s="9" t="str">
        <f t="shared" si="3"/>
        <v>kom</v>
      </c>
    </row>
    <row r="29" spans="1:13" ht="135">
      <c r="A29" s="10"/>
      <c r="B29" s="10" t="s">
        <v>1193</v>
      </c>
      <c r="C29" s="10" t="s">
        <v>828</v>
      </c>
      <c r="D29" s="9" t="s">
        <v>826</v>
      </c>
      <c r="E29" s="9">
        <v>1</v>
      </c>
      <c r="F29" s="9" t="s">
        <v>371</v>
      </c>
      <c r="I29" s="9" t="s">
        <v>1374</v>
      </c>
      <c r="J29" s="10" t="str">
        <f t="shared" si="0"/>
        <v/>
      </c>
      <c r="K29" s="10" t="str">
        <f t="shared" si="1"/>
        <v>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
Narudžbeni broj: 6GK1900-0AB10
Proizvođač: Siemens</v>
      </c>
      <c r="L29" s="9">
        <f t="shared" si="2"/>
        <v>1</v>
      </c>
      <c r="M29" s="9" t="str">
        <f t="shared" si="3"/>
        <v>kom</v>
      </c>
    </row>
    <row r="30" spans="1:13" ht="75">
      <c r="A30" s="10"/>
      <c r="B30" s="10" t="s">
        <v>1194</v>
      </c>
      <c r="C30" s="10" t="s">
        <v>829</v>
      </c>
      <c r="D30" s="9" t="s">
        <v>826</v>
      </c>
      <c r="E30" s="9">
        <v>2</v>
      </c>
      <c r="F30" s="9" t="s">
        <v>371</v>
      </c>
      <c r="I30" s="9" t="s">
        <v>1375</v>
      </c>
      <c r="J30" s="10" t="str">
        <f t="shared" si="0"/>
        <v/>
      </c>
      <c r="K30" s="10" t="str">
        <f t="shared" si="1"/>
        <v>SCALANCE X pribor; Primopredajnik SFP991-1; 1x 100 Mbps LC port, optički; višemodno staklo do maks. 5 km (s OM2++ vlaknom)
Narudžbeni broj: 6GK5991-1AD00-8AA0
Proizvođač: Siemens</v>
      </c>
      <c r="L30" s="9">
        <f t="shared" si="2"/>
        <v>2</v>
      </c>
      <c r="M30" s="9" t="str">
        <f t="shared" si="3"/>
        <v>kom</v>
      </c>
    </row>
    <row r="31" spans="1:13" ht="120">
      <c r="A31" s="255" t="s">
        <v>467</v>
      </c>
      <c r="B31" s="10" t="s">
        <v>1195</v>
      </c>
      <c r="C31" s="10" t="s">
        <v>827</v>
      </c>
      <c r="D31" s="9" t="s">
        <v>826</v>
      </c>
      <c r="E31" s="9">
        <v>1</v>
      </c>
      <c r="F31" s="9" t="s">
        <v>371</v>
      </c>
      <c r="I31" s="9" t="s">
        <v>1376</v>
      </c>
      <c r="J31" s="10" t="str">
        <f t="shared" si="0"/>
        <v>-A101</v>
      </c>
      <c r="K31" s="10" t="str">
        <f t="shared" si="1"/>
        <v>SIMATIC S7-1500, CPU 1513-1 PN, centralna procesorska jedinica s radnom memorijom od 600 KB za program i 2,5 MB za podatke, 1. sučelje: PROFINET IRT s 2-portnim preklopnikom, performanse od 6 ns bita, potrebna SIMATIC memorijska kartica
Narudžbeni broj: 6ES7513-1AM03-0AB0
Proizvođač: Siemens</v>
      </c>
      <c r="L31" s="9">
        <f t="shared" si="2"/>
        <v>1</v>
      </c>
      <c r="M31" s="9" t="str">
        <f t="shared" si="3"/>
        <v>kom</v>
      </c>
    </row>
    <row r="32" spans="1:13" ht="60">
      <c r="A32" s="10"/>
      <c r="B32" s="10" t="s">
        <v>1196</v>
      </c>
      <c r="C32" s="10" t="s">
        <v>830</v>
      </c>
      <c r="D32" s="9" t="s">
        <v>826</v>
      </c>
      <c r="E32" s="9">
        <v>1</v>
      </c>
      <c r="F32" s="9" t="s">
        <v>371</v>
      </c>
      <c r="I32" s="9" t="s">
        <v>311</v>
      </c>
      <c r="J32" s="10" t="str">
        <f t="shared" si="0"/>
        <v/>
      </c>
      <c r="K32" s="10" t="str">
        <f t="shared" si="1"/>
        <v>SIMATIC S7, memorijske kartice za S7-1x00 CPU/SINAMICS, 3, 3V Flash, 12 MB
Narudžbeni broj: 6ES7954-8LE04-0AA0
Proizvođač: Siemens</v>
      </c>
      <c r="L32" s="9">
        <f t="shared" si="2"/>
        <v>1</v>
      </c>
      <c r="M32" s="9" t="str">
        <f t="shared" si="3"/>
        <v>kom</v>
      </c>
    </row>
    <row r="33" spans="1:13" ht="120">
      <c r="A33" s="255" t="s">
        <v>1010</v>
      </c>
      <c r="B33" s="10" t="s">
        <v>1197</v>
      </c>
      <c r="C33" s="10" t="s">
        <v>832</v>
      </c>
      <c r="D33" s="9" t="s">
        <v>826</v>
      </c>
      <c r="E33" s="9">
        <v>3</v>
      </c>
      <c r="F33" s="9" t="s">
        <v>371</v>
      </c>
      <c r="I33" s="9" t="s">
        <v>1377</v>
      </c>
      <c r="J33" s="10" t="str">
        <f t="shared" si="0"/>
        <v>-A111...-A113</v>
      </c>
      <c r="K33" s="10" t="str">
        <f t="shared" si="1"/>
        <v>SIMATIC S7-1500, digitalni ulazni modul DI 32x24 V DC HF, 32 kanala u grupama od 16; od kojih se 2 ulaza mogu koristiti kao brojači; kašnjenje ulaza 0,05..20 ms tip ulaza 3 (IEC 61131); dijagnostika; hardverski prekidi: prednji konektor (vijčani terminali ili utični) naručuje se zasebno
Narudžbeni broj: 6ES7521-1BL00-0AB0
Proizvođač: Siemens</v>
      </c>
      <c r="L33" s="9">
        <f t="shared" si="2"/>
        <v>3</v>
      </c>
      <c r="M33" s="9" t="str">
        <f t="shared" si="3"/>
        <v>kom</v>
      </c>
    </row>
    <row r="34" spans="1:13" ht="165">
      <c r="A34" s="255" t="s">
        <v>1012</v>
      </c>
      <c r="B34" s="10" t="s">
        <v>1198</v>
      </c>
      <c r="C34" s="10" t="s">
        <v>833</v>
      </c>
      <c r="D34" s="9" t="s">
        <v>826</v>
      </c>
      <c r="E34" s="9">
        <v>2</v>
      </c>
      <c r="F34" s="9" t="s">
        <v>371</v>
      </c>
      <c r="I34" s="9" t="s">
        <v>1378</v>
      </c>
      <c r="J34" s="10" t="str">
        <f t="shared" si="0"/>
        <v>-A121…-A122</v>
      </c>
      <c r="K34" s="10" t="str">
        <f t="shared" si="1"/>
        <v>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
Narudžbeni broj: 6ES7522-1BL01-0AB0
Proizvođač: Siemens</v>
      </c>
      <c r="L34" s="9">
        <f t="shared" si="2"/>
        <v>2</v>
      </c>
      <c r="M34" s="9" t="str">
        <f t="shared" si="3"/>
        <v>kom</v>
      </c>
    </row>
    <row r="35" spans="1:13" ht="150">
      <c r="A35" s="255" t="s">
        <v>1013</v>
      </c>
      <c r="B35" s="10" t="s">
        <v>1199</v>
      </c>
      <c r="C35" s="10" t="s">
        <v>831</v>
      </c>
      <c r="D35" s="9" t="s">
        <v>826</v>
      </c>
      <c r="E35" s="9">
        <v>5</v>
      </c>
      <c r="F35" s="9" t="s">
        <v>371</v>
      </c>
      <c r="I35" s="9" t="s">
        <v>314</v>
      </c>
      <c r="J35" s="10" t="str">
        <f t="shared" si="0"/>
        <v>-A131…-A135</v>
      </c>
      <c r="K35" s="10" t="str">
        <f t="shared" si="1"/>
        <v>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
Narudžbeni broj: 6ES7531-7KF00-0AB0
Proizvođač: Siemens</v>
      </c>
      <c r="L35" s="9">
        <f t="shared" si="2"/>
        <v>5</v>
      </c>
      <c r="M35" s="9" t="str">
        <f t="shared" si="3"/>
        <v>kom</v>
      </c>
    </row>
    <row r="36" spans="1:13" ht="105">
      <c r="A36" s="10"/>
      <c r="B36" s="10" t="s">
        <v>1200</v>
      </c>
      <c r="C36" s="10" t="s">
        <v>850</v>
      </c>
      <c r="D36" s="9" t="s">
        <v>826</v>
      </c>
      <c r="E36" s="9">
        <v>4</v>
      </c>
      <c r="F36" s="9" t="s">
        <v>371</v>
      </c>
      <c r="I36" s="9" t="s">
        <v>1379</v>
      </c>
      <c r="J36" s="10" t="str">
        <f t="shared" si="0"/>
        <v/>
      </c>
      <c r="K36" s="10" t="str">
        <f t="shared" si="1"/>
        <v>Industrijski Ethernet FastConnect RJ45 utikač 180 2x 2, RJ45 utični konektor (10/100 Mbit/s) s robusnim metalnim kućištem i FC sustavom spajanja, za IE FC TP kabel 2x 2; izlaz kabela od 180° 1 pakiranje = 1 jedinica.
Narudžbeni broj: 6GK1901-1BB10-2AA0
Proizvođač: Siemens</v>
      </c>
      <c r="L36" s="9">
        <f t="shared" si="2"/>
        <v>4</v>
      </c>
      <c r="M36" s="9" t="str">
        <f t="shared" si="3"/>
        <v>kom</v>
      </c>
    </row>
    <row r="37" spans="1:13" ht="90">
      <c r="A37" s="10"/>
      <c r="B37" s="10" t="s">
        <v>1201</v>
      </c>
      <c r="C37" s="10" t="s">
        <v>851</v>
      </c>
      <c r="D37" s="9" t="s">
        <v>826</v>
      </c>
      <c r="E37" s="9">
        <v>1</v>
      </c>
      <c r="F37" s="9" t="s">
        <v>810</v>
      </c>
      <c r="I37" s="9" t="s">
        <v>1380</v>
      </c>
      <c r="J37" s="10" t="str">
        <f t="shared" si="0"/>
        <v/>
      </c>
      <c r="K37" s="10" t="str">
        <f t="shared" si="1"/>
        <v>IE FC TP standardni kabel GP 2x2 (PROFINET tip A), CAT5E, bus kabel s 4 žice, oklopljen, posebna konfiguracija za brzu montažu na IE FC RJ45 utikač 2x2, 100 m.
Narudžbeni broj: 6XV1840-2AT10
Proizvođač: Siemens</v>
      </c>
      <c r="L37" s="9">
        <f t="shared" si="2"/>
        <v>1</v>
      </c>
      <c r="M37" s="9" t="str">
        <f t="shared" si="3"/>
        <v>set</v>
      </c>
    </row>
    <row r="38" spans="1:13" ht="90">
      <c r="A38" s="10"/>
      <c r="B38" s="10" t="s">
        <v>1202</v>
      </c>
      <c r="C38" s="10" t="s">
        <v>852</v>
      </c>
      <c r="D38" s="9" t="s">
        <v>826</v>
      </c>
      <c r="E38" s="9">
        <v>1</v>
      </c>
      <c r="F38" s="9" t="s">
        <v>371</v>
      </c>
      <c r="I38" s="9" t="s">
        <v>1381</v>
      </c>
      <c r="J38" s="10" t="str">
        <f t="shared" si="0"/>
        <v/>
      </c>
      <c r="K38" s="10" t="str">
        <f t="shared" si="1"/>
        <v>SIMATIC S7-1500, montažna šina 530 mm (cca. 20,9 inča); uklj. vijak za uzemljenje, integrirana DIN šina za montažu dodatne opreme kao što su terminali, automatski prekidači i releji
Narudžbeni broj: 6ES7590-1AF30-0AA0
Proizvođač: Siemens</v>
      </c>
      <c r="L38" s="9">
        <f t="shared" si="2"/>
        <v>1</v>
      </c>
      <c r="M38" s="9" t="str">
        <f t="shared" si="3"/>
        <v>kom</v>
      </c>
    </row>
    <row r="39" spans="1:13" ht="75">
      <c r="A39" s="10"/>
      <c r="B39" s="10" t="s">
        <v>1203</v>
      </c>
      <c r="C39" s="10" t="s">
        <v>853</v>
      </c>
      <c r="D39" s="9" t="s">
        <v>826</v>
      </c>
      <c r="E39" s="9">
        <v>10</v>
      </c>
      <c r="F39" s="9" t="s">
        <v>371</v>
      </c>
      <c r="I39" s="9" t="s">
        <v>317</v>
      </c>
      <c r="J39" s="10" t="str">
        <f t="shared" si="0"/>
        <v/>
      </c>
      <c r="K39" s="10" t="str">
        <f t="shared" si="1"/>
        <v>SIMATIC S7-1500, Prednji konektor Sustav spajanja vijčanim tipom, 40-polni za module širine 35 mm uklj. 4 potencijalna mosta i kabelske vezice
Narudžbeni broj: 6ES7592-1AM00-0XB0
Proizvođač: Siemens</v>
      </c>
      <c r="L39" s="9">
        <f t="shared" si="2"/>
        <v>10</v>
      </c>
      <c r="M39" s="9" t="str">
        <f t="shared" si="3"/>
        <v>kom</v>
      </c>
    </row>
    <row r="40" spans="1:13" ht="120">
      <c r="A40" s="255" t="s">
        <v>1014</v>
      </c>
      <c r="B40" s="10" t="s">
        <v>1204</v>
      </c>
      <c r="C40" s="10" t="s">
        <v>854</v>
      </c>
      <c r="D40" s="9" t="s">
        <v>826</v>
      </c>
      <c r="E40" s="9">
        <v>1</v>
      </c>
      <c r="F40" s="9" t="s">
        <v>371</v>
      </c>
      <c r="I40" s="9" t="s">
        <v>1382</v>
      </c>
      <c r="J40" s="10" t="str">
        <f t="shared" si="0"/>
        <v>-A100</v>
      </c>
      <c r="K40" s="10" t="str">
        <f t="shared" si="1"/>
        <v>SIMATIC HMI MTP1500, Unified Comfort Panel, upravljanje dodirom, 15,6" TFT zaslon širokog zaslona, 16 milijuna boja, PROFINET sučelje, konfigurabilno od WinCC Unified Comfort V16, sadrži softver otvorenog koda koji se pruža besplatno, pogledajte priloženi DVD
Narudžbeni broj: 6AV2128-3QB06-0AX1
Proizvođač: Siemens</v>
      </c>
      <c r="L40" s="9">
        <f t="shared" si="2"/>
        <v>1</v>
      </c>
      <c r="M40" s="9" t="str">
        <f t="shared" si="3"/>
        <v>kom</v>
      </c>
    </row>
    <row r="41" spans="1:13" ht="60">
      <c r="A41" s="255" t="s">
        <v>1015</v>
      </c>
      <c r="B41" s="10" t="s">
        <v>1205</v>
      </c>
      <c r="C41" s="10" t="s">
        <v>855</v>
      </c>
      <c r="D41" s="9" t="s">
        <v>826</v>
      </c>
      <c r="E41" s="9">
        <v>2</v>
      </c>
      <c r="F41" s="9" t="s">
        <v>371</v>
      </c>
      <c r="I41" s="9" t="s">
        <v>320</v>
      </c>
      <c r="J41" s="10" t="str">
        <f t="shared" si="0"/>
        <v>-U101, -U102</v>
      </c>
      <c r="K41" s="10" t="str">
        <f t="shared" si="1"/>
        <v xml:space="preserve"> SITOP PSU8200 20 A stabilizirano napajanje ulaz: 120-230 V AC 110-220 V DC izlaz: 24 V DC/20 A
Narudžbeni broj: 6EP1336-3BA10
Proizvođač: Siemens</v>
      </c>
      <c r="L41" s="9">
        <f t="shared" si="2"/>
        <v>2</v>
      </c>
      <c r="M41" s="9" t="str">
        <f t="shared" si="3"/>
        <v>kom</v>
      </c>
    </row>
    <row r="42" spans="1:13" ht="75">
      <c r="A42" s="255" t="s">
        <v>1016</v>
      </c>
      <c r="B42" s="10" t="s">
        <v>1206</v>
      </c>
      <c r="C42" s="10" t="s">
        <v>856</v>
      </c>
      <c r="D42" s="9" t="s">
        <v>826</v>
      </c>
      <c r="E42" s="9">
        <v>1</v>
      </c>
      <c r="F42" s="9" t="s">
        <v>371</v>
      </c>
      <c r="I42" s="9" t="s">
        <v>1383</v>
      </c>
      <c r="J42" s="10" t="str">
        <f t="shared" si="0"/>
        <v>-V101</v>
      </c>
      <c r="K42" s="10" t="str">
        <f t="shared" si="1"/>
        <v>SITOP RED1200 redundantni modul Ulaz/izlaz: 24/48 V DC/40 A Pogodan za odvajanje dva SITOP napajanja s maks. izlaznom strujom od 20 A svaki
Narudžbeni broj: 6EP4347-7RB00-0AX0
Proizvođač: Siemens</v>
      </c>
      <c r="L42" s="9">
        <f t="shared" si="2"/>
        <v>1</v>
      </c>
      <c r="M42" s="9" t="str">
        <f t="shared" si="3"/>
        <v>kom</v>
      </c>
    </row>
    <row r="43" spans="1:13" ht="90">
      <c r="A43" s="255" t="s">
        <v>1017</v>
      </c>
      <c r="B43" s="10" t="s">
        <v>1207</v>
      </c>
      <c r="C43" s="10" t="s">
        <v>857</v>
      </c>
      <c r="D43" s="9" t="s">
        <v>826</v>
      </c>
      <c r="E43" s="9">
        <v>2</v>
      </c>
      <c r="F43" s="9" t="s">
        <v>371</v>
      </c>
      <c r="I43" s="9" t="s">
        <v>1384</v>
      </c>
      <c r="J43" s="10" t="str">
        <f t="shared" si="0"/>
        <v>-F201, -F202</v>
      </c>
      <c r="K43" s="10" t="str">
        <f t="shared" si="1"/>
        <v>SITOP SEL1400 10 A selektivni modul 8-kanalni s graničnom karakteristikom ulaz: 24 V DC/60 A izlaz: 24 V DC/8x 10 A podesivi prag 2-10 A s nadzornim sučeljem
Narudžbeni broj: 6EP4438-7EB00-3DX0
Proizvođač: Siemens</v>
      </c>
      <c r="L43" s="9">
        <f t="shared" si="2"/>
        <v>2</v>
      </c>
      <c r="M43" s="9" t="str">
        <f t="shared" si="3"/>
        <v>kom</v>
      </c>
    </row>
    <row r="44" spans="1:13" ht="75">
      <c r="A44" s="255" t="s">
        <v>1450</v>
      </c>
      <c r="B44" s="10" t="s">
        <v>1208</v>
      </c>
      <c r="C44" s="10">
        <v>1176010000</v>
      </c>
      <c r="D44" s="9" t="s">
        <v>1209</v>
      </c>
      <c r="E44" s="9">
        <v>7</v>
      </c>
      <c r="F44" s="9" t="s">
        <v>371</v>
      </c>
      <c r="I44" s="9" t="s">
        <v>1385</v>
      </c>
      <c r="J44" s="10" t="str">
        <f t="shared" si="0"/>
        <v>-U151…-U162</v>
      </c>
      <c r="K44" s="10" t="str">
        <f t="shared" si="1"/>
        <v>ACT20M-AI-AO-ES Analogno izolacijsko pojačalo, Konfigurabilno, bez napajanja senzora, Točnost &lt;0,2 % mjernog raspona, Ulaz: I / U, Izlaz: I / U
Narudžbeni broj: 1176010000
Proizvođač: Weidmüller</v>
      </c>
      <c r="L44" s="9">
        <f t="shared" si="2"/>
        <v>7</v>
      </c>
      <c r="M44" s="9" t="str">
        <f t="shared" si="3"/>
        <v>kom</v>
      </c>
    </row>
    <row r="45" spans="1:13" ht="75">
      <c r="A45" s="255" t="s">
        <v>1450</v>
      </c>
      <c r="B45" s="10" t="s">
        <v>1449</v>
      </c>
      <c r="C45" s="10">
        <v>1176000000</v>
      </c>
      <c r="D45" s="9" t="s">
        <v>1209</v>
      </c>
      <c r="E45" s="9">
        <v>5</v>
      </c>
      <c r="F45" s="9" t="s">
        <v>371</v>
      </c>
      <c r="I45" s="9" t="s">
        <v>1386</v>
      </c>
      <c r="J45" s="10" t="str">
        <f t="shared" si="0"/>
        <v>-U151…-U162</v>
      </c>
      <c r="K45" s="10" t="str">
        <f t="shared" si="1"/>
        <v>ACT20M-AI-AO-S Analogno izolacijsko pojačalo, Konfigurabilno, bez napajanja senzora, Točnost &lt;0,2 % mjernog raspona, Ulaz: I / U, Izlaz: I / U
Narudžbeni broj: 1176000000
Proizvođač: Weidmüller</v>
      </c>
      <c r="L45" s="9">
        <f t="shared" si="2"/>
        <v>5</v>
      </c>
      <c r="M45" s="9" t="str">
        <f t="shared" si="3"/>
        <v>kom</v>
      </c>
    </row>
    <row r="46" spans="1:13" ht="90">
      <c r="A46" s="10"/>
      <c r="B46" s="10" t="s">
        <v>1210</v>
      </c>
      <c r="C46" s="10">
        <v>1877680000</v>
      </c>
      <c r="D46" s="9" t="s">
        <v>1209</v>
      </c>
      <c r="E46" s="9">
        <v>1</v>
      </c>
      <c r="F46" s="9" t="s">
        <v>810</v>
      </c>
      <c r="I46" s="9" t="s">
        <v>1387</v>
      </c>
      <c r="J46" s="10" t="str">
        <f t="shared" si="0"/>
        <v/>
      </c>
      <c r="K46" s="10" t="str">
        <f t="shared" si="1"/>
        <v>MF 5/7.5 MC NE WS MultiFit, Oznaka za terminale, 5 x 7,5 mm, Razmak u mm (P): 7,50 Adels RKW, Phoenix, temperaturni raspon od -40 °C do +100 °C, bijela boja
Narudžbeni broj: 1877680000
Proizvođač: Weidmüller</v>
      </c>
      <c r="L46" s="9">
        <f t="shared" si="2"/>
        <v>1</v>
      </c>
      <c r="M46" s="9" t="str">
        <f t="shared" si="3"/>
        <v>set</v>
      </c>
    </row>
    <row r="47" spans="1:13" ht="105">
      <c r="A47" s="255" t="s">
        <v>1019</v>
      </c>
      <c r="B47" s="10" t="s">
        <v>1212</v>
      </c>
      <c r="C47" s="10">
        <v>1123540000</v>
      </c>
      <c r="D47" s="9" t="s">
        <v>1209</v>
      </c>
      <c r="E47" s="9">
        <v>41</v>
      </c>
      <c r="F47" s="9" t="s">
        <v>371</v>
      </c>
      <c r="I47" s="9" t="s">
        <v>1388</v>
      </c>
      <c r="J47" s="10" t="str">
        <f t="shared" si="0"/>
        <v>-1K01…-1K98</v>
      </c>
      <c r="K47" s="10" t="str">
        <f t="shared" si="1"/>
        <v>TRS 230VUC 2CO TERMSERIES, Relejni modul, 87.8 x  89.6 x 12.8  mm, Broj kontakata: 2, CO kontakt AgNi, Nazivni upravljački napon: 230 V UC ±5 %, Trajna struja: 8 A, Vijčani priključak, Dostupna tipka za testiranje: Ne
Narudžbeni broj: 1123540000
Proizvođač: Weidmüller</v>
      </c>
      <c r="L47" s="9">
        <f t="shared" si="2"/>
        <v>41</v>
      </c>
      <c r="M47" s="9" t="str">
        <f t="shared" si="3"/>
        <v>kom</v>
      </c>
    </row>
    <row r="48" spans="1:13" ht="105">
      <c r="A48" s="10"/>
      <c r="B48" s="10" t="s">
        <v>1213</v>
      </c>
      <c r="C48" s="10">
        <v>2556460000</v>
      </c>
      <c r="D48" s="9" t="s">
        <v>1209</v>
      </c>
      <c r="E48" s="9">
        <v>1</v>
      </c>
      <c r="F48" s="9" t="s">
        <v>810</v>
      </c>
      <c r="I48" s="9" t="s">
        <v>1389</v>
      </c>
      <c r="J48" s="10" t="str">
        <f t="shared" si="0"/>
        <v/>
      </c>
      <c r="K48" s="10" t="str">
        <f t="shared" si="1"/>
        <v>TCC 12.8/26 BL TERMSERIES poprečni spojni most TCC 12.8/26 BL; 26-polni; razmak 12,8 mm; nazivni napon 300 V; nazivna struja 17,5 A; mogućnost rezanja na željenu duljinu; izoliran i zaštićen od dodira; plava boja; montaža uticanjem
Narudžbeni broj: 2556460000
Proizvođač: Weidmüller</v>
      </c>
      <c r="L48" s="9">
        <f t="shared" si="2"/>
        <v>1</v>
      </c>
      <c r="M48" s="9" t="str">
        <f t="shared" si="3"/>
        <v>set</v>
      </c>
    </row>
    <row r="49" spans="1:13" ht="105">
      <c r="A49" s="255" t="s">
        <v>1145</v>
      </c>
      <c r="B49" s="10" t="s">
        <v>1215</v>
      </c>
      <c r="C49" s="10">
        <v>1122770000</v>
      </c>
      <c r="D49" s="9" t="s">
        <v>1209</v>
      </c>
      <c r="E49" s="9">
        <v>40</v>
      </c>
      <c r="F49" s="9" t="s">
        <v>371</v>
      </c>
      <c r="I49" s="9" t="s">
        <v>323</v>
      </c>
      <c r="J49" s="10" t="str">
        <f t="shared" si="0"/>
        <v>-2K01…2K48</v>
      </c>
      <c r="K49" s="10" t="str">
        <f t="shared" si="1"/>
        <v>TRS 24VDC 1CO TERMSERIES, Relejni modul, Broj kontakata: 1, CO kontakt AgNi, Nazivni upravljački napon: 24 V DC ±20 %, Trajna struja: 6 A, Vijčani priključak, zaštitna dioda, Dostupna tipka za testiranje: Ne
Narudžbeni broj: 1122770000
Proizvođač: Weidmüller</v>
      </c>
      <c r="L49" s="9">
        <f t="shared" si="2"/>
        <v>40</v>
      </c>
      <c r="M49" s="9" t="str">
        <f t="shared" si="3"/>
        <v>kom</v>
      </c>
    </row>
    <row r="50" spans="1:13" ht="75">
      <c r="A50" s="255" t="s">
        <v>1468</v>
      </c>
      <c r="B50" s="10" t="s">
        <v>1455</v>
      </c>
      <c r="C50" s="253" t="s">
        <v>1454</v>
      </c>
      <c r="D50" s="9" t="s">
        <v>901</v>
      </c>
      <c r="E50" s="9">
        <v>2</v>
      </c>
      <c r="F50" s="9" t="s">
        <v>371</v>
      </c>
      <c r="I50" s="9" t="s">
        <v>325</v>
      </c>
      <c r="J50" s="10" t="str">
        <f t="shared" si="0"/>
        <v>-2K12, -2K13</v>
      </c>
      <c r="K50" s="10" t="str">
        <f t="shared" si="1"/>
        <v>Pomoćni (neblokirajući) relej,  zavojnica 24 V DC, preklopna struja 10 A, 3 preklopna kontakta (3PDT/3 Form C), 3 pola, jednopolni AgNi kontakti
Narudžbeni broj: 700-HA33Z24-3-4 
Proizvođač: ALLEN BRADLEY</v>
      </c>
      <c r="L50" s="9">
        <f t="shared" si="2"/>
        <v>2</v>
      </c>
      <c r="M50" s="9" t="str">
        <f t="shared" si="3"/>
        <v>kom</v>
      </c>
    </row>
    <row r="51" spans="1:13" ht="105">
      <c r="A51" s="255" t="s">
        <v>1020</v>
      </c>
      <c r="B51" s="10" t="s">
        <v>1216</v>
      </c>
      <c r="C51" s="10">
        <v>1123490000</v>
      </c>
      <c r="D51" s="9" t="s">
        <v>1209</v>
      </c>
      <c r="E51" s="9">
        <v>30</v>
      </c>
      <c r="F51" s="9" t="s">
        <v>371</v>
      </c>
      <c r="I51" s="9" t="s">
        <v>1390</v>
      </c>
      <c r="J51" s="10" t="str">
        <f t="shared" si="0"/>
        <v>-1K101…-1K198</v>
      </c>
      <c r="K51" s="10" t="str">
        <f t="shared" si="1"/>
        <v>TRS 24VDC 2CO TERMSERIES, Relejni modul, Broj kontakata: 2, CO kontakt AgNi, Nazivni upravljački napon: 24 V DC ±20 %, Trajna struja: 8 A, Vijčani priključak, zaštitna dioda, Dostupna tipka za testiranje: Ne
Narudžbeni broj: 1123490000
Proizvođač: Weidmüller</v>
      </c>
      <c r="L51" s="9">
        <f t="shared" si="2"/>
        <v>30</v>
      </c>
      <c r="M51" s="9" t="str">
        <f t="shared" si="3"/>
        <v>kom</v>
      </c>
    </row>
    <row r="52" spans="1:13" ht="90">
      <c r="A52" s="10"/>
      <c r="B52" s="10" t="s">
        <v>1217</v>
      </c>
      <c r="C52" s="10">
        <v>1240800000</v>
      </c>
      <c r="D52" s="9" t="s">
        <v>1209</v>
      </c>
      <c r="E52" s="9">
        <v>1</v>
      </c>
      <c r="F52" s="9" t="s">
        <v>810</v>
      </c>
      <c r="I52" s="9" t="s">
        <v>1391</v>
      </c>
      <c r="J52" s="10" t="str">
        <f t="shared" si="0"/>
        <v/>
      </c>
      <c r="K52" s="10" t="str">
        <f t="shared" si="1"/>
        <v>TW TXS/TXZ R3.2 TERMSERIES pregradna ploča TW TXS/TXZ R3.2; debljina 3,2 mm; za montažu na DIN šinu TS 35; narančasta boja; nezapaljivo kućište prema UL94 V-0
Narudžbeni broj: 1240800000
Proizvođač: Weidmüller</v>
      </c>
      <c r="L52" s="9">
        <f t="shared" si="2"/>
        <v>1</v>
      </c>
      <c r="M52" s="9" t="str">
        <f t="shared" si="3"/>
        <v>set</v>
      </c>
    </row>
    <row r="53" spans="1:13" ht="105">
      <c r="A53" s="10"/>
      <c r="B53" s="10" t="s">
        <v>1218</v>
      </c>
      <c r="C53" s="10">
        <v>2556450000</v>
      </c>
      <c r="D53" s="9" t="s">
        <v>1209</v>
      </c>
      <c r="E53" s="9">
        <v>1</v>
      </c>
      <c r="F53" s="9" t="s">
        <v>810</v>
      </c>
      <c r="I53" s="9" t="s">
        <v>1392</v>
      </c>
      <c r="J53" s="10" t="str">
        <f t="shared" si="0"/>
        <v/>
      </c>
      <c r="K53" s="10" t="str">
        <f t="shared" si="1"/>
        <v>TCC 6.4/51 BL TERMSERIES poprečni spojni most TCC 6.4/51 BL; 51-polni; razmak (raster) 6,4 mm; nazivni napon 300 V; nazivna struja 17,5 A; mogućnost rezanja na željenu duljinu; izoliran i zaštićen od dodira; plava boja; montaža uticanjem
Narudžbeni broj: 2556450000
Proizvođač: Weidmüller</v>
      </c>
      <c r="L53" s="9">
        <f t="shared" si="2"/>
        <v>1</v>
      </c>
      <c r="M53" s="9" t="str">
        <f t="shared" si="3"/>
        <v>set</v>
      </c>
    </row>
    <row r="54" spans="1:13" ht="75">
      <c r="A54" s="255" t="s">
        <v>1219</v>
      </c>
      <c r="B54" s="10" t="s">
        <v>1220</v>
      </c>
      <c r="C54" s="10">
        <v>1020100000</v>
      </c>
      <c r="D54" s="9" t="s">
        <v>1209</v>
      </c>
      <c r="E54" s="9">
        <v>6</v>
      </c>
      <c r="F54" s="9" t="s">
        <v>810</v>
      </c>
      <c r="I54" s="9" t="s">
        <v>1393</v>
      </c>
      <c r="J54" s="10" t="str">
        <f t="shared" si="0"/>
        <v>-X100, - X200, itd.</v>
      </c>
      <c r="K54" s="10" t="str">
        <f t="shared" si="1"/>
        <v>WDU 4 - Prolazni terminalni blok, Vijčani priključak, tamnobež, 4 mm², 32 A, 800 V, Broj priključaka: 2
Narudžbeni broj: 1020100000
Proizvođač: Weidmüller</v>
      </c>
      <c r="L54" s="9">
        <f t="shared" si="2"/>
        <v>6</v>
      </c>
      <c r="M54" s="9" t="str">
        <f t="shared" si="3"/>
        <v>set</v>
      </c>
    </row>
    <row r="55" spans="1:13" ht="60">
      <c r="A55" s="10"/>
      <c r="B55" s="10" t="s">
        <v>1221</v>
      </c>
      <c r="C55" s="10">
        <v>1061200000</v>
      </c>
      <c r="D55" s="9" t="s">
        <v>1209</v>
      </c>
      <c r="E55" s="9">
        <v>2</v>
      </c>
      <c r="F55" s="9" t="s">
        <v>810</v>
      </c>
      <c r="I55" s="9" t="s">
        <v>327</v>
      </c>
      <c r="J55" s="10" t="str">
        <f t="shared" si="0"/>
        <v/>
      </c>
      <c r="K55" s="10" t="str">
        <f t="shared" si="1"/>
        <v>WEW 35/2 - Završna konzola, tamno bež, TS 35, HB, Wemid, Širina: 8 mm, 100 °C
Narudžbeni broj: 1061200000
Proizvođač: Weidmüller</v>
      </c>
      <c r="L55" s="9">
        <f t="shared" si="2"/>
        <v>2</v>
      </c>
      <c r="M55" s="9" t="str">
        <f t="shared" si="3"/>
        <v>set</v>
      </c>
    </row>
    <row r="56" spans="1:13" ht="75">
      <c r="A56" s="10"/>
      <c r="B56" s="10" t="s">
        <v>1222</v>
      </c>
      <c r="C56" s="10">
        <v>2460780000</v>
      </c>
      <c r="D56" s="9" t="s">
        <v>1209</v>
      </c>
      <c r="E56" s="9">
        <v>1</v>
      </c>
      <c r="F56" s="9" t="s">
        <v>810</v>
      </c>
      <c r="I56" s="9" t="s">
        <v>1394</v>
      </c>
      <c r="J56" s="10" t="str">
        <f t="shared" si="0"/>
        <v/>
      </c>
      <c r="K56" s="10" t="str">
        <f t="shared" si="1"/>
        <v>ZQV 4N/6 RD - Križni konektor (terminalni), Utikač, crveni, 32 A, Broj polova: 6, Razmak u mm (P): 6,10, Izolirano: Da, Širina: 181,7 mm
Narudžbeni broj: 2460780000
Proizvođač: Weidmüller</v>
      </c>
      <c r="L56" s="9">
        <f t="shared" si="2"/>
        <v>1</v>
      </c>
      <c r="M56" s="9" t="str">
        <f t="shared" si="3"/>
        <v>set</v>
      </c>
    </row>
    <row r="57" spans="1:13" ht="75">
      <c r="A57" s="10"/>
      <c r="B57" s="10" t="s">
        <v>1223</v>
      </c>
      <c r="C57" s="10">
        <v>2460740000</v>
      </c>
      <c r="D57" s="9" t="s">
        <v>1209</v>
      </c>
      <c r="E57" s="9">
        <v>3</v>
      </c>
      <c r="F57" s="9" t="s">
        <v>810</v>
      </c>
      <c r="I57" s="9" t="s">
        <v>1395</v>
      </c>
      <c r="J57" s="10" t="str">
        <f t="shared" si="0"/>
        <v/>
      </c>
      <c r="K57" s="10" t="str">
        <f t="shared" si="1"/>
        <v>ZQV 4N/10 RD - Križni konektor (terminalni), Utikač, crveni, 32 A, Broj polova: 10, Razmak u mm (P): 6,10, Izolirano: Da, Širina: 181,7 mm
Narudžbeni broj: 2460740000
Proizvođač: Weidmüller</v>
      </c>
      <c r="L57" s="9">
        <f t="shared" si="2"/>
        <v>3</v>
      </c>
      <c r="M57" s="9" t="str">
        <f t="shared" si="3"/>
        <v>set</v>
      </c>
    </row>
    <row r="58" spans="1:13" ht="75">
      <c r="A58" s="10"/>
      <c r="B58" s="10" t="s">
        <v>1224</v>
      </c>
      <c r="C58" s="10">
        <v>2561600000</v>
      </c>
      <c r="D58" s="9" t="s">
        <v>1209</v>
      </c>
      <c r="E58" s="9">
        <v>3</v>
      </c>
      <c r="F58" s="9" t="s">
        <v>810</v>
      </c>
      <c r="I58" s="9" t="s">
        <v>331</v>
      </c>
      <c r="J58" s="10" t="str">
        <f t="shared" si="0"/>
        <v/>
      </c>
      <c r="K58" s="10" t="str">
        <f t="shared" si="1"/>
        <v>ZQV 4N/30 RD - Križni konektor (terminalni), Utikač, crveni, 32 A, Broj polova: 30, Razmak u mm (P): 6,10, Izolirano: Da, Širina: 181,7 mm
Narudžbeni broj: 2561600000
Proizvođač: Weidmüller</v>
      </c>
      <c r="L58" s="9">
        <f t="shared" si="2"/>
        <v>3</v>
      </c>
      <c r="M58" s="9" t="str">
        <f t="shared" si="3"/>
        <v>set</v>
      </c>
    </row>
    <row r="59" spans="1:13" ht="75">
      <c r="A59" s="10"/>
      <c r="B59" s="10" t="s">
        <v>1225</v>
      </c>
      <c r="C59" s="10">
        <v>1050000000</v>
      </c>
      <c r="D59" s="9" t="s">
        <v>1209</v>
      </c>
      <c r="E59" s="9">
        <v>2</v>
      </c>
      <c r="F59" s="9" t="s">
        <v>810</v>
      </c>
      <c r="I59" s="9" t="s">
        <v>1396</v>
      </c>
      <c r="J59" s="10" t="str">
        <f t="shared" si="0"/>
        <v/>
      </c>
      <c r="K59" s="10" t="str">
        <f t="shared" si="1"/>
        <v xml:space="preserve"> WAP 2.5-10 - Završna ploča za terminale, tamno bež, Visina: 56 mm, Širina: 1,5 mm, V-0, Wemid, Pričvršćivanje: Ne
Narudžbeni broj: 1050000000
Proizvođač: Weidmüller</v>
      </c>
      <c r="L59" s="9">
        <f t="shared" si="2"/>
        <v>2</v>
      </c>
      <c r="M59" s="9" t="str">
        <f t="shared" si="3"/>
        <v>set</v>
      </c>
    </row>
    <row r="60" spans="1:13" ht="75">
      <c r="A60" s="255"/>
      <c r="B60" s="10" t="s">
        <v>1226</v>
      </c>
      <c r="C60" s="10">
        <v>1020400000</v>
      </c>
      <c r="D60" s="9" t="s">
        <v>1209</v>
      </c>
      <c r="E60" s="9">
        <v>1</v>
      </c>
      <c r="F60" s="9" t="s">
        <v>810</v>
      </c>
      <c r="I60" s="9" t="s">
        <v>1397</v>
      </c>
      <c r="J60" s="10" t="str">
        <f t="shared" si="0"/>
        <v/>
      </c>
      <c r="K60" s="10" t="str">
        <f t="shared" si="1"/>
        <v xml:space="preserve"> WDU 16 - Prolazni terminalni blok, Vijčani priključak, tamnobež, 16 mm², 76 A, 1000 V, Broj priključaka: 2
Narudžbeni broj: 1020400000
Proizvođač: Weidmüller</v>
      </c>
      <c r="L60" s="9">
        <f t="shared" si="2"/>
        <v>1</v>
      </c>
      <c r="M60" s="9" t="str">
        <f t="shared" si="3"/>
        <v>set</v>
      </c>
    </row>
    <row r="61" spans="1:13" ht="60">
      <c r="A61" s="10"/>
      <c r="B61" s="10" t="s">
        <v>1228</v>
      </c>
      <c r="C61" s="10">
        <v>1059000000</v>
      </c>
      <c r="D61" s="9" t="s">
        <v>1209</v>
      </c>
      <c r="E61" s="9">
        <v>1</v>
      </c>
      <c r="F61" s="9" t="s">
        <v>810</v>
      </c>
      <c r="I61" s="9" t="s">
        <v>334</v>
      </c>
      <c r="J61" s="10" t="str">
        <f t="shared" si="0"/>
        <v/>
      </c>
      <c r="K61" s="10" t="str">
        <f t="shared" si="1"/>
        <v xml:space="preserve"> WEW 35/1 - Završna konzola, tamnobež, TS 35, V-2, Wemid, Širina: 12 mm, 100 °C
Narudžbeni broj: 1059000000
Proizvođač: Weidmüller</v>
      </c>
      <c r="L61" s="9">
        <f t="shared" si="2"/>
        <v>1</v>
      </c>
      <c r="M61" s="9" t="str">
        <f t="shared" si="3"/>
        <v>set</v>
      </c>
    </row>
    <row r="62" spans="1:13" ht="75">
      <c r="A62" s="10"/>
      <c r="B62" s="10" t="s">
        <v>1229</v>
      </c>
      <c r="C62" s="10">
        <v>1050100000</v>
      </c>
      <c r="D62" s="9" t="s">
        <v>1209</v>
      </c>
      <c r="E62" s="9">
        <v>1</v>
      </c>
      <c r="F62" s="9" t="s">
        <v>810</v>
      </c>
      <c r="I62" s="9" t="s">
        <v>1398</v>
      </c>
      <c r="J62" s="10" t="str">
        <f t="shared" si="0"/>
        <v/>
      </c>
      <c r="K62" s="10" t="str">
        <f t="shared" si="1"/>
        <v>WAP 16+35 WTW 2.5-10 - Završna i pregradna ploča za terminale, tamno bež, Visina: 56 mm, Širina: 1,5 mm, V-0, Wemid
Narudžbeni broj: 1050100000
Proizvođač: Weidmüller</v>
      </c>
      <c r="L62" s="9">
        <f t="shared" si="2"/>
        <v>1</v>
      </c>
      <c r="M62" s="9" t="str">
        <f t="shared" si="3"/>
        <v>set</v>
      </c>
    </row>
    <row r="63" spans="1:13" ht="90">
      <c r="A63" s="255" t="s">
        <v>1094</v>
      </c>
      <c r="B63" s="10" t="s">
        <v>1230</v>
      </c>
      <c r="C63" s="10">
        <v>2954934</v>
      </c>
      <c r="D63" s="9" t="s">
        <v>864</v>
      </c>
      <c r="E63" s="9">
        <v>1</v>
      </c>
      <c r="F63" s="9" t="s">
        <v>371</v>
      </c>
      <c r="I63" s="9" t="s">
        <v>337</v>
      </c>
      <c r="J63" s="10" t="str">
        <f t="shared" si="0"/>
        <v>V101</v>
      </c>
      <c r="K63" s="10" t="str">
        <f t="shared" si="1"/>
        <v>EMG 90-DIO 32M Modul za ispitivanje lampi, 2 diode  sa zajedničkom katodom: sa 16 parova, sa zajedničkim okidanjem, maks. radni napon 250 V AC; vršni reverzni napon 1300 V;
Narudžbeni broj: 2954934
Proizvođač: Phoenix Contact</v>
      </c>
      <c r="L63" s="9">
        <f t="shared" si="2"/>
        <v>1</v>
      </c>
      <c r="M63" s="9" t="str">
        <f t="shared" si="3"/>
        <v>kom</v>
      </c>
    </row>
    <row r="64" spans="1:13" ht="60">
      <c r="A64" s="10"/>
      <c r="B64" s="10" t="s">
        <v>1232</v>
      </c>
      <c r="C64" s="253" t="s">
        <v>262</v>
      </c>
      <c r="D64" s="9" t="s">
        <v>263</v>
      </c>
      <c r="E64" s="9">
        <v>41</v>
      </c>
      <c r="F64" s="9" t="s">
        <v>371</v>
      </c>
      <c r="I64" s="9" t="s">
        <v>340</v>
      </c>
      <c r="J64" s="10" t="str">
        <f t="shared" si="0"/>
        <v/>
      </c>
      <c r="K64" s="10" t="str">
        <f t="shared" si="1"/>
        <v>LED sijalica: BIJELA; BA9s podnožje, nazivni napon/struja: 24Vdc/15mA
Narudžbeni broj: 10-2512.1149
Proizvođač: EAO</v>
      </c>
      <c r="L64" s="9">
        <f t="shared" si="2"/>
        <v>41</v>
      </c>
      <c r="M64" s="9" t="str">
        <f t="shared" si="3"/>
        <v>kom</v>
      </c>
    </row>
    <row r="65" spans="1:13" ht="60">
      <c r="A65" s="10"/>
      <c r="B65" s="10" t="s">
        <v>1233</v>
      </c>
      <c r="C65" s="253" t="s">
        <v>277</v>
      </c>
      <c r="D65" s="9" t="s">
        <v>263</v>
      </c>
      <c r="E65" s="9">
        <v>11</v>
      </c>
      <c r="F65" s="9" t="s">
        <v>371</v>
      </c>
      <c r="I65" s="9" t="s">
        <v>342</v>
      </c>
      <c r="J65" s="10" t="str">
        <f t="shared" si="0"/>
        <v/>
      </c>
      <c r="K65" s="10" t="str">
        <f t="shared" si="1"/>
        <v>NO/NC modul - kontakti: 1NC + 1NO; Au/Ag; vijčani priključak
Narudžbeni broj: 704.911.5-1
Proizvođač: EAO</v>
      </c>
      <c r="L65" s="9">
        <f t="shared" si="2"/>
        <v>11</v>
      </c>
      <c r="M65" s="9" t="str">
        <f t="shared" si="3"/>
        <v>kom</v>
      </c>
    </row>
    <row r="66" spans="1:13" ht="60">
      <c r="A66" s="10"/>
      <c r="B66" s="10" t="s">
        <v>1234</v>
      </c>
      <c r="C66" s="253" t="s">
        <v>282</v>
      </c>
      <c r="D66" s="9" t="s">
        <v>263</v>
      </c>
      <c r="E66" s="9">
        <v>1</v>
      </c>
      <c r="F66" s="9" t="s">
        <v>371</v>
      </c>
      <c r="I66" s="9" t="s">
        <v>1399</v>
      </c>
      <c r="J66" s="10" t="str">
        <f t="shared" si="0"/>
        <v/>
      </c>
      <c r="K66" s="10" t="str">
        <f t="shared" si="1"/>
        <v>2NC modul - kontakti: 2NC; Au/Ag; vijčani priključak
Narudžbeni broj: 704.911.4-1
Proizvođač: EAO</v>
      </c>
      <c r="L66" s="9">
        <f t="shared" si="2"/>
        <v>1</v>
      </c>
      <c r="M66" s="9" t="str">
        <f t="shared" si="3"/>
        <v>kom</v>
      </c>
    </row>
    <row r="67" spans="1:13" ht="60">
      <c r="A67" s="10"/>
      <c r="B67" s="10" t="s">
        <v>1235</v>
      </c>
      <c r="C67" s="253" t="s">
        <v>863</v>
      </c>
      <c r="D67" s="9" t="s">
        <v>263</v>
      </c>
      <c r="E67" s="9">
        <v>1</v>
      </c>
      <c r="F67" s="9" t="s">
        <v>371</v>
      </c>
      <c r="I67" s="9" t="s">
        <v>1400</v>
      </c>
      <c r="J67" s="10" t="str">
        <f t="shared" si="0"/>
        <v/>
      </c>
      <c r="K67" s="10" t="str">
        <f t="shared" si="1"/>
        <v>2NO modul - kontakti: 2NC; Au/Ag; vijčani priključak
Narudžbeni broj: 704.911.3-1
Proizvođač: EAO</v>
      </c>
      <c r="L67" s="9">
        <f t="shared" si="2"/>
        <v>1</v>
      </c>
      <c r="M67" s="9" t="str">
        <f t="shared" si="3"/>
        <v>kom</v>
      </c>
    </row>
    <row r="68" spans="1:13" ht="75">
      <c r="A68" s="255" t="s">
        <v>1125</v>
      </c>
      <c r="B68" s="10" t="s">
        <v>1236</v>
      </c>
      <c r="C68" s="253" t="s">
        <v>879</v>
      </c>
      <c r="D68" s="9" t="s">
        <v>985</v>
      </c>
      <c r="E68" s="9">
        <v>7</v>
      </c>
      <c r="F68" s="9" t="s">
        <v>371</v>
      </c>
      <c r="I68" s="9" t="s">
        <v>1401</v>
      </c>
      <c r="J68" s="10" t="str">
        <f t="shared" si="0"/>
        <v>-S111, -S211, -S311, -S411, -S511, -S611, -S911</v>
      </c>
      <c r="K68" s="10" t="str">
        <f t="shared" si="1"/>
        <v>Sklopka grebenasta, preklopka s “0” položajem, Broj polova: 3, Broj elemenata: 3, Oblik ugradnje: ugradna
Narudžbeni broj: GN20-53-U
Proizvođač: Končar</v>
      </c>
      <c r="L68" s="9">
        <f t="shared" si="2"/>
        <v>7</v>
      </c>
      <c r="M68" s="9" t="str">
        <f t="shared" si="3"/>
        <v>kom</v>
      </c>
    </row>
    <row r="69" spans="1:13" ht="180">
      <c r="A69" s="255" t="s">
        <v>1127</v>
      </c>
      <c r="B69" s="10" t="s">
        <v>1237</v>
      </c>
      <c r="C69" s="254" t="s">
        <v>1238</v>
      </c>
      <c r="D69" s="9" t="s">
        <v>263</v>
      </c>
      <c r="E69" s="9">
        <v>15</v>
      </c>
      <c r="F69" s="9" t="s">
        <v>371</v>
      </c>
      <c r="I69" s="9" t="s">
        <v>1402</v>
      </c>
      <c r="J69" s="10" t="str">
        <f t="shared" si="0"/>
        <v>-H4, -H5, -H6, -H7, -H102, -H202, -H302, -H402, -H502, -H602, -H701, -H702, -H703, H801, -H802</v>
      </c>
      <c r="K69" s="10" t="str">
        <f t="shared" si="1"/>
        <v>Svjetleće tijelo, leća: CRVENA, prednji okvir: sivi; 35×35mm, podnožje za sijalicu sa vijčanim priključkom
Narudžbeni broj:  704.202.208
Proizvođač: EAO</v>
      </c>
      <c r="L69" s="9">
        <f t="shared" si="2"/>
        <v>15</v>
      </c>
      <c r="M69" s="9" t="str">
        <f t="shared" si="3"/>
        <v>kom</v>
      </c>
    </row>
    <row r="70" spans="1:13" ht="75">
      <c r="A70" s="255" t="s">
        <v>1130</v>
      </c>
      <c r="B70" s="10" t="s">
        <v>1239</v>
      </c>
      <c r="C70" s="254" t="s">
        <v>268</v>
      </c>
      <c r="D70" s="9" t="s">
        <v>263</v>
      </c>
      <c r="E70" s="9">
        <v>6</v>
      </c>
      <c r="F70" s="9" t="s">
        <v>371</v>
      </c>
      <c r="I70" s="9" t="s">
        <v>1403</v>
      </c>
      <c r="J70" s="10" t="str">
        <f t="shared" si="0"/>
        <v>-H1, -H2, -H3, -H401, -H501, -H601</v>
      </c>
      <c r="K70" s="10" t="str">
        <f t="shared" si="1"/>
        <v>Svjetleće tijelo, leća: ZELENA, prednji okvir: sivi; 35×35mm, podnožje za sijalicu sa vijčanim priključkom
Narudžbeni broj: 704.202.508
Proizvođač: EAO</v>
      </c>
      <c r="L70" s="9">
        <f t="shared" si="2"/>
        <v>6</v>
      </c>
      <c r="M70" s="9" t="str">
        <f t="shared" ref="M70:M112" si="7">F70</f>
        <v>kom</v>
      </c>
    </row>
    <row r="71" spans="1:13" ht="75">
      <c r="A71" s="255" t="s">
        <v>1126</v>
      </c>
      <c r="B71" s="10" t="s">
        <v>1240</v>
      </c>
      <c r="C71" s="254" t="s">
        <v>270</v>
      </c>
      <c r="D71" s="9" t="s">
        <v>263</v>
      </c>
      <c r="E71" s="9">
        <v>6</v>
      </c>
      <c r="F71" s="9" t="s">
        <v>371</v>
      </c>
      <c r="I71" s="9" t="s">
        <v>1404</v>
      </c>
      <c r="J71" s="10" t="str">
        <f t="shared" ref="J71:J123" si="8">IF(A71=0,"",A71)</f>
        <v>-H8, -H101, -H201, -H301, -H404, -H504, -H604</v>
      </c>
      <c r="K71" s="10" t="str">
        <f t="shared" ref="K71:K121" si="9">_xlfn.CONCAT(B71,CHAR(10),$C$3,": ",C71,CHAR(10),$D$3,": ",D71)</f>
        <v>Svjetleće tijelo, leća: PROZIRNA, prednji okvir: sivi; 35×35mm, podnožje za sijalicu sa vijčanim priključkom
Narudžbeni broj: 704.202.708
Proizvođač: EAO</v>
      </c>
      <c r="L71" s="9">
        <f t="shared" ref="L71:M118" si="10">E71</f>
        <v>6</v>
      </c>
      <c r="M71" s="9" t="str">
        <f t="shared" si="7"/>
        <v>kom</v>
      </c>
    </row>
    <row r="72" spans="1:13" ht="75">
      <c r="A72" s="255" t="s">
        <v>1131</v>
      </c>
      <c r="B72" s="10" t="s">
        <v>1241</v>
      </c>
      <c r="C72" s="254" t="s">
        <v>269</v>
      </c>
      <c r="D72" s="9" t="s">
        <v>263</v>
      </c>
      <c r="E72" s="9">
        <v>3</v>
      </c>
      <c r="F72" s="9" t="s">
        <v>371</v>
      </c>
      <c r="I72" s="9" t="s">
        <v>1405</v>
      </c>
      <c r="J72" s="10" t="str">
        <f t="shared" si="8"/>
        <v>-H403, H503, -H603</v>
      </c>
      <c r="K72" s="10" t="str">
        <f t="shared" si="9"/>
        <v>Svjetleće tijelo, leća: ŽUTA, prednji okvir: sivi; 35×35mm, podnožje za sijalicu sa vijčanim priključkom
Narudžbeni broj: 704.202.408
Proizvođač: EAO</v>
      </c>
      <c r="L72" s="9">
        <f t="shared" si="10"/>
        <v>3</v>
      </c>
      <c r="M72" s="9" t="str">
        <f t="shared" si="7"/>
        <v>kom</v>
      </c>
    </row>
    <row r="73" spans="1:13" ht="75">
      <c r="A73" s="255" t="s">
        <v>1124</v>
      </c>
      <c r="B73" s="10" t="s">
        <v>1242</v>
      </c>
      <c r="C73" s="254" t="s">
        <v>987</v>
      </c>
      <c r="D73" s="9" t="s">
        <v>263</v>
      </c>
      <c r="E73" s="9">
        <v>4</v>
      </c>
      <c r="F73" s="9" t="s">
        <v>371</v>
      </c>
      <c r="I73" s="9" t="s">
        <v>1406</v>
      </c>
      <c r="J73" s="10" t="str">
        <f t="shared" si="8"/>
        <v>-S110, -S101, -S201, -S301</v>
      </c>
      <c r="K73" s="10" t="str">
        <f t="shared" si="9"/>
        <v>Svjetleće tipkalo, leća: CRVENA, prednji okvir: crni; 35×35mm, podnožje za sijalicu sa vijčanim priključkom
Narudžbeni broj: 704.229.200
Proizvođač: EAO</v>
      </c>
      <c r="L73" s="9">
        <f t="shared" si="10"/>
        <v>4</v>
      </c>
      <c r="M73" s="9" t="str">
        <f t="shared" si="7"/>
        <v>kom</v>
      </c>
    </row>
    <row r="74" spans="1:13" ht="75">
      <c r="A74" s="255" t="s">
        <v>1129</v>
      </c>
      <c r="B74" s="10" t="s">
        <v>1243</v>
      </c>
      <c r="C74" s="254" t="s">
        <v>275</v>
      </c>
      <c r="D74" s="9" t="s">
        <v>263</v>
      </c>
      <c r="E74" s="9">
        <v>3</v>
      </c>
      <c r="F74" s="9" t="s">
        <v>371</v>
      </c>
      <c r="I74" s="9" t="s">
        <v>1407</v>
      </c>
      <c r="J74" s="10" t="str">
        <f t="shared" si="8"/>
        <v>-S103, -S203, -S303</v>
      </c>
      <c r="K74" s="10" t="str">
        <f t="shared" si="9"/>
        <v>Svjetleće tipkalo, leća: ZELENA, prednji okvir: crni; 35×35mm, podnožje za sijalicu sa vijčanim priključkom
Narudžbeni broj: 704.229.500
Proizvođač: EAO</v>
      </c>
      <c r="L74" s="9">
        <f t="shared" si="10"/>
        <v>3</v>
      </c>
      <c r="M74" s="9" t="str">
        <f t="shared" si="7"/>
        <v>kom</v>
      </c>
    </row>
    <row r="75" spans="1:13" ht="75">
      <c r="A75" s="255" t="s">
        <v>1128</v>
      </c>
      <c r="B75" s="10" t="s">
        <v>1244</v>
      </c>
      <c r="C75" s="254" t="s">
        <v>986</v>
      </c>
      <c r="D75" s="9" t="s">
        <v>263</v>
      </c>
      <c r="E75" s="9">
        <v>3</v>
      </c>
      <c r="F75" s="9" t="s">
        <v>371</v>
      </c>
      <c r="I75" s="9" t="s">
        <v>1408</v>
      </c>
      <c r="J75" s="10" t="str">
        <f t="shared" si="8"/>
        <v>-S102, -S202, -S302</v>
      </c>
      <c r="K75" s="10" t="str">
        <f t="shared" si="9"/>
        <v>Svjetleće tipkalo, leća: PROZIRNA, prednji okvir: crni; 35×35mm, podnožje za sijalicu sa vijčanim priključkom
Narudžbeni broj: 704.229.700
Proizvođač: EAO</v>
      </c>
      <c r="L75" s="9">
        <f t="shared" si="10"/>
        <v>3</v>
      </c>
      <c r="M75" s="9" t="str">
        <f t="shared" si="7"/>
        <v>kom</v>
      </c>
    </row>
    <row r="76" spans="1:13" ht="75">
      <c r="A76" s="255" t="s">
        <v>1146</v>
      </c>
      <c r="B76" s="10" t="s">
        <v>1245</v>
      </c>
      <c r="C76" s="254" t="s">
        <v>279</v>
      </c>
      <c r="D76" s="9" t="s">
        <v>263</v>
      </c>
      <c r="E76" s="9">
        <v>1</v>
      </c>
      <c r="F76" s="9" t="s">
        <v>371</v>
      </c>
      <c r="I76" s="9" t="s">
        <v>1409</v>
      </c>
      <c r="J76" s="10" t="str">
        <f t="shared" si="8"/>
        <v>-S301</v>
      </c>
      <c r="K76" s="10" t="str">
        <f t="shared" si="9"/>
        <v>Tipkalo za isklop u nuždi, gljivasta glava: crvena, Ø40mm, prednji okvir: aluminijski, reset: zakret u smjeru kazaljke na satu
Narudžbeni broj: 704.075.2
Proizvođač: EAO</v>
      </c>
      <c r="L76" s="9">
        <f t="shared" si="10"/>
        <v>1</v>
      </c>
      <c r="M76" s="9" t="str">
        <f t="shared" si="7"/>
        <v>kom</v>
      </c>
    </row>
    <row r="77" spans="1:13" ht="60">
      <c r="A77" s="255" t="s">
        <v>1146</v>
      </c>
      <c r="B77" s="9" t="s">
        <v>1246</v>
      </c>
      <c r="C77" s="254" t="s">
        <v>1147</v>
      </c>
      <c r="D77" s="9" t="s">
        <v>263</v>
      </c>
      <c r="E77" s="9">
        <v>1</v>
      </c>
      <c r="F77" s="9" t="s">
        <v>371</v>
      </c>
      <c r="I77" s="9" t="s">
        <v>1410</v>
      </c>
      <c r="J77" s="10" t="str">
        <f t="shared" si="8"/>
        <v>-S301</v>
      </c>
      <c r="K77" s="10" t="str">
        <f t="shared" si="9"/>
        <v>E-stop zaštitni prsten, plastičan, Ø83 mm, boja: žuta
Narudžbeni broj: 704.927.9
Proizvođač: EAO</v>
      </c>
      <c r="L77" s="9">
        <f t="shared" si="10"/>
        <v>1</v>
      </c>
      <c r="M77" s="9" t="str">
        <f t="shared" si="7"/>
        <v>kom</v>
      </c>
    </row>
    <row r="78" spans="1:13" ht="90">
      <c r="A78" s="255" t="s">
        <v>1042</v>
      </c>
      <c r="B78" s="10" t="s">
        <v>1247</v>
      </c>
      <c r="C78" s="253" t="s">
        <v>870</v>
      </c>
      <c r="D78" s="9" t="s">
        <v>826</v>
      </c>
      <c r="E78" s="9">
        <v>1</v>
      </c>
      <c r="F78" s="9" t="s">
        <v>371</v>
      </c>
      <c r="I78" s="9" t="s">
        <v>1411</v>
      </c>
      <c r="J78" s="10" t="str">
        <f t="shared" si="8"/>
        <v>-K411</v>
      </c>
      <c r="K78" s="10" t="str">
        <f t="shared" si="9"/>
        <v>Digitalno podesivi nadzorni relej za ispad faze, redoslijed faza, asimetriju, frekvenciju, nadzor prenapona i podnapona 3x 90-690 V AC, 15-70 Hz 2 preklopna kontakta vijčani priključak
Narudžbeni broj: 3UG5616-1CR20
Proizvođač: Siemens</v>
      </c>
      <c r="L78" s="9">
        <f t="shared" si="10"/>
        <v>1</v>
      </c>
      <c r="M78" s="9" t="str">
        <f t="shared" si="7"/>
        <v>kom</v>
      </c>
    </row>
    <row r="79" spans="1:13" ht="75">
      <c r="A79" s="256" t="s">
        <v>1058</v>
      </c>
      <c r="B79" s="10" t="s">
        <v>1248</v>
      </c>
      <c r="C79" s="253" t="s">
        <v>988</v>
      </c>
      <c r="D79" s="9" t="s">
        <v>809</v>
      </c>
      <c r="E79" s="9">
        <v>6</v>
      </c>
      <c r="F79" s="9" t="s">
        <v>371</v>
      </c>
      <c r="I79" s="9" t="s">
        <v>1412</v>
      </c>
      <c r="J79" s="10" t="str">
        <f t="shared" si="8"/>
        <v>-K3.1, -K3.2,…-K5.1, -K5.2</v>
      </c>
      <c r="K79" s="10" t="str">
        <f t="shared" si="9"/>
        <v>Sklopnik TeSys D - 3P (3 NO) - AC-3 - &lt;= 440 V 9 A - Zavojnica 220 V DC, namjena: upravljanje motorom / ohmski teret
Narudžbeni broj: LC1D09MD
Proizvođač: Schneider Electric</v>
      </c>
      <c r="L79" s="9">
        <f t="shared" si="10"/>
        <v>6</v>
      </c>
      <c r="M79" s="9" t="str">
        <f t="shared" si="7"/>
        <v>kom</v>
      </c>
    </row>
    <row r="80" spans="1:13" ht="75">
      <c r="A80" s="256" t="s">
        <v>1058</v>
      </c>
      <c r="B80" s="10" t="s">
        <v>1249</v>
      </c>
      <c r="C80" s="253" t="s">
        <v>871</v>
      </c>
      <c r="D80" s="9" t="s">
        <v>809</v>
      </c>
      <c r="E80" s="9">
        <v>3</v>
      </c>
      <c r="F80" s="9" t="s">
        <v>810</v>
      </c>
      <c r="I80" s="9" t="s">
        <v>1413</v>
      </c>
      <c r="J80" s="10" t="str">
        <f t="shared" si="8"/>
        <v>-K3.1, -K3.2,…-K5.1, -K5.2</v>
      </c>
      <c r="K80" s="10" t="str">
        <f t="shared" si="9"/>
        <v>Komplet za reverzni sklopnik , 3P, 32 A, sastav opreme: električna i mehanička blokada, set priključaka za napajanje
Narudžbeni broj: LAD9R1V
Proizvođač: Schneider Electric</v>
      </c>
      <c r="L80" s="9">
        <f t="shared" si="10"/>
        <v>3</v>
      </c>
      <c r="M80" s="9" t="str">
        <f t="shared" si="7"/>
        <v>set</v>
      </c>
    </row>
    <row r="81" spans="1:13" ht="60">
      <c r="A81" s="255" t="s">
        <v>1021</v>
      </c>
      <c r="B81" s="10" t="s">
        <v>1250</v>
      </c>
      <c r="C81" s="253">
        <v>943405</v>
      </c>
      <c r="D81" s="9" t="s">
        <v>872</v>
      </c>
      <c r="E81" s="9">
        <v>1</v>
      </c>
      <c r="F81" s="9" t="s">
        <v>371</v>
      </c>
      <c r="I81" s="9" t="s">
        <v>1414</v>
      </c>
      <c r="J81" s="10" t="str">
        <f t="shared" si="8"/>
        <v>-FU1</v>
      </c>
      <c r="K81" s="10" t="str">
        <f t="shared" si="9"/>
        <v>Odvodnik prenapona za TNC sustav, DG MD TNS 275 FM, DEHNGuard Modular
Narudžbeni broj: 943405
Proizvođač: Dehn</v>
      </c>
      <c r="L81" s="9">
        <f t="shared" si="10"/>
        <v>1</v>
      </c>
      <c r="M81" s="9" t="str">
        <f t="shared" si="7"/>
        <v>kom</v>
      </c>
    </row>
    <row r="82" spans="1:13" ht="75">
      <c r="A82" s="255" t="s">
        <v>1022</v>
      </c>
      <c r="B82" s="10" t="s">
        <v>1251</v>
      </c>
      <c r="C82" s="253">
        <v>93444012</v>
      </c>
      <c r="D82" s="9" t="s">
        <v>873</v>
      </c>
      <c r="E82" s="9">
        <v>1</v>
      </c>
      <c r="F82" s="9" t="s">
        <v>371</v>
      </c>
      <c r="I82" s="9" t="s">
        <v>1415</v>
      </c>
      <c r="J82" s="10" t="str">
        <f t="shared" si="8"/>
        <v>-S1</v>
      </c>
      <c r="K82" s="10" t="str">
        <f t="shared" si="9"/>
        <v>Sklopka preklopna motorizirana - 4P - 125A - sa uređajima za automatsko prebacivanje - napajanje 230/400 V AC - tip: ATyS t M
Narudžbeni broj: 93444012
Proizvođač: Socomec</v>
      </c>
      <c r="L82" s="9">
        <f t="shared" si="10"/>
        <v>1</v>
      </c>
      <c r="M82" s="9" t="str">
        <f t="shared" si="7"/>
        <v>kom</v>
      </c>
    </row>
    <row r="83" spans="1:13" ht="60">
      <c r="A83" s="255" t="s">
        <v>1022</v>
      </c>
      <c r="B83" s="10" t="s">
        <v>990</v>
      </c>
      <c r="C83" s="253">
        <v>13094006</v>
      </c>
      <c r="D83" s="9" t="s">
        <v>873</v>
      </c>
      <c r="E83" s="9">
        <v>1</v>
      </c>
      <c r="F83" s="9" t="s">
        <v>371</v>
      </c>
      <c r="I83" s="9" t="s">
        <v>1416</v>
      </c>
      <c r="J83" s="10" t="str">
        <f t="shared" si="8"/>
        <v>-S1</v>
      </c>
      <c r="K83" s="10" t="str">
        <f t="shared" si="9"/>
        <v>Kratkospojnik za “Change-over” sklopku 4P, 40...125A
Narudžbeni broj: 13094006
Proizvođač: Socomec</v>
      </c>
      <c r="L83" s="9">
        <f t="shared" si="10"/>
        <v>1</v>
      </c>
      <c r="M83" s="9" t="str">
        <f t="shared" si="7"/>
        <v>kom</v>
      </c>
    </row>
    <row r="84" spans="1:13" ht="45">
      <c r="A84" s="255" t="s">
        <v>1022</v>
      </c>
      <c r="B84" s="10" t="s">
        <v>991</v>
      </c>
      <c r="C84" s="253">
        <v>22944016</v>
      </c>
      <c r="D84" s="9" t="s">
        <v>873</v>
      </c>
      <c r="E84" s="9">
        <v>1</v>
      </c>
      <c r="F84" s="9" t="s">
        <v>371</v>
      </c>
      <c r="I84" s="9" t="s">
        <v>1417</v>
      </c>
      <c r="J84" s="10" t="str">
        <f t="shared" si="8"/>
        <v>-S1</v>
      </c>
      <c r="K84" s="10" t="str">
        <f t="shared" si="9"/>
        <v>Pokrov kontakata za 4P sklopku 40...160A
Narudžbeni broj: 22944016
Proizvođač: Socomec</v>
      </c>
      <c r="L84" s="9">
        <f t="shared" si="10"/>
        <v>1</v>
      </c>
      <c r="M84" s="9" t="str">
        <f t="shared" si="7"/>
        <v>kom</v>
      </c>
    </row>
    <row r="85" spans="1:13" ht="60">
      <c r="A85" s="255" t="s">
        <v>1022</v>
      </c>
      <c r="B85" s="10" t="s">
        <v>992</v>
      </c>
      <c r="C85" s="253">
        <v>13994006</v>
      </c>
      <c r="D85" s="9" t="s">
        <v>873</v>
      </c>
      <c r="E85" s="9">
        <v>1</v>
      </c>
      <c r="F85" s="9" t="s">
        <v>371</v>
      </c>
      <c r="I85" s="9" t="s">
        <v>1418</v>
      </c>
      <c r="J85" s="10" t="str">
        <f t="shared" si="8"/>
        <v>-S1</v>
      </c>
      <c r="K85" s="10" t="str">
        <f t="shared" si="9"/>
        <v>Stopica za priključak upravljačkog napona 2 komada
Narudžbeni broj: 13994006
Proizvođač: Socomec</v>
      </c>
      <c r="L85" s="9">
        <f t="shared" si="10"/>
        <v>1</v>
      </c>
      <c r="M85" s="9" t="str">
        <f t="shared" si="7"/>
        <v>kom</v>
      </c>
    </row>
    <row r="86" spans="1:13" ht="75">
      <c r="A86" s="255" t="s">
        <v>1022</v>
      </c>
      <c r="B86" s="10" t="s">
        <v>1252</v>
      </c>
      <c r="C86" s="253">
        <v>13091001</v>
      </c>
      <c r="D86" s="9" t="s">
        <v>873</v>
      </c>
      <c r="E86" s="9">
        <v>1</v>
      </c>
      <c r="F86" s="9" t="s">
        <v>371</v>
      </c>
      <c r="I86" s="9" t="s">
        <v>1419</v>
      </c>
      <c r="J86" s="10" t="str">
        <f t="shared" si="8"/>
        <v>-S1</v>
      </c>
      <c r="K86" s="10" t="str">
        <f t="shared" si="9"/>
        <v>Blok pomoćnik kontakata 1R + 1M, za signalizaciju položaja sklopke trostruki preklopni kontakt (I - 0 - 2)
Narudžbeni broj: 13091001
Proizvođač: Socomec</v>
      </c>
      <c r="L86" s="9">
        <f t="shared" si="10"/>
        <v>1</v>
      </c>
      <c r="M86" s="9" t="str">
        <f t="shared" si="7"/>
        <v>kom</v>
      </c>
    </row>
    <row r="87" spans="1:13" ht="45">
      <c r="A87" s="255" t="s">
        <v>1132</v>
      </c>
      <c r="B87" s="10" t="s">
        <v>876</v>
      </c>
      <c r="C87" s="253" t="s">
        <v>875</v>
      </c>
      <c r="D87" s="9" t="s">
        <v>809</v>
      </c>
      <c r="E87" s="9">
        <v>1</v>
      </c>
      <c r="F87" s="9" t="s">
        <v>371</v>
      </c>
      <c r="I87" s="9" t="s">
        <v>1420</v>
      </c>
      <c r="J87" s="10" t="str">
        <f t="shared" si="8"/>
        <v>-F2</v>
      </c>
      <c r="K87" s="10" t="str">
        <f t="shared" si="9"/>
        <v>iC60L - minijaturni prekidač - 3P - 3 A - C krivulja
Narudžbeni broj: A9F94303
Proizvođač: Schneider Electric</v>
      </c>
      <c r="L87" s="9">
        <f t="shared" si="10"/>
        <v>1</v>
      </c>
      <c r="M87" s="9" t="str">
        <f t="shared" si="7"/>
        <v>kom</v>
      </c>
    </row>
    <row r="88" spans="1:13" ht="75">
      <c r="A88" s="10"/>
      <c r="B88" s="10" t="s">
        <v>877</v>
      </c>
      <c r="C88" s="253" t="s">
        <v>881</v>
      </c>
      <c r="D88" s="9" t="s">
        <v>809</v>
      </c>
      <c r="E88" s="9">
        <v>30</v>
      </c>
      <c r="F88" s="9" t="s">
        <v>371</v>
      </c>
      <c r="I88" s="9" t="s">
        <v>1421</v>
      </c>
      <c r="J88" s="10" t="str">
        <f t="shared" si="8"/>
        <v/>
      </c>
      <c r="K88" s="10" t="str">
        <f t="shared" si="9"/>
        <v>Pomoćni kontakt, Acti9 A9A, iOF/SD+OF, 2 C/O, 100mA do 6A, 24VAC do 415VAC, 24VDC do 130VDC, gornji i donji priključak
Narudžbeni broj: A9A26909
Proizvođač: Schneider Electric</v>
      </c>
      <c r="L88" s="9">
        <f t="shared" si="10"/>
        <v>30</v>
      </c>
      <c r="M88" s="9" t="str">
        <f t="shared" si="7"/>
        <v>kom</v>
      </c>
    </row>
    <row r="89" spans="1:13" ht="60">
      <c r="A89" s="255" t="s">
        <v>1133</v>
      </c>
      <c r="B89" s="10" t="s">
        <v>883</v>
      </c>
      <c r="C89" s="253" t="s">
        <v>993</v>
      </c>
      <c r="D89" s="9" t="s">
        <v>809</v>
      </c>
      <c r="E89" s="9">
        <v>3</v>
      </c>
      <c r="F89" s="9" t="s">
        <v>371</v>
      </c>
      <c r="I89" s="9" t="s">
        <v>1422</v>
      </c>
      <c r="J89" s="10" t="str">
        <f t="shared" si="8"/>
        <v>-F3, -F4, -F5</v>
      </c>
      <c r="K89" s="10" t="str">
        <f t="shared" si="9"/>
        <v>TeSys GV2-termo-magnetski-prekidač-1...1,6 A-priključci vijčanim stezaljkama
Narudžbeni broj: GV2ME06AP
Proizvođač: Schneider Electric</v>
      </c>
      <c r="L89" s="9">
        <f t="shared" si="10"/>
        <v>3</v>
      </c>
      <c r="M89" s="9" t="str">
        <f t="shared" si="7"/>
        <v>kom</v>
      </c>
    </row>
    <row r="90" spans="1:13" ht="90">
      <c r="A90" s="255" t="s">
        <v>1133</v>
      </c>
      <c r="B90" s="10" t="s">
        <v>1254</v>
      </c>
      <c r="C90" s="253" t="s">
        <v>884</v>
      </c>
      <c r="D90" s="9" t="s">
        <v>809</v>
      </c>
      <c r="E90" s="9">
        <v>3</v>
      </c>
      <c r="F90" s="9" t="s">
        <v>371</v>
      </c>
      <c r="I90" s="9" t="s">
        <v>1423</v>
      </c>
      <c r="J90" s="10" t="str">
        <f t="shared" si="8"/>
        <v>-F3, -F4, -F5</v>
      </c>
      <c r="K90" s="10" t="str">
        <f t="shared" si="9"/>
        <v>TeSys GV blok pomoćnih kontakata, za motorne prekidače GV2 i GV3, pomoćni kontakt - 1 NO + 1 NC, Nazivni radni napon: 24...240 V AC, 24...60 V DC
Narudžbeni broj: GVAE11
Proizvođač: Schneider Electric</v>
      </c>
      <c r="L90" s="9">
        <f t="shared" si="10"/>
        <v>3</v>
      </c>
      <c r="M90" s="9" t="str">
        <f t="shared" si="7"/>
        <v>kom</v>
      </c>
    </row>
    <row r="91" spans="1:13" ht="60">
      <c r="A91" s="255" t="s">
        <v>1134</v>
      </c>
      <c r="B91" s="10" t="s">
        <v>1255</v>
      </c>
      <c r="C91" s="253" t="s">
        <v>885</v>
      </c>
      <c r="D91" s="9" t="s">
        <v>809</v>
      </c>
      <c r="E91" s="9">
        <v>6</v>
      </c>
      <c r="F91" s="9" t="s">
        <v>371</v>
      </c>
      <c r="I91" s="9" t="s">
        <v>1424</v>
      </c>
      <c r="J91" s="10" t="str">
        <f t="shared" si="8"/>
        <v>-F6, -F7, -F8, -F9, -F10, -F13</v>
      </c>
      <c r="K91" s="10" t="str">
        <f t="shared" si="9"/>
        <v>iC60L, minijaturni prekidač (MCB), 3P, Nazivna struja 2 A, C krivulja isključenja
Narudžbeni broj: A9F94302
Proizvođač: Schneider Electric</v>
      </c>
      <c r="L91" s="9">
        <f t="shared" si="10"/>
        <v>6</v>
      </c>
      <c r="M91" s="9" t="str">
        <f t="shared" si="7"/>
        <v>kom</v>
      </c>
    </row>
    <row r="92" spans="1:13" ht="60">
      <c r="A92" s="255" t="s">
        <v>1135</v>
      </c>
      <c r="B92" s="10" t="s">
        <v>1256</v>
      </c>
      <c r="C92" s="253" t="s">
        <v>886</v>
      </c>
      <c r="D92" s="9" t="s">
        <v>809</v>
      </c>
      <c r="E92" s="9">
        <v>1</v>
      </c>
      <c r="F92" s="9" t="s">
        <v>371</v>
      </c>
      <c r="I92" s="9" t="s">
        <v>1425</v>
      </c>
      <c r="J92" s="10" t="str">
        <f t="shared" si="8"/>
        <v>-F12</v>
      </c>
      <c r="K92" s="10" t="str">
        <f t="shared" si="9"/>
        <v>iC60L, minijaturni prekidač (MCB), 3P, Nazivna struja 6 A, C krivulja isključenja
Narudžbeni broj: A9F94306
Proizvođač: Schneider Electric</v>
      </c>
      <c r="L92" s="9">
        <f t="shared" si="10"/>
        <v>1</v>
      </c>
      <c r="M92" s="9" t="str">
        <f t="shared" si="7"/>
        <v>kom</v>
      </c>
    </row>
    <row r="93" spans="1:13" ht="60">
      <c r="A93" s="255" t="s">
        <v>1136</v>
      </c>
      <c r="B93" s="10" t="s">
        <v>1257</v>
      </c>
      <c r="C93" s="253" t="s">
        <v>887</v>
      </c>
      <c r="D93" s="9" t="s">
        <v>809</v>
      </c>
      <c r="E93" s="9">
        <v>1</v>
      </c>
      <c r="F93" s="9" t="s">
        <v>371</v>
      </c>
      <c r="I93" s="9" t="s">
        <v>1426</v>
      </c>
      <c r="J93" s="10" t="str">
        <f t="shared" si="8"/>
        <v>-F11</v>
      </c>
      <c r="K93" s="10" t="str">
        <f t="shared" si="9"/>
        <v>iC60L, minijaturni prekidač (MCB), 3P, Nazivna struja 10 A, C krivulja isključenja
Narudžbeni broj: A9F94310
Proizvođač: Schneider Electric</v>
      </c>
      <c r="L93" s="9">
        <f t="shared" si="10"/>
        <v>1</v>
      </c>
      <c r="M93" s="9" t="str">
        <f t="shared" si="7"/>
        <v>kom</v>
      </c>
    </row>
    <row r="94" spans="1:13" ht="60">
      <c r="A94" s="255" t="s">
        <v>1137</v>
      </c>
      <c r="B94" s="10" t="s">
        <v>1258</v>
      </c>
      <c r="C94" s="253" t="s">
        <v>888</v>
      </c>
      <c r="D94" s="9" t="s">
        <v>809</v>
      </c>
      <c r="E94" s="9">
        <v>14</v>
      </c>
      <c r="F94" s="9" t="s">
        <v>371</v>
      </c>
      <c r="I94" s="9" t="s">
        <v>1427</v>
      </c>
      <c r="J94" s="10" t="str">
        <f t="shared" si="8"/>
        <v>-F31, -F32, -F33, -F34, -F36, -F37, -F38</v>
      </c>
      <c r="K94" s="10" t="str">
        <f t="shared" si="9"/>
        <v>iC60L,  minijaturni prekidač (MCB), P, Nazivna struja 6 A, C krivulja isključenja
Narudžbeni broj: A9F94106
Proizvođač: Schneider Electric</v>
      </c>
      <c r="L94" s="9">
        <f t="shared" si="10"/>
        <v>14</v>
      </c>
      <c r="M94" s="9" t="str">
        <f t="shared" si="7"/>
        <v>kom</v>
      </c>
    </row>
    <row r="95" spans="1:13" ht="75">
      <c r="A95" s="255" t="s">
        <v>1138</v>
      </c>
      <c r="B95" s="10" t="s">
        <v>1259</v>
      </c>
      <c r="C95" s="253" t="s">
        <v>889</v>
      </c>
      <c r="D95" s="9" t="s">
        <v>809</v>
      </c>
      <c r="E95" s="9">
        <v>2</v>
      </c>
      <c r="F95" s="9" t="s">
        <v>371</v>
      </c>
      <c r="I95" s="9" t="s">
        <v>1428</v>
      </c>
      <c r="J95" s="10" t="str">
        <f t="shared" si="8"/>
        <v>-F35, -F39</v>
      </c>
      <c r="K95" s="10" t="str">
        <f t="shared" si="9"/>
        <v>FID, 13 A/C, 30 mA, Acti9 iDPN N Vigi kombinirana zaštitna sklopka, 1P + N, 300 mA klasa A, C krivulja, 6000A
Narudžbeni broj: A9D32613
Proizvođač: Schneider Electric</v>
      </c>
      <c r="L95" s="9">
        <f t="shared" si="10"/>
        <v>2</v>
      </c>
      <c r="M95" s="9" t="str">
        <f t="shared" si="7"/>
        <v>kom</v>
      </c>
    </row>
    <row r="96" spans="1:13" ht="75">
      <c r="A96" s="10"/>
      <c r="B96" s="10" t="s">
        <v>1260</v>
      </c>
      <c r="C96" s="253" t="s">
        <v>891</v>
      </c>
      <c r="D96" s="9" t="s">
        <v>809</v>
      </c>
      <c r="E96" s="9">
        <v>8</v>
      </c>
      <c r="F96" s="9" t="s">
        <v>371</v>
      </c>
      <c r="I96" s="9" t="s">
        <v>1429</v>
      </c>
      <c r="J96" s="10" t="str">
        <f t="shared" si="8"/>
        <v/>
      </c>
      <c r="K96" s="10" t="str">
        <f t="shared" si="9"/>
        <v>Pomoćni kontakt, Acti9, OF/SD+OF, 2 C/O, 100mA do 6A, 24VAC do 415VAC, 24VDC do 130VDC, gornji i donji priključak
Narudžbeni broj: A9N26909
Proizvođač: Schneider Electric</v>
      </c>
      <c r="L96" s="9">
        <f t="shared" si="10"/>
        <v>8</v>
      </c>
      <c r="M96" s="9" t="str">
        <f t="shared" si="7"/>
        <v>kom</v>
      </c>
    </row>
    <row r="97" spans="1:13" ht="60">
      <c r="A97" s="255" t="s">
        <v>1139</v>
      </c>
      <c r="B97" s="10" t="s">
        <v>1261</v>
      </c>
      <c r="C97" s="253" t="s">
        <v>892</v>
      </c>
      <c r="D97" s="9" t="s">
        <v>809</v>
      </c>
      <c r="E97" s="9">
        <v>6</v>
      </c>
      <c r="F97" s="9" t="s">
        <v>371</v>
      </c>
      <c r="I97" s="9" t="s">
        <v>1430</v>
      </c>
      <c r="J97" s="10" t="str">
        <f t="shared" si="8"/>
        <v>-F101,…-F106</v>
      </c>
      <c r="K97" s="10" t="str">
        <f t="shared" si="9"/>
        <v>Acti9, minijaturni prekidač (MCB), C60H-DC, 2P, 6A, C krivulja, 6kA (IEC/EN 60947-2)
Narudžbeni broj: A9N61526
Proizvođač: Schneider Electric</v>
      </c>
      <c r="L97" s="9">
        <f t="shared" si="10"/>
        <v>6</v>
      </c>
      <c r="M97" s="9" t="str">
        <f t="shared" si="7"/>
        <v>kom</v>
      </c>
    </row>
    <row r="98" spans="1:13" ht="75">
      <c r="A98" s="255" t="s">
        <v>1351</v>
      </c>
      <c r="B98" s="10" t="s">
        <v>1262</v>
      </c>
      <c r="C98" s="253" t="s">
        <v>997</v>
      </c>
      <c r="D98" s="9" t="s">
        <v>809</v>
      </c>
      <c r="E98" s="9">
        <v>2</v>
      </c>
      <c r="F98" s="9" t="s">
        <v>371</v>
      </c>
      <c r="I98" s="9" t="s">
        <v>1431</v>
      </c>
      <c r="J98" s="10" t="str">
        <f t="shared" si="8"/>
        <v>-S11, -S12</v>
      </c>
      <c r="K98" s="10" t="str">
        <f t="shared" si="9"/>
        <v>Rastavna sklopka, ComPacT NSX100NA, 3 pola, fiksna, termička struja 100A,Vrsta upravljanja: ručica
Narudžbeni broj: C103100S
Proizvođač: Schneider Electric</v>
      </c>
      <c r="L98" s="9">
        <f t="shared" si="10"/>
        <v>2</v>
      </c>
      <c r="M98" s="9" t="str">
        <f t="shared" si="7"/>
        <v>kom</v>
      </c>
    </row>
    <row r="99" spans="1:13" ht="75">
      <c r="A99" s="255" t="s">
        <v>1351</v>
      </c>
      <c r="B99" s="10" t="s">
        <v>1263</v>
      </c>
      <c r="C99" s="253">
        <v>29450</v>
      </c>
      <c r="D99" s="9" t="s">
        <v>809</v>
      </c>
      <c r="E99" s="9">
        <v>2</v>
      </c>
      <c r="F99" s="9" t="s">
        <v>371</v>
      </c>
      <c r="I99" s="9" t="s">
        <v>1432</v>
      </c>
      <c r="J99" s="10" t="str">
        <f t="shared" si="8"/>
        <v>-S11, -S12</v>
      </c>
      <c r="K99" s="10" t="str">
        <f t="shared" si="9"/>
        <v>Pomoćni kontakt - za signalizaciju stanja (1OF) ili okidanja (1SD) ili prorade zaštite (1SDE) ili prorade diferencijalne zaštite (1SDV) za prekidače NSX
Narudžbeni broj: 29450
Proizvođač: Schneider Electric</v>
      </c>
      <c r="L99" s="9">
        <f t="shared" si="10"/>
        <v>2</v>
      </c>
      <c r="M99" s="9" t="str">
        <f t="shared" si="7"/>
        <v>kom</v>
      </c>
    </row>
    <row r="100" spans="1:13" ht="45">
      <c r="A100" s="255" t="s">
        <v>1352</v>
      </c>
      <c r="B100" s="10" t="s">
        <v>1264</v>
      </c>
      <c r="C100" s="253" t="s">
        <v>893</v>
      </c>
      <c r="D100" s="9" t="s">
        <v>894</v>
      </c>
      <c r="E100" s="9">
        <v>2</v>
      </c>
      <c r="F100" s="9" t="s">
        <v>371</v>
      </c>
      <c r="I100" s="9" t="s">
        <v>1433</v>
      </c>
      <c r="J100" s="10" t="str">
        <f t="shared" si="8"/>
        <v>-V11, -V12</v>
      </c>
      <c r="K100" s="10" t="str">
        <f t="shared" si="9"/>
        <v>Diodni modul za 220 VDC dovod
Narudžbeni broj: SKKE162
Proizvođač: SEMIKRON</v>
      </c>
      <c r="L100" s="9">
        <f t="shared" si="10"/>
        <v>2</v>
      </c>
      <c r="M100" s="9" t="str">
        <f t="shared" si="7"/>
        <v>kom</v>
      </c>
    </row>
    <row r="101" spans="1:13" ht="45">
      <c r="A101" s="255"/>
      <c r="B101" s="10" t="s">
        <v>1266</v>
      </c>
      <c r="C101" s="253" t="s">
        <v>994</v>
      </c>
      <c r="D101" s="9" t="s">
        <v>894</v>
      </c>
      <c r="E101" s="9">
        <v>1</v>
      </c>
      <c r="F101" s="9" t="s">
        <v>371</v>
      </c>
      <c r="I101" s="9" t="s">
        <v>1434</v>
      </c>
      <c r="J101" s="10" t="str">
        <f t="shared" si="8"/>
        <v/>
      </c>
      <c r="K101" s="10" t="str">
        <f t="shared" si="9"/>
        <v xml:space="preserve"> Zajedničko hladilo za dvije diode
Narudžbeni broj: KL-295(P3)/180
Proizvođač: SEMIKRON</v>
      </c>
      <c r="L101" s="9">
        <f t="shared" si="10"/>
        <v>1</v>
      </c>
      <c r="M101" s="9" t="str">
        <f t="shared" si="7"/>
        <v>kom</v>
      </c>
    </row>
    <row r="102" spans="1:13" ht="90">
      <c r="A102" s="255" t="s">
        <v>1043</v>
      </c>
      <c r="B102" s="10" t="s">
        <v>1267</v>
      </c>
      <c r="C102" s="253" t="s">
        <v>996</v>
      </c>
      <c r="D102" s="9" t="s">
        <v>995</v>
      </c>
      <c r="E102" s="9">
        <v>1</v>
      </c>
      <c r="F102" s="9" t="s">
        <v>371</v>
      </c>
      <c r="I102" s="9" t="s">
        <v>1435</v>
      </c>
      <c r="J102" s="10" t="str">
        <f t="shared" si="8"/>
        <v>-P101</v>
      </c>
      <c r="K102" s="10" t="str">
        <f t="shared" si="9"/>
        <v>Voltmetar - tip: kao FQ 0307, - mjerni sustav: pomično željezo, - dimenzije: 72×72 mm, - priključak: 400/230V, 50Hz (izravno), - skala: 90° baždarena linearno u mjernom području: 0…400V.
Narudžbeni broj: AN25DDC400
Proizvođač: IME</v>
      </c>
      <c r="L102" s="9">
        <f t="shared" si="10"/>
        <v>1</v>
      </c>
      <c r="M102" s="9" t="str">
        <f t="shared" si="7"/>
        <v>kom</v>
      </c>
    </row>
    <row r="103" spans="1:13" ht="75">
      <c r="A103" s="255" t="s">
        <v>1044</v>
      </c>
      <c r="B103" s="10" t="s">
        <v>1268</v>
      </c>
      <c r="C103" s="10">
        <v>2864011</v>
      </c>
      <c r="D103" s="9" t="s">
        <v>864</v>
      </c>
      <c r="E103" s="9">
        <v>2</v>
      </c>
      <c r="F103" s="9" t="s">
        <v>371</v>
      </c>
      <c r="I103" s="9" t="s">
        <v>1436</v>
      </c>
      <c r="J103" s="10" t="str">
        <f t="shared" si="8"/>
        <v>-P201, -P202</v>
      </c>
      <c r="K103" s="10" t="str">
        <f t="shared" si="9"/>
        <v>MCR-SL-DUI - Digitalni zaslon za mjerenje i prikaz standardnih signala, 5-fig. Zaslon, Konfiguracijska: tipkovnica
Narudžbeni broj: 2864011
Proizvođač: Phoenix Contact</v>
      </c>
      <c r="L103" s="9">
        <f t="shared" si="10"/>
        <v>2</v>
      </c>
      <c r="M103" s="9" t="str">
        <f t="shared" si="7"/>
        <v>kom</v>
      </c>
    </row>
    <row r="104" spans="1:13" ht="60">
      <c r="A104" s="255" t="s">
        <v>1141</v>
      </c>
      <c r="B104" s="10" t="s">
        <v>1269</v>
      </c>
      <c r="C104" s="253" t="s">
        <v>895</v>
      </c>
      <c r="D104" s="9" t="s">
        <v>1270</v>
      </c>
      <c r="E104" s="9">
        <v>2</v>
      </c>
      <c r="F104" s="9" t="s">
        <v>371</v>
      </c>
      <c r="I104" s="9" t="s">
        <v>1437</v>
      </c>
      <c r="J104" s="10" t="str">
        <f t="shared" si="8"/>
        <v>-H110, -H111</v>
      </c>
      <c r="K104" s="10" t="str">
        <f t="shared" si="9"/>
        <v>Indikator položaja sklopke za daljinsku indikaciju položaja kontakata s maskom rastavljača
Narudžbeni broj: 1280B IL224
Proizvođač:  GOSSEN MUELLER &amp; WEIGERT</v>
      </c>
      <c r="L104" s="9">
        <f t="shared" si="10"/>
        <v>2</v>
      </c>
      <c r="M104" s="9" t="str">
        <f t="shared" si="7"/>
        <v>kom</v>
      </c>
    </row>
    <row r="105" spans="1:13" ht="75">
      <c r="A105" s="255" t="s">
        <v>1045</v>
      </c>
      <c r="B105" s="10" t="s">
        <v>1274</v>
      </c>
      <c r="C105" s="253" t="s">
        <v>898</v>
      </c>
      <c r="D105" s="9" t="s">
        <v>901</v>
      </c>
      <c r="E105" s="9">
        <v>5</v>
      </c>
      <c r="F105" s="9" t="s">
        <v>371</v>
      </c>
      <c r="I105" s="9" t="s">
        <v>1438</v>
      </c>
      <c r="J105" s="10" t="str">
        <f t="shared" ref="J105:J112" si="11">IF(A105=0,"",A105)</f>
        <v>-K401…-K405</v>
      </c>
      <c r="K105" s="10" t="str">
        <f t="shared" ref="K105:K112" si="12">_xlfn.CONCAT(B105,CHAR(10),$C$3,": ",C105,CHAR(10),$D$3,": ",D105)</f>
        <v>Pomoćni (neblokirajući) relej,  zavojnica 240 V AC, preklopna struja 10 A, 3 preklopna kontakta (3PDT/3 Form C), 3 pola, jednopolni AgNi kontakti
Narudžbeni broj:  700-HA33A2-3-4L
Proizvođač: ALLEN BRADLEY</v>
      </c>
      <c r="L105" s="9">
        <f t="shared" ref="L105:L112" si="13">E105</f>
        <v>5</v>
      </c>
      <c r="M105" s="9" t="str">
        <f t="shared" si="7"/>
        <v>kom</v>
      </c>
    </row>
    <row r="106" spans="1:13" ht="90">
      <c r="A106" s="255" t="s">
        <v>1467</v>
      </c>
      <c r="B106" s="10" t="s">
        <v>1275</v>
      </c>
      <c r="C106" s="253" t="s">
        <v>899</v>
      </c>
      <c r="D106" s="9" t="s">
        <v>901</v>
      </c>
      <c r="E106" s="9">
        <v>13</v>
      </c>
      <c r="F106" s="9" t="s">
        <v>371</v>
      </c>
      <c r="I106" s="9" t="s">
        <v>1439</v>
      </c>
      <c r="J106" s="10" t="str">
        <f t="shared" si="11"/>
        <v>-K401…-K405, -K101…-K104, -2K12, -2K13</v>
      </c>
      <c r="K106" s="10" t="str">
        <f t="shared" si="12"/>
        <v>Rockwell Automation 700-HN serija pričvrsnih kopči za podnožja 700-HN100, 700-HN204, 700-HN101, 700-HN205 s relejima 700-HA, Učvršćuje relej u podnožju
Narudžbeni broj: 700-HN157
Proizvođač: ALLEN BRADLEY</v>
      </c>
      <c r="L106" s="9">
        <f t="shared" si="13"/>
        <v>13</v>
      </c>
      <c r="M106" s="9" t="str">
        <f t="shared" si="7"/>
        <v>kom</v>
      </c>
    </row>
    <row r="107" spans="1:13" ht="90">
      <c r="A107" s="255" t="s">
        <v>1467</v>
      </c>
      <c r="B107" s="10" t="s">
        <v>1276</v>
      </c>
      <c r="C107" s="253" t="s">
        <v>900</v>
      </c>
      <c r="D107" s="9" t="s">
        <v>901</v>
      </c>
      <c r="E107" s="9">
        <v>13</v>
      </c>
      <c r="F107" s="9" t="s">
        <v>371</v>
      </c>
      <c r="I107" s="9" t="s">
        <v>1440</v>
      </c>
      <c r="J107" s="10" t="str">
        <f t="shared" si="11"/>
        <v>-K401…-K405, -K101…-K104, -2K12, -2K13</v>
      </c>
      <c r="K107" s="10" t="str">
        <f t="shared" si="12"/>
        <v>Rockwell Automation podnožje releja 700-HN205; 11-pinsko podnožje; za cijevne releje serije 700-H; vijčani priključak; zaštićeni priključci sigurni od dodira (Touch-Safe); s utorom za vremenski modul
Narudžbeni broj: 700-HN205
Proizvođač: ALLEN BRADLEY</v>
      </c>
      <c r="L107" s="9">
        <f t="shared" si="13"/>
        <v>13</v>
      </c>
      <c r="M107" s="9" t="str">
        <f t="shared" si="7"/>
        <v>kom</v>
      </c>
    </row>
    <row r="108" spans="1:13" ht="75">
      <c r="A108" s="255" t="s">
        <v>1451</v>
      </c>
      <c r="B108" s="10" t="s">
        <v>1452</v>
      </c>
      <c r="C108" s="253" t="s">
        <v>1003</v>
      </c>
      <c r="D108" s="9" t="s">
        <v>901</v>
      </c>
      <c r="E108" s="9">
        <v>6</v>
      </c>
      <c r="F108" s="9" t="s">
        <v>371</v>
      </c>
      <c r="I108" s="9" t="s">
        <v>1441</v>
      </c>
      <c r="J108" s="10" t="str">
        <f t="shared" si="11"/>
        <v>-K101, -K102, -K103, -K104</v>
      </c>
      <c r="K108" s="10" t="str">
        <f t="shared" si="12"/>
        <v>Pomoćni (neblokirajući) relej,  zavojnica 220 V DC, preklopna struja 10 A, 3 preklopna kontakta (3PDT/3 Form C), 3 pola, jednopolni AgNi kontakti
Narudžbeni broj: 700-HA33Z2-3
Proizvođač: ALLEN BRADLEY</v>
      </c>
      <c r="L108" s="9">
        <f t="shared" si="13"/>
        <v>6</v>
      </c>
      <c r="M108" s="9" t="str">
        <f t="shared" si="7"/>
        <v>kom</v>
      </c>
    </row>
    <row r="109" spans="1:13" ht="45" customHeight="1">
      <c r="A109" s="255" t="s">
        <v>1466</v>
      </c>
      <c r="B109" s="10" t="s">
        <v>1453</v>
      </c>
      <c r="C109" s="253" t="s">
        <v>1008</v>
      </c>
      <c r="D109" s="9" t="s">
        <v>901</v>
      </c>
      <c r="E109" s="9">
        <v>3</v>
      </c>
      <c r="F109" s="9" t="s">
        <v>371</v>
      </c>
      <c r="I109" s="9" t="s">
        <v>1442</v>
      </c>
      <c r="J109" s="10" t="str">
        <f t="shared" si="11"/>
        <v>-K102.1, -2K12, -2K13</v>
      </c>
      <c r="K109" s="10" t="str">
        <f t="shared" si="12"/>
        <v>Timer modul za 700-HA relej
Narudžbeni broj: 700-HT3
Proizvođač: ALLEN BRADLEY</v>
      </c>
      <c r="L109" s="9">
        <f t="shared" si="13"/>
        <v>3</v>
      </c>
      <c r="M109" s="9" t="str">
        <f t="shared" si="7"/>
        <v>kom</v>
      </c>
    </row>
    <row r="110" spans="1:13" ht="90">
      <c r="A110" s="255" t="s">
        <v>1142</v>
      </c>
      <c r="B110" s="10" t="s">
        <v>1278</v>
      </c>
      <c r="C110" s="10" t="s">
        <v>999</v>
      </c>
      <c r="D110" s="9" t="s">
        <v>1000</v>
      </c>
      <c r="E110" s="9">
        <v>1</v>
      </c>
      <c r="F110" s="9" t="s">
        <v>371</v>
      </c>
      <c r="I110" s="9" t="s">
        <v>1443</v>
      </c>
      <c r="J110" s="10" t="str">
        <f t="shared" si="11"/>
        <v>-X1</v>
      </c>
      <c r="K110" s="10" t="str">
        <f t="shared" si="12"/>
        <v>Distriblok, Glavna grana, 4-polna, 125A, ulaz 2x25mm², izlaz 5x6mm² 4-polna, Ulaz 2 x 10-25mm² (10-16mm² s ferulom), Izlazi 5 x 2,5-6mm² (2,5-4mm² s ferulom)
Narudžbeni broj: IKBC4016-A
Proizvođač: Schrack</v>
      </c>
      <c r="L110" s="9">
        <f t="shared" si="13"/>
        <v>1</v>
      </c>
      <c r="M110" s="9" t="str">
        <f t="shared" si="7"/>
        <v>kom</v>
      </c>
    </row>
    <row r="111" spans="1:13" ht="105">
      <c r="A111" s="255" t="s">
        <v>1143</v>
      </c>
      <c r="B111" s="10" t="s">
        <v>1279</v>
      </c>
      <c r="C111" s="10" t="s">
        <v>1280</v>
      </c>
      <c r="D111" s="9" t="s">
        <v>1000</v>
      </c>
      <c r="E111" s="9">
        <v>5</v>
      </c>
      <c r="F111" s="9" t="s">
        <v>371</v>
      </c>
      <c r="I111" s="9" t="s">
        <v>1444</v>
      </c>
      <c r="J111" s="10" t="str">
        <f t="shared" si="11"/>
        <v>-X500, -X501, -X502</v>
      </c>
      <c r="K111" s="10" t="str">
        <f t="shared" si="12"/>
        <v>Distributor za 24 VDC- 1-polni distribucijski blok, za bakrene vodiče, priključne stezaljke: ulazne 2 x 25mm², izlazne 6 x (1.5 – 10mm²), montaža na DIN nosač ili na montažnu ploču, nazivna struja IEC: 100A, 54x29x50mm (VxŠxD)
Narudžbeni broj: IKB01025N
Proizvođač: Schrack</v>
      </c>
      <c r="L111" s="9">
        <f t="shared" si="13"/>
        <v>5</v>
      </c>
      <c r="M111" s="9" t="str">
        <f t="shared" si="7"/>
        <v>kom</v>
      </c>
    </row>
    <row r="112" spans="1:13" ht="150">
      <c r="A112" s="255" t="s">
        <v>1144</v>
      </c>
      <c r="B112" s="10" t="s">
        <v>1281</v>
      </c>
      <c r="C112" s="10" t="s">
        <v>1100</v>
      </c>
      <c r="D112" s="9" t="s">
        <v>1000</v>
      </c>
      <c r="E112" s="9">
        <v>2</v>
      </c>
      <c r="F112" s="9" t="s">
        <v>371</v>
      </c>
      <c r="I112" s="9" t="s">
        <v>1458</v>
      </c>
      <c r="J112" s="10" t="str">
        <f t="shared" si="11"/>
        <v>-X110, -X111</v>
      </c>
      <c r="K112" s="10" t="str">
        <f t="shared" si="12"/>
        <v>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
Narudžbeni broj: IKBC1035--
Proizvođač: Schrack</v>
      </c>
      <c r="L112" s="9">
        <f t="shared" si="13"/>
        <v>2</v>
      </c>
      <c r="M112" s="9" t="str">
        <f t="shared" si="7"/>
        <v>kom</v>
      </c>
    </row>
    <row r="113" spans="1:13">
      <c r="A113" s="255"/>
      <c r="B113" s="10"/>
      <c r="C113" s="253"/>
      <c r="D113" s="9"/>
      <c r="E113" s="9"/>
      <c r="F113" s="9"/>
      <c r="I113" s="9"/>
      <c r="J113" s="10"/>
      <c r="K113" s="10"/>
      <c r="L113" s="9"/>
      <c r="M113" s="9"/>
    </row>
    <row r="114" spans="1:13">
      <c r="A114" s="255"/>
      <c r="B114" s="10"/>
      <c r="C114" s="253"/>
      <c r="D114" s="9"/>
      <c r="E114" s="9"/>
      <c r="F114" s="9"/>
      <c r="I114" s="293" t="s">
        <v>1447</v>
      </c>
      <c r="J114" s="294"/>
      <c r="K114" s="294"/>
      <c r="L114" s="294"/>
      <c r="M114" s="295"/>
    </row>
    <row r="115" spans="1:13" ht="30">
      <c r="A115" s="255"/>
      <c r="B115" s="10"/>
      <c r="C115" s="253"/>
      <c r="D115" s="9"/>
      <c r="E115" s="9"/>
      <c r="F115" s="9"/>
      <c r="I115" s="9" t="s">
        <v>289</v>
      </c>
      <c r="J115" s="10" t="s">
        <v>290</v>
      </c>
      <c r="K115" s="9" t="s">
        <v>0</v>
      </c>
      <c r="L115" s="10" t="s">
        <v>291</v>
      </c>
      <c r="M115" s="9" t="s">
        <v>292</v>
      </c>
    </row>
    <row r="116" spans="1:13" ht="90">
      <c r="A116" s="10"/>
      <c r="B116" s="10" t="s">
        <v>1271</v>
      </c>
      <c r="C116" s="253" t="s">
        <v>896</v>
      </c>
      <c r="D116" s="9" t="s">
        <v>821</v>
      </c>
      <c r="E116" s="9">
        <v>1</v>
      </c>
      <c r="F116" s="9" t="s">
        <v>371</v>
      </c>
      <c r="I116" s="260" t="s">
        <v>1459</v>
      </c>
      <c r="J116" s="10" t="str">
        <f t="shared" si="8"/>
        <v/>
      </c>
      <c r="K116" s="10" t="str">
        <f t="shared" si="9"/>
        <v>Zidni ormarić, 500x500x300 mm s montažnom pločom, čelični lim, kompaktno kućište AX s integriranim lokatorima kućišta u krovu, podnožju i bočnoj strani
Narudžbeni broj: AX 1350000
Proizvođač: Rittal</v>
      </c>
      <c r="L116" s="9">
        <f t="shared" si="10"/>
        <v>1</v>
      </c>
      <c r="M116" s="9" t="str">
        <f t="shared" si="10"/>
        <v>kom</v>
      </c>
    </row>
    <row r="117" spans="1:13" ht="75">
      <c r="A117" s="255" t="s">
        <v>1471</v>
      </c>
      <c r="B117" s="10" t="s">
        <v>1272</v>
      </c>
      <c r="C117" s="253" t="s">
        <v>1273</v>
      </c>
      <c r="D117" s="9" t="s">
        <v>821</v>
      </c>
      <c r="E117" s="9">
        <v>1</v>
      </c>
      <c r="F117" s="9" t="s">
        <v>371</v>
      </c>
      <c r="I117" s="260" t="s">
        <v>1460</v>
      </c>
      <c r="J117" s="10" t="str">
        <f t="shared" si="8"/>
        <v>-X1, -X2</v>
      </c>
      <c r="K117" s="10" t="str">
        <f t="shared" si="9"/>
        <v>Zidni nosač za AX čelični lim, KX čelični lim, AX IT, EL, Dijelovi: Zidni nosač, poklopac, Dijelovi za montažu, Udaljenost od zida: 40 mm
Narudžbeni broj: AX 2503020
Proizvođač: Rittal</v>
      </c>
      <c r="L117" s="9">
        <f t="shared" si="10"/>
        <v>1</v>
      </c>
      <c r="M117" s="9" t="str">
        <f t="shared" si="10"/>
        <v>kom</v>
      </c>
    </row>
    <row r="118" spans="1:13" ht="75">
      <c r="A118" s="255"/>
      <c r="B118" s="10" t="s">
        <v>1220</v>
      </c>
      <c r="C118" s="10">
        <v>1020100000</v>
      </c>
      <c r="D118" s="9" t="s">
        <v>1209</v>
      </c>
      <c r="E118" s="9">
        <v>100</v>
      </c>
      <c r="F118" s="9" t="s">
        <v>371</v>
      </c>
      <c r="I118" s="260" t="s">
        <v>1461</v>
      </c>
      <c r="J118" s="10" t="str">
        <f t="shared" si="8"/>
        <v/>
      </c>
      <c r="K118" s="10" t="str">
        <f t="shared" si="9"/>
        <v>WDU 4 - Prolazni terminalni blok, Vijčani priključak, tamnobež, 4 mm², 32 A, 800 V, Broj priključaka: 2
Narudžbeni broj: 1020100000
Proizvođač: Weidmüller</v>
      </c>
      <c r="L118" s="9">
        <f t="shared" si="10"/>
        <v>100</v>
      </c>
      <c r="M118" s="9" t="str">
        <f t="shared" si="10"/>
        <v>kom</v>
      </c>
    </row>
    <row r="119" spans="1:13" ht="48.6" customHeight="1">
      <c r="A119" s="255" t="s">
        <v>1472</v>
      </c>
      <c r="B119" s="10" t="s">
        <v>1474</v>
      </c>
      <c r="C119" s="254" t="s">
        <v>1476</v>
      </c>
      <c r="D119" s="9" t="s">
        <v>821</v>
      </c>
      <c r="E119" s="9">
        <v>1</v>
      </c>
      <c r="F119" s="9" t="s">
        <v>371</v>
      </c>
      <c r="I119" s="260" t="s">
        <v>1469</v>
      </c>
      <c r="J119" s="10" t="str">
        <f t="shared" si="8"/>
        <v>-R101</v>
      </c>
      <c r="K119" s="10" t="str">
        <f t="shared" si="9"/>
        <v>Grijač 50W, 230V, 50Hz s priključnim kabelom
Narudžbeni broj: 3105.340
Proizvođač: Rittal</v>
      </c>
      <c r="L119" s="9">
        <f t="shared" ref="L119:L121" si="14">E119</f>
        <v>1</v>
      </c>
      <c r="M119" s="9" t="str">
        <f t="shared" ref="M119:M121" si="15">F119</f>
        <v>kom</v>
      </c>
    </row>
    <row r="120" spans="1:13" ht="48.6" customHeight="1">
      <c r="A120" s="255" t="s">
        <v>1119</v>
      </c>
      <c r="B120" s="10" t="s">
        <v>1477</v>
      </c>
      <c r="C120" s="254" t="s">
        <v>1475</v>
      </c>
      <c r="D120" s="9" t="s">
        <v>821</v>
      </c>
      <c r="E120" s="9">
        <v>1</v>
      </c>
      <c r="F120" s="9" t="s">
        <v>371</v>
      </c>
      <c r="I120" s="260" t="s">
        <v>1470</v>
      </c>
      <c r="J120" s="10" t="str">
        <f t="shared" si="8"/>
        <v>-B101</v>
      </c>
      <c r="K120" s="10" t="str">
        <f t="shared" si="9"/>
        <v>Termostat, mjerni opseg: 5-55 °C
Narudžbeni broj: 3110.000
Proizvođač: Rittal</v>
      </c>
      <c r="L120" s="9">
        <f t="shared" si="14"/>
        <v>1</v>
      </c>
      <c r="M120" s="9" t="str">
        <f t="shared" si="15"/>
        <v>kom</v>
      </c>
    </row>
    <row r="121" spans="1:13" ht="48.6" customHeight="1">
      <c r="A121" s="255" t="s">
        <v>1122</v>
      </c>
      <c r="B121" s="10" t="s">
        <v>1479</v>
      </c>
      <c r="C121" s="261" t="s">
        <v>1478</v>
      </c>
      <c r="D121" s="9" t="s">
        <v>821</v>
      </c>
      <c r="E121" s="9">
        <v>1</v>
      </c>
      <c r="F121" s="9" t="s">
        <v>371</v>
      </c>
      <c r="I121" s="260" t="s">
        <v>1473</v>
      </c>
      <c r="J121" s="10" t="str">
        <f t="shared" si="8"/>
        <v>-B102</v>
      </c>
      <c r="K121" s="10" t="str">
        <f t="shared" si="9"/>
        <v>Higrostat, mjerni opseg: 50-100 %
Narudžbeni broj: 3118.000
Proizvođač: Rittal</v>
      </c>
      <c r="L121" s="9">
        <f t="shared" si="14"/>
        <v>1</v>
      </c>
      <c r="M121" s="9" t="str">
        <f t="shared" si="15"/>
        <v>kom</v>
      </c>
    </row>
    <row r="122" spans="1:13" ht="66.599999999999994" customHeight="1">
      <c r="A122" s="255" t="s">
        <v>1481</v>
      </c>
      <c r="B122" s="10" t="s">
        <v>1485</v>
      </c>
      <c r="C122" s="261" t="s">
        <v>1483</v>
      </c>
      <c r="D122" s="9" t="s">
        <v>821</v>
      </c>
      <c r="E122" s="9">
        <v>1</v>
      </c>
      <c r="F122" s="9" t="s">
        <v>371</v>
      </c>
      <c r="I122" s="260" t="s">
        <v>1480</v>
      </c>
      <c r="J122" s="10" t="str">
        <f t="shared" si="8"/>
        <v>-E101</v>
      </c>
      <c r="K122" s="10" t="str">
        <f t="shared" ref="K122:K123" si="16">_xlfn.CONCAT(B122,CHAR(10),$C$3,": ",C122,CHAR(10),$D$3,": ",D122)</f>
        <v>Rasvjetna armatura 400 lm, 230 Vac, širine 262 mm s preklopkom
Narudžbeni broj: 2500.100
Proizvođač: Rittal</v>
      </c>
      <c r="L122" s="9">
        <f t="shared" ref="L122:L123" si="17">E122</f>
        <v>1</v>
      </c>
      <c r="M122" s="9" t="str">
        <f t="shared" ref="M122:M123" si="18">F122</f>
        <v>kom</v>
      </c>
    </row>
    <row r="123" spans="1:13" ht="60">
      <c r="A123" s="255" t="s">
        <v>1482</v>
      </c>
      <c r="B123" s="10" t="s">
        <v>1486</v>
      </c>
      <c r="C123" s="261" t="s">
        <v>1484</v>
      </c>
      <c r="D123" s="9" t="s">
        <v>821</v>
      </c>
      <c r="E123" s="9">
        <v>1</v>
      </c>
      <c r="F123" s="9" t="s">
        <v>371</v>
      </c>
      <c r="I123" s="260" t="s">
        <v>1487</v>
      </c>
      <c r="J123" s="255" t="str">
        <f t="shared" si="8"/>
        <v>-S101</v>
      </c>
      <c r="K123" s="10" t="str">
        <f t="shared" si="16"/>
        <v>Krajnja sklopka s priključnim kabelom duljine 800mm
Narudžbeni broj: 2500.460.
Proizvođač: Rittal</v>
      </c>
      <c r="L123" s="9">
        <f t="shared" si="17"/>
        <v>1</v>
      </c>
      <c r="M123" s="9" t="str">
        <f t="shared" si="18"/>
        <v>kom</v>
      </c>
    </row>
    <row r="124" spans="1:13">
      <c r="A124" s="255"/>
      <c r="B124" s="10"/>
      <c r="C124" s="10"/>
      <c r="D124" s="9"/>
      <c r="E124" s="9"/>
      <c r="F124" s="9"/>
      <c r="I124" s="283" t="s">
        <v>1456</v>
      </c>
      <c r="J124" s="283"/>
      <c r="K124" s="283"/>
      <c r="L124" s="283"/>
      <c r="M124" s="283"/>
    </row>
    <row r="125" spans="1:13">
      <c r="A125" s="262"/>
      <c r="B125" s="263"/>
      <c r="C125" s="263"/>
      <c r="D125" s="195"/>
      <c r="E125" s="195"/>
      <c r="F125" s="195"/>
      <c r="I125" s="264"/>
      <c r="J125" s="264"/>
      <c r="K125" s="264"/>
      <c r="L125" s="264"/>
      <c r="M125" s="264"/>
    </row>
    <row r="126" spans="1:13" ht="30">
      <c r="A126" s="262"/>
      <c r="B126" s="263"/>
      <c r="C126" s="263"/>
      <c r="D126" s="195"/>
      <c r="E126" s="195"/>
      <c r="F126" s="195"/>
      <c r="I126" s="9" t="s">
        <v>289</v>
      </c>
      <c r="J126" s="10" t="s">
        <v>290</v>
      </c>
      <c r="K126" s="9" t="s">
        <v>0</v>
      </c>
      <c r="L126" s="10" t="s">
        <v>291</v>
      </c>
      <c r="M126" s="9" t="s">
        <v>292</v>
      </c>
    </row>
    <row r="127" spans="1:13" ht="409.5" customHeight="1">
      <c r="A127" s="287"/>
      <c r="B127" s="296" t="s">
        <v>1457</v>
      </c>
      <c r="C127" s="300" t="s">
        <v>239</v>
      </c>
      <c r="D127" s="289" t="s">
        <v>809</v>
      </c>
      <c r="E127" s="291">
        <v>1</v>
      </c>
      <c r="F127" s="289" t="s">
        <v>810</v>
      </c>
      <c r="I127" s="298" t="s">
        <v>1462</v>
      </c>
      <c r="J127" s="287"/>
      <c r="K127" s="296" t="str">
        <f t="shared" ref="K127" si="19">_xlfn.CONCAT(B127,CHAR(10),$C$3,": ",C127,CHAR(10),$D$3,": ",D127)</f>
        <v>"Low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Narudžbeni broj: ATV680C13Q4X1
Proizvođač: Schneider Electric</v>
      </c>
      <c r="L127" s="291">
        <f t="shared" ref="L127" si="20">E127</f>
        <v>1</v>
      </c>
      <c r="M127" s="289" t="str">
        <f t="shared" ref="M127" si="21">F127</f>
        <v>set</v>
      </c>
    </row>
    <row r="128" spans="1:13" ht="113.25" customHeight="1">
      <c r="A128" s="288"/>
      <c r="B128" s="297"/>
      <c r="C128" s="301"/>
      <c r="D128" s="290"/>
      <c r="E128" s="292"/>
      <c r="F128" s="290"/>
      <c r="I128" s="299"/>
      <c r="J128" s="288"/>
      <c r="K128" s="297"/>
      <c r="L128" s="292"/>
      <c r="M128" s="290"/>
    </row>
  </sheetData>
  <autoFilter ref="B3:F118" xr:uid="{C0EE72B6-5971-482C-ACAC-23B9DA9175A8}"/>
  <mergeCells count="14">
    <mergeCell ref="A127:A128"/>
    <mergeCell ref="D127:D128"/>
    <mergeCell ref="E127:E128"/>
    <mergeCell ref="F127:F128"/>
    <mergeCell ref="I2:M2"/>
    <mergeCell ref="I114:M114"/>
    <mergeCell ref="I124:M124"/>
    <mergeCell ref="B127:B128"/>
    <mergeCell ref="K127:K128"/>
    <mergeCell ref="L127:L128"/>
    <mergeCell ref="M127:M128"/>
    <mergeCell ref="J127:J128"/>
    <mergeCell ref="I127:I128"/>
    <mergeCell ref="C127:C128"/>
  </mergeCells>
  <pageMargins left="0.7" right="0.7" top="0.75" bottom="0.75" header="0.3" footer="0.3"/>
  <pageSetup paperSize="9" orientation="portrait" r:id="rId1"/>
  <ignoredErrors>
    <ignoredError sqref="I4:I112 I116:I118 I127 I119:I121" twoDigitTextYear="1"/>
    <ignoredError sqref="C119:C122" numberStoredAsText="1"/>
  </ignoredError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939B-E1A0-4B03-AC1E-E6BCFDA6D445}">
  <dimension ref="A1:D13"/>
  <sheetViews>
    <sheetView zoomScale="145" zoomScaleNormal="145" workbookViewId="0">
      <selection activeCell="B9" sqref="B9"/>
    </sheetView>
  </sheetViews>
  <sheetFormatPr defaultRowHeight="15"/>
  <cols>
    <col min="1" max="1" width="16.5703125" bestFit="1" customWidth="1"/>
    <col min="2" max="2" width="19.5703125" bestFit="1" customWidth="1"/>
    <col min="3" max="3" width="31.140625" bestFit="1" customWidth="1"/>
  </cols>
  <sheetData>
    <row r="1" spans="1:4">
      <c r="A1" t="s">
        <v>1291</v>
      </c>
      <c r="B1" t="s">
        <v>1293</v>
      </c>
      <c r="C1" t="s">
        <v>31</v>
      </c>
    </row>
    <row r="2" spans="1:4">
      <c r="A2" t="s">
        <v>1292</v>
      </c>
      <c r="B2" t="s">
        <v>1288</v>
      </c>
      <c r="C2" t="s">
        <v>1296</v>
      </c>
    </row>
    <row r="3" spans="1:4">
      <c r="A3" t="s">
        <v>1292</v>
      </c>
      <c r="B3" t="s">
        <v>1289</v>
      </c>
      <c r="C3" t="s">
        <v>1297</v>
      </c>
    </row>
    <row r="4" spans="1:4">
      <c r="A4" t="s">
        <v>1292</v>
      </c>
      <c r="B4" t="s">
        <v>1290</v>
      </c>
      <c r="C4" t="s">
        <v>1297</v>
      </c>
    </row>
    <row r="5" spans="1:4">
      <c r="A5" t="s">
        <v>1342</v>
      </c>
      <c r="B5" t="s">
        <v>1295</v>
      </c>
      <c r="C5" t="s">
        <v>1298</v>
      </c>
    </row>
    <row r="6" spans="1:4">
      <c r="A6" t="s">
        <v>1294</v>
      </c>
      <c r="B6" t="s">
        <v>1340</v>
      </c>
      <c r="C6" t="s">
        <v>1299</v>
      </c>
      <c r="D6" t="s">
        <v>1341</v>
      </c>
    </row>
    <row r="7" spans="1:4">
      <c r="A7" t="s">
        <v>1294</v>
      </c>
      <c r="B7" t="s">
        <v>1339</v>
      </c>
      <c r="C7" t="s">
        <v>1299</v>
      </c>
      <c r="D7" t="s">
        <v>1341</v>
      </c>
    </row>
    <row r="9" spans="1:4">
      <c r="A9" t="s">
        <v>1302</v>
      </c>
      <c r="B9" t="s">
        <v>1303</v>
      </c>
      <c r="C9" t="s">
        <v>1304</v>
      </c>
    </row>
    <row r="12" spans="1:4">
      <c r="A12" s="197" t="s">
        <v>1300</v>
      </c>
      <c r="B12" t="s">
        <v>1301</v>
      </c>
    </row>
    <row r="13" spans="1:4">
      <c r="A13" s="197" t="s">
        <v>1300</v>
      </c>
      <c r="B13" t="s">
        <v>1305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AE301-827C-42C7-9F93-B93B624E226F}">
  <dimension ref="A1:B72"/>
  <sheetViews>
    <sheetView topLeftCell="A22" workbookViewId="0">
      <selection activeCell="A95" sqref="A95"/>
    </sheetView>
  </sheetViews>
  <sheetFormatPr defaultRowHeight="15"/>
  <cols>
    <col min="1" max="1" width="51.7109375" style="17" bestFit="1" customWidth="1"/>
  </cols>
  <sheetData>
    <row r="1" spans="1:1">
      <c r="A1" s="17" t="s">
        <v>1041</v>
      </c>
    </row>
    <row r="24" spans="1:2">
      <c r="A24" s="17" t="s">
        <v>1071</v>
      </c>
    </row>
    <row r="25" spans="1:2">
      <c r="A25" s="17" t="s">
        <v>1072</v>
      </c>
    </row>
    <row r="26" spans="1:2" ht="30">
      <c r="A26" s="17" t="s">
        <v>1073</v>
      </c>
    </row>
    <row r="27" spans="1:2">
      <c r="A27" s="17" t="s">
        <v>1074</v>
      </c>
      <c r="B27" t="s">
        <v>1075</v>
      </c>
    </row>
    <row r="28" spans="1:2" ht="30">
      <c r="A28" s="17" t="s">
        <v>1076</v>
      </c>
    </row>
    <row r="29" spans="1:2">
      <c r="A29" s="17" t="s">
        <v>1077</v>
      </c>
    </row>
    <row r="30" spans="1:2">
      <c r="A30" s="17" t="s">
        <v>1078</v>
      </c>
    </row>
    <row r="31" spans="1:2">
      <c r="A31" s="17" t="s">
        <v>1079</v>
      </c>
    </row>
    <row r="32" spans="1:2">
      <c r="A32" s="17" t="s">
        <v>1080</v>
      </c>
    </row>
    <row r="33" spans="1:1" ht="30">
      <c r="A33" s="17" t="s">
        <v>1081</v>
      </c>
    </row>
    <row r="34" spans="1:1">
      <c r="A34" s="17" t="s">
        <v>1082</v>
      </c>
    </row>
    <row r="35" spans="1:1">
      <c r="A35" s="17" t="s">
        <v>1083</v>
      </c>
    </row>
    <row r="36" spans="1:1">
      <c r="A36" s="17" t="s">
        <v>1084</v>
      </c>
    </row>
    <row r="53" spans="1:1" ht="30">
      <c r="A53" s="17" t="s">
        <v>1085</v>
      </c>
    </row>
    <row r="72" spans="1:1">
      <c r="A72" s="17" t="s">
        <v>1086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5DC77-D938-456A-BD52-D59A67167BD8}">
  <dimension ref="A1:J74"/>
  <sheetViews>
    <sheetView zoomScale="145" zoomScaleNormal="145" workbookViewId="0">
      <pane ySplit="9" topLeftCell="A55" activePane="bottomLeft" state="frozen"/>
      <selection activeCell="I40" sqref="I40"/>
      <selection pane="bottomLeft" activeCell="H73" sqref="H73:I73"/>
    </sheetView>
  </sheetViews>
  <sheetFormatPr defaultRowHeight="15"/>
  <cols>
    <col min="1" max="1" width="9.7109375" style="143" customWidth="1"/>
    <col min="2" max="2" width="25.7109375" customWidth="1"/>
    <col min="3" max="3" width="15.5703125" style="43" customWidth="1"/>
    <col min="4" max="4" width="64.7109375" customWidth="1"/>
    <col min="5" max="5" width="30.42578125" customWidth="1"/>
    <col min="6" max="6" width="9.7109375" customWidth="1"/>
    <col min="7" max="7" width="12.7109375" customWidth="1"/>
    <col min="8" max="8" width="14.7109375" style="144" customWidth="1"/>
    <col min="9" max="9" width="14.7109375" style="145" customWidth="1"/>
    <col min="10" max="10" width="45.85546875" style="17" bestFit="1" customWidth="1"/>
  </cols>
  <sheetData>
    <row r="1" spans="1:10" ht="32.1" customHeight="1">
      <c r="A1" s="309" t="s">
        <v>345</v>
      </c>
      <c r="B1" s="310"/>
      <c r="C1" s="310"/>
      <c r="D1" s="310"/>
      <c r="E1" s="310"/>
      <c r="F1" s="310"/>
      <c r="G1" s="310"/>
      <c r="H1"/>
      <c r="I1" s="34"/>
    </row>
    <row r="2" spans="1:10" ht="15.75">
      <c r="A2" s="35" t="s">
        <v>346</v>
      </c>
      <c r="B2" s="36"/>
      <c r="C2" s="36" t="s">
        <v>347</v>
      </c>
      <c r="D2" s="37"/>
      <c r="E2" s="37"/>
      <c r="F2" s="38"/>
      <c r="G2" s="38"/>
      <c r="H2"/>
      <c r="I2" s="34"/>
    </row>
    <row r="3" spans="1:10">
      <c r="A3" s="311" t="s">
        <v>348</v>
      </c>
      <c r="B3" s="311"/>
      <c r="C3" s="311"/>
      <c r="D3" s="37"/>
      <c r="E3" s="37"/>
      <c r="F3" s="38"/>
      <c r="G3" s="38"/>
      <c r="H3"/>
      <c r="I3" s="34"/>
    </row>
    <row r="4" spans="1:10">
      <c r="A4" s="312" t="s">
        <v>349</v>
      </c>
      <c r="B4" s="312"/>
      <c r="C4" s="312"/>
      <c r="D4" s="37"/>
      <c r="E4" s="37"/>
      <c r="F4" s="38"/>
      <c r="G4" s="38"/>
      <c r="H4"/>
      <c r="I4" s="34"/>
    </row>
    <row r="5" spans="1:10">
      <c r="A5" s="41"/>
      <c r="B5" s="42"/>
      <c r="D5" s="43"/>
      <c r="E5" s="43"/>
      <c r="F5" s="44"/>
      <c r="G5" s="44"/>
      <c r="H5" s="45"/>
      <c r="I5" s="44"/>
    </row>
    <row r="6" spans="1:10">
      <c r="A6" s="313" t="s">
        <v>350</v>
      </c>
      <c r="B6" s="314"/>
      <c r="C6" s="314"/>
      <c r="D6" s="314"/>
      <c r="E6" s="314"/>
      <c r="F6" s="314"/>
      <c r="G6" s="314"/>
      <c r="H6" s="314"/>
      <c r="I6" s="315"/>
    </row>
    <row r="7" spans="1:10" ht="24.75">
      <c r="A7" s="46" t="s">
        <v>289</v>
      </c>
      <c r="B7" s="47" t="s">
        <v>351</v>
      </c>
      <c r="C7" s="48" t="s">
        <v>352</v>
      </c>
      <c r="D7" s="48" t="s">
        <v>353</v>
      </c>
      <c r="E7" s="48" t="s">
        <v>354</v>
      </c>
      <c r="F7" s="49" t="s">
        <v>291</v>
      </c>
      <c r="G7" s="49" t="s">
        <v>355</v>
      </c>
      <c r="H7" s="50" t="s">
        <v>356</v>
      </c>
      <c r="I7" s="50" t="s">
        <v>357</v>
      </c>
    </row>
    <row r="8" spans="1:10">
      <c r="A8" s="51">
        <v>1</v>
      </c>
      <c r="B8" s="51">
        <v>2</v>
      </c>
      <c r="C8" s="48"/>
      <c r="D8" s="48" t="s">
        <v>316</v>
      </c>
      <c r="E8" s="48" t="s">
        <v>358</v>
      </c>
      <c r="F8" s="52" t="s">
        <v>359</v>
      </c>
      <c r="G8" s="52" t="s">
        <v>360</v>
      </c>
      <c r="H8" s="53">
        <v>7</v>
      </c>
      <c r="I8" s="50" t="s">
        <v>361</v>
      </c>
    </row>
    <row r="9" spans="1:10">
      <c r="A9" s="51"/>
      <c r="B9" s="54" t="s">
        <v>362</v>
      </c>
      <c r="C9" s="48"/>
      <c r="D9" s="48"/>
      <c r="E9" s="55"/>
      <c r="F9" s="56"/>
      <c r="G9" s="52"/>
      <c r="H9" s="50"/>
      <c r="I9" s="50"/>
    </row>
    <row r="10" spans="1:10">
      <c r="A10" s="57" t="s">
        <v>363</v>
      </c>
      <c r="B10" s="58"/>
      <c r="C10" s="59"/>
      <c r="D10" s="60" t="s">
        <v>364</v>
      </c>
      <c r="E10" s="61"/>
      <c r="F10" s="62"/>
      <c r="G10" s="63"/>
      <c r="H10" s="64"/>
      <c r="I10" s="65"/>
      <c r="J10" s="66" t="s">
        <v>31</v>
      </c>
    </row>
    <row r="11" spans="1:10" ht="373.5" customHeight="1">
      <c r="A11" s="67" t="s">
        <v>365</v>
      </c>
      <c r="B11" s="9"/>
      <c r="C11" s="182"/>
      <c r="D11" s="68" t="s">
        <v>366</v>
      </c>
      <c r="E11" s="69"/>
      <c r="F11" s="70" t="s">
        <v>367</v>
      </c>
      <c r="G11" s="71">
        <v>1</v>
      </c>
      <c r="H11" s="72">
        <v>1580</v>
      </c>
      <c r="I11" s="73">
        <f>G11*H11</f>
        <v>1580</v>
      </c>
      <c r="J11" s="10"/>
    </row>
    <row r="12" spans="1:10" ht="48">
      <c r="A12" s="67" t="s">
        <v>368</v>
      </c>
      <c r="B12" s="9"/>
      <c r="C12" s="240" t="s">
        <v>369</v>
      </c>
      <c r="D12" s="74" t="s">
        <v>370</v>
      </c>
      <c r="E12" s="75"/>
      <c r="F12" s="76" t="s">
        <v>371</v>
      </c>
      <c r="G12" s="77">
        <v>1</v>
      </c>
      <c r="H12" s="78">
        <v>180</v>
      </c>
      <c r="I12" s="73">
        <f>G12*H12</f>
        <v>180</v>
      </c>
      <c r="J12" s="10"/>
    </row>
    <row r="13" spans="1:10" ht="48">
      <c r="A13" s="67" t="s">
        <v>372</v>
      </c>
      <c r="B13" s="9"/>
      <c r="C13" s="182" t="s">
        <v>373</v>
      </c>
      <c r="D13" s="74" t="s">
        <v>374</v>
      </c>
      <c r="E13" s="75"/>
      <c r="F13" s="76" t="s">
        <v>371</v>
      </c>
      <c r="G13" s="77">
        <v>1</v>
      </c>
      <c r="H13" s="78">
        <v>50</v>
      </c>
      <c r="I13" s="73">
        <f t="shared" ref="I13:I55" si="0">G13*H13</f>
        <v>50</v>
      </c>
      <c r="J13" s="10"/>
    </row>
    <row r="14" spans="1:10" ht="48">
      <c r="A14" s="67" t="s">
        <v>375</v>
      </c>
      <c r="B14" s="9"/>
      <c r="C14" s="182"/>
      <c r="D14" s="74" t="s">
        <v>376</v>
      </c>
      <c r="E14" s="75"/>
      <c r="F14" s="76" t="s">
        <v>371</v>
      </c>
      <c r="G14" s="77">
        <v>1</v>
      </c>
      <c r="H14" s="78">
        <v>70</v>
      </c>
      <c r="I14" s="73">
        <f t="shared" si="0"/>
        <v>70</v>
      </c>
      <c r="J14" s="10"/>
    </row>
    <row r="15" spans="1:10" ht="60">
      <c r="A15" s="67" t="s">
        <v>377</v>
      </c>
      <c r="B15" s="9"/>
      <c r="C15" s="182" t="s">
        <v>378</v>
      </c>
      <c r="D15" s="74" t="s">
        <v>379</v>
      </c>
      <c r="E15" s="75"/>
      <c r="F15" s="76" t="s">
        <v>371</v>
      </c>
      <c r="G15" s="77">
        <v>1</v>
      </c>
      <c r="H15" s="78">
        <v>40</v>
      </c>
      <c r="I15" s="73">
        <f t="shared" si="0"/>
        <v>40</v>
      </c>
      <c r="J15" s="10"/>
    </row>
    <row r="16" spans="1:10" ht="60">
      <c r="A16" s="67" t="s">
        <v>380</v>
      </c>
      <c r="B16" s="9"/>
      <c r="C16" s="182" t="s">
        <v>381</v>
      </c>
      <c r="D16" s="74" t="s">
        <v>382</v>
      </c>
      <c r="E16" s="79"/>
      <c r="F16" s="80" t="s">
        <v>371</v>
      </c>
      <c r="G16" s="77">
        <v>1</v>
      </c>
      <c r="H16" s="78">
        <v>130</v>
      </c>
      <c r="I16" s="73">
        <f t="shared" si="0"/>
        <v>130</v>
      </c>
      <c r="J16" s="10"/>
    </row>
    <row r="17" spans="1:10" ht="180">
      <c r="A17" s="67" t="s">
        <v>383</v>
      </c>
      <c r="B17" s="9"/>
      <c r="C17" s="182" t="s">
        <v>384</v>
      </c>
      <c r="D17" s="81" t="s">
        <v>385</v>
      </c>
      <c r="E17" s="82"/>
      <c r="F17" s="80" t="s">
        <v>371</v>
      </c>
      <c r="G17" s="83" t="s">
        <v>386</v>
      </c>
      <c r="H17" s="84">
        <v>150</v>
      </c>
      <c r="I17" s="73" t="e">
        <f t="shared" si="0"/>
        <v>#VALUE!</v>
      </c>
      <c r="J17" s="10"/>
    </row>
    <row r="18" spans="1:10" ht="60">
      <c r="A18" s="67" t="s">
        <v>387</v>
      </c>
      <c r="B18" s="9"/>
      <c r="C18" s="182" t="s">
        <v>388</v>
      </c>
      <c r="D18" s="85" t="s">
        <v>389</v>
      </c>
      <c r="E18" s="75"/>
      <c r="F18" s="76" t="s">
        <v>371</v>
      </c>
      <c r="G18" s="77">
        <v>1</v>
      </c>
      <c r="H18" s="78">
        <v>10</v>
      </c>
      <c r="I18" s="73">
        <f t="shared" si="0"/>
        <v>10</v>
      </c>
      <c r="J18" s="10" t="s">
        <v>390</v>
      </c>
    </row>
    <row r="19" spans="1:10" ht="138" customHeight="1">
      <c r="A19" s="67" t="s">
        <v>391</v>
      </c>
      <c r="B19" s="9"/>
      <c r="C19" s="246" t="s">
        <v>392</v>
      </c>
      <c r="D19" s="87" t="s">
        <v>393</v>
      </c>
      <c r="E19" s="88"/>
      <c r="F19" s="89" t="s">
        <v>367</v>
      </c>
      <c r="G19" s="78">
        <v>1</v>
      </c>
      <c r="H19" s="90">
        <v>90</v>
      </c>
      <c r="I19" s="73">
        <f t="shared" si="0"/>
        <v>90</v>
      </c>
      <c r="J19" s="10" t="s">
        <v>394</v>
      </c>
    </row>
    <row r="20" spans="1:10" ht="136.5" customHeight="1">
      <c r="A20" s="67" t="s">
        <v>395</v>
      </c>
      <c r="B20" s="9"/>
      <c r="C20" s="246" t="s">
        <v>396</v>
      </c>
      <c r="D20" s="87" t="s">
        <v>397</v>
      </c>
      <c r="E20" s="88"/>
      <c r="F20" s="89" t="s">
        <v>367</v>
      </c>
      <c r="G20" s="91">
        <v>3</v>
      </c>
      <c r="H20" s="90">
        <v>50</v>
      </c>
      <c r="I20" s="73">
        <f t="shared" si="0"/>
        <v>150</v>
      </c>
      <c r="J20" s="10" t="s">
        <v>398</v>
      </c>
    </row>
    <row r="21" spans="1:10" ht="96">
      <c r="A21" s="67" t="s">
        <v>399</v>
      </c>
      <c r="B21" s="9"/>
      <c r="C21" s="246" t="s">
        <v>400</v>
      </c>
      <c r="D21" s="92" t="s">
        <v>401</v>
      </c>
      <c r="E21" s="88"/>
      <c r="F21" s="89" t="s">
        <v>367</v>
      </c>
      <c r="G21" s="93">
        <v>2</v>
      </c>
      <c r="H21" s="90">
        <v>200</v>
      </c>
      <c r="I21" s="73">
        <f t="shared" si="0"/>
        <v>400</v>
      </c>
      <c r="J21" s="10"/>
    </row>
    <row r="22" spans="1:10" ht="111.6" customHeight="1">
      <c r="A22" s="67" t="s">
        <v>402</v>
      </c>
      <c r="B22" s="9"/>
      <c r="C22" s="246" t="s">
        <v>403</v>
      </c>
      <c r="D22" s="92" t="s">
        <v>404</v>
      </c>
      <c r="E22" s="88"/>
      <c r="F22" s="89" t="s">
        <v>367</v>
      </c>
      <c r="G22" s="93">
        <v>2</v>
      </c>
      <c r="H22" s="90">
        <v>60</v>
      </c>
      <c r="I22" s="73">
        <f t="shared" si="0"/>
        <v>120</v>
      </c>
      <c r="J22" s="10"/>
    </row>
    <row r="23" spans="1:10" ht="48">
      <c r="A23" s="67" t="s">
        <v>405</v>
      </c>
      <c r="B23" s="9"/>
      <c r="C23" s="246"/>
      <c r="D23" s="92" t="s">
        <v>406</v>
      </c>
      <c r="E23" s="88"/>
      <c r="F23" s="89" t="s">
        <v>371</v>
      </c>
      <c r="G23" s="93">
        <v>1</v>
      </c>
      <c r="H23" s="90">
        <v>100</v>
      </c>
      <c r="I23" s="73">
        <f t="shared" si="0"/>
        <v>100</v>
      </c>
      <c r="J23" s="10"/>
    </row>
    <row r="24" spans="1:10" ht="108">
      <c r="A24" s="67" t="s">
        <v>407</v>
      </c>
      <c r="B24" s="9"/>
      <c r="C24" s="247" t="s">
        <v>408</v>
      </c>
      <c r="D24" s="92" t="s">
        <v>409</v>
      </c>
      <c r="E24" s="88"/>
      <c r="F24" s="89" t="s">
        <v>367</v>
      </c>
      <c r="G24" s="93">
        <v>5</v>
      </c>
      <c r="H24" s="90">
        <v>90</v>
      </c>
      <c r="I24" s="73">
        <f t="shared" si="0"/>
        <v>450</v>
      </c>
      <c r="J24" s="10"/>
    </row>
    <row r="25" spans="1:10" ht="216">
      <c r="A25" s="67" t="s">
        <v>410</v>
      </c>
      <c r="B25" s="9"/>
      <c r="C25" s="248" t="s">
        <v>411</v>
      </c>
      <c r="D25" s="92" t="s">
        <v>412</v>
      </c>
      <c r="E25" s="88"/>
      <c r="F25" s="89" t="s">
        <v>367</v>
      </c>
      <c r="G25" s="93">
        <v>1</v>
      </c>
      <c r="H25" s="90">
        <v>40</v>
      </c>
      <c r="I25" s="73">
        <f t="shared" si="0"/>
        <v>40</v>
      </c>
      <c r="J25" s="10"/>
    </row>
    <row r="26" spans="1:10" ht="84.75">
      <c r="A26" s="67" t="s">
        <v>413</v>
      </c>
      <c r="B26" s="9"/>
      <c r="C26" s="241" t="s">
        <v>414</v>
      </c>
      <c r="D26" s="94" t="s">
        <v>415</v>
      </c>
      <c r="E26" s="95"/>
      <c r="F26" s="89" t="s">
        <v>371</v>
      </c>
      <c r="G26" s="78">
        <v>2</v>
      </c>
      <c r="H26" s="96">
        <v>280</v>
      </c>
      <c r="I26" s="73">
        <f t="shared" si="0"/>
        <v>560</v>
      </c>
      <c r="J26" s="10" t="s">
        <v>416</v>
      </c>
    </row>
    <row r="27" spans="1:10" ht="75">
      <c r="A27" s="67" t="s">
        <v>417</v>
      </c>
      <c r="B27" s="9"/>
      <c r="C27" s="241" t="s">
        <v>418</v>
      </c>
      <c r="D27" s="94" t="s">
        <v>419</v>
      </c>
      <c r="E27" s="95"/>
      <c r="F27" s="89" t="s">
        <v>371</v>
      </c>
      <c r="G27" s="78">
        <v>2</v>
      </c>
      <c r="H27" s="96">
        <v>50</v>
      </c>
      <c r="I27" s="73">
        <f t="shared" si="0"/>
        <v>100</v>
      </c>
      <c r="J27" s="10" t="s">
        <v>420</v>
      </c>
    </row>
    <row r="28" spans="1:10" ht="132.75">
      <c r="A28" s="67" t="s">
        <v>421</v>
      </c>
      <c r="B28" s="9"/>
      <c r="C28" s="241" t="s">
        <v>422</v>
      </c>
      <c r="D28" s="97" t="s">
        <v>423</v>
      </c>
      <c r="E28" s="98"/>
      <c r="F28" s="89" t="s">
        <v>371</v>
      </c>
      <c r="G28" s="78">
        <v>16</v>
      </c>
      <c r="H28" s="96">
        <v>190</v>
      </c>
      <c r="I28" s="73">
        <f t="shared" si="0"/>
        <v>3040</v>
      </c>
      <c r="J28" s="10" t="s">
        <v>424</v>
      </c>
    </row>
    <row r="29" spans="1:10" ht="48.75">
      <c r="A29" s="67" t="s">
        <v>425</v>
      </c>
      <c r="B29" s="9"/>
      <c r="C29" s="241"/>
      <c r="D29" s="97" t="s">
        <v>426</v>
      </c>
      <c r="E29" s="98"/>
      <c r="F29" s="89" t="s">
        <v>371</v>
      </c>
      <c r="G29" s="78">
        <v>8</v>
      </c>
      <c r="H29" s="96">
        <v>10</v>
      </c>
      <c r="I29" s="73">
        <f t="shared" si="0"/>
        <v>80</v>
      </c>
      <c r="J29" s="10" t="s">
        <v>427</v>
      </c>
    </row>
    <row r="30" spans="1:10" ht="60.75">
      <c r="A30" s="67" t="s">
        <v>428</v>
      </c>
      <c r="B30" s="9"/>
      <c r="C30" s="241"/>
      <c r="D30" s="97" t="s">
        <v>429</v>
      </c>
      <c r="E30" s="98"/>
      <c r="F30" s="89" t="s">
        <v>371</v>
      </c>
      <c r="G30" s="78">
        <v>2</v>
      </c>
      <c r="H30" s="96">
        <v>10</v>
      </c>
      <c r="I30" s="73">
        <f t="shared" si="0"/>
        <v>20</v>
      </c>
      <c r="J30" s="10" t="s">
        <v>430</v>
      </c>
    </row>
    <row r="31" spans="1:10" ht="96.75">
      <c r="A31" s="67" t="s">
        <v>431</v>
      </c>
      <c r="B31" s="9"/>
      <c r="C31" s="241" t="s">
        <v>432</v>
      </c>
      <c r="D31" s="97" t="s">
        <v>433</v>
      </c>
      <c r="E31" s="98"/>
      <c r="F31" s="89" t="s">
        <v>371</v>
      </c>
      <c r="G31" s="78">
        <v>24</v>
      </c>
      <c r="H31" s="96">
        <v>100</v>
      </c>
      <c r="I31" s="73">
        <f t="shared" si="0"/>
        <v>2400</v>
      </c>
      <c r="J31" s="10" t="s">
        <v>434</v>
      </c>
    </row>
    <row r="32" spans="1:10" ht="96.75">
      <c r="A32" s="67" t="s">
        <v>435</v>
      </c>
      <c r="B32" s="9"/>
      <c r="C32" s="241" t="s">
        <v>436</v>
      </c>
      <c r="D32" s="97" t="s">
        <v>437</v>
      </c>
      <c r="E32" s="98"/>
      <c r="F32" s="89" t="s">
        <v>371</v>
      </c>
      <c r="G32" s="78">
        <v>60</v>
      </c>
      <c r="H32" s="96">
        <v>180</v>
      </c>
      <c r="I32" s="73">
        <f t="shared" si="0"/>
        <v>10800</v>
      </c>
      <c r="J32" s="10" t="s">
        <v>438</v>
      </c>
    </row>
    <row r="33" spans="1:10" ht="108.75">
      <c r="A33" s="67" t="s">
        <v>439</v>
      </c>
      <c r="B33" s="9"/>
      <c r="C33" s="241" t="s">
        <v>440</v>
      </c>
      <c r="D33" s="94" t="s">
        <v>441</v>
      </c>
      <c r="E33" s="95"/>
      <c r="F33" s="89" t="s">
        <v>371</v>
      </c>
      <c r="G33" s="78">
        <v>16</v>
      </c>
      <c r="H33" s="96">
        <v>30</v>
      </c>
      <c r="I33" s="73">
        <f t="shared" si="0"/>
        <v>480</v>
      </c>
      <c r="J33" s="10" t="s">
        <v>442</v>
      </c>
    </row>
    <row r="34" spans="1:10" ht="96.75">
      <c r="A34" s="67" t="s">
        <v>443</v>
      </c>
      <c r="B34" s="9"/>
      <c r="C34" s="241" t="s">
        <v>444</v>
      </c>
      <c r="D34" s="99" t="s">
        <v>445</v>
      </c>
      <c r="E34" s="98"/>
      <c r="F34" s="89" t="s">
        <v>371</v>
      </c>
      <c r="G34" s="78">
        <v>1</v>
      </c>
      <c r="H34" s="96">
        <v>20</v>
      </c>
      <c r="I34" s="73">
        <f t="shared" si="0"/>
        <v>20</v>
      </c>
      <c r="J34" s="10"/>
    </row>
    <row r="35" spans="1:10" ht="168.75">
      <c r="A35" s="67" t="s">
        <v>446</v>
      </c>
      <c r="B35" s="9"/>
      <c r="C35" s="241" t="s">
        <v>447</v>
      </c>
      <c r="D35" s="99" t="s">
        <v>448</v>
      </c>
      <c r="E35" s="98"/>
      <c r="F35" s="89" t="s">
        <v>367</v>
      </c>
      <c r="G35" s="78">
        <v>1</v>
      </c>
      <c r="H35" s="96">
        <v>40</v>
      </c>
      <c r="I35" s="73">
        <f t="shared" si="0"/>
        <v>40</v>
      </c>
      <c r="J35" s="10"/>
    </row>
    <row r="36" spans="1:10" ht="132.75">
      <c r="A36" s="67" t="s">
        <v>449</v>
      </c>
      <c r="B36" s="9"/>
      <c r="C36" s="241" t="s">
        <v>450</v>
      </c>
      <c r="D36" s="99" t="s">
        <v>451</v>
      </c>
      <c r="E36" s="98"/>
      <c r="F36" s="89" t="s">
        <v>367</v>
      </c>
      <c r="G36" s="78">
        <v>3</v>
      </c>
      <c r="H36" s="96">
        <v>110</v>
      </c>
      <c r="I36" s="73">
        <f t="shared" si="0"/>
        <v>330</v>
      </c>
      <c r="J36" s="10"/>
    </row>
    <row r="37" spans="1:10" ht="48.75">
      <c r="A37" s="67" t="s">
        <v>452</v>
      </c>
      <c r="B37" s="9"/>
      <c r="C37" s="241" t="s">
        <v>453</v>
      </c>
      <c r="D37" s="97" t="s">
        <v>454</v>
      </c>
      <c r="E37" s="98"/>
      <c r="F37" s="89" t="s">
        <v>371</v>
      </c>
      <c r="G37" s="78">
        <v>1</v>
      </c>
      <c r="H37" s="96">
        <v>90</v>
      </c>
      <c r="I37" s="73">
        <f t="shared" si="0"/>
        <v>90</v>
      </c>
      <c r="J37" s="10" t="s">
        <v>455</v>
      </c>
    </row>
    <row r="38" spans="1:10" ht="153.75" customHeight="1">
      <c r="A38" s="67" t="s">
        <v>456</v>
      </c>
      <c r="B38" s="9"/>
      <c r="C38" s="182" t="s">
        <v>457</v>
      </c>
      <c r="D38" s="100" t="s">
        <v>458</v>
      </c>
      <c r="E38" s="101"/>
      <c r="F38" s="70" t="s">
        <v>367</v>
      </c>
      <c r="G38" s="71">
        <v>1</v>
      </c>
      <c r="H38" s="72">
        <v>70</v>
      </c>
      <c r="I38" s="73">
        <f t="shared" si="0"/>
        <v>70</v>
      </c>
      <c r="J38" s="10" t="s">
        <v>459</v>
      </c>
    </row>
    <row r="39" spans="1:10" ht="192.75" customHeight="1">
      <c r="A39" s="67" t="s">
        <v>460</v>
      </c>
      <c r="B39" s="9"/>
      <c r="C39" s="182" t="s">
        <v>461</v>
      </c>
      <c r="D39" s="97" t="s">
        <v>462</v>
      </c>
      <c r="E39" s="98"/>
      <c r="F39" s="70" t="s">
        <v>371</v>
      </c>
      <c r="G39" s="71">
        <v>1</v>
      </c>
      <c r="H39" s="72">
        <v>3580</v>
      </c>
      <c r="I39" s="73">
        <f t="shared" si="0"/>
        <v>3580</v>
      </c>
      <c r="J39" s="10" t="s">
        <v>463</v>
      </c>
    </row>
    <row r="40" spans="1:10" ht="55.5" customHeight="1">
      <c r="A40" s="67" t="s">
        <v>464</v>
      </c>
      <c r="B40" s="9"/>
      <c r="C40" s="182"/>
      <c r="D40" s="99" t="s">
        <v>465</v>
      </c>
      <c r="E40" s="98"/>
      <c r="F40" s="70" t="s">
        <v>371</v>
      </c>
      <c r="G40" s="71">
        <v>1</v>
      </c>
      <c r="H40" s="72">
        <v>910</v>
      </c>
      <c r="I40" s="73">
        <f t="shared" si="0"/>
        <v>910</v>
      </c>
      <c r="J40" s="10"/>
    </row>
    <row r="41" spans="1:10" ht="139.5" customHeight="1">
      <c r="A41" s="67" t="s">
        <v>466</v>
      </c>
      <c r="B41" s="9"/>
      <c r="C41" s="182" t="s">
        <v>467</v>
      </c>
      <c r="D41" s="97" t="s">
        <v>468</v>
      </c>
      <c r="E41" s="98"/>
      <c r="F41" s="70" t="s">
        <v>367</v>
      </c>
      <c r="G41" s="71">
        <v>1</v>
      </c>
      <c r="H41" s="72">
        <v>30</v>
      </c>
      <c r="I41" s="73">
        <f t="shared" si="0"/>
        <v>30</v>
      </c>
      <c r="J41" s="10" t="s">
        <v>469</v>
      </c>
    </row>
    <row r="42" spans="1:10" ht="60.75">
      <c r="A42" s="67" t="s">
        <v>470</v>
      </c>
      <c r="B42" s="9"/>
      <c r="C42" s="182" t="s">
        <v>471</v>
      </c>
      <c r="D42" s="97" t="s">
        <v>472</v>
      </c>
      <c r="E42" s="98"/>
      <c r="F42" s="70" t="s">
        <v>367</v>
      </c>
      <c r="G42" s="71">
        <v>1</v>
      </c>
      <c r="H42" s="72">
        <v>1370</v>
      </c>
      <c r="I42" s="73">
        <f t="shared" si="0"/>
        <v>1370</v>
      </c>
      <c r="J42" s="10" t="s">
        <v>473</v>
      </c>
    </row>
    <row r="43" spans="1:10" ht="108.75">
      <c r="A43" s="67" t="s">
        <v>474</v>
      </c>
      <c r="B43" s="9"/>
      <c r="C43" s="182" t="s">
        <v>475</v>
      </c>
      <c r="D43" s="99" t="s">
        <v>476</v>
      </c>
      <c r="E43" s="98"/>
      <c r="F43" s="70" t="s">
        <v>367</v>
      </c>
      <c r="G43" s="71">
        <v>3</v>
      </c>
      <c r="H43" s="72">
        <v>850</v>
      </c>
      <c r="I43" s="73">
        <f t="shared" si="0"/>
        <v>2550</v>
      </c>
      <c r="J43" s="10"/>
    </row>
    <row r="44" spans="1:10" ht="84.75">
      <c r="A44" s="67" t="s">
        <v>477</v>
      </c>
      <c r="B44" s="9"/>
      <c r="C44" s="182" t="s">
        <v>478</v>
      </c>
      <c r="D44" s="99" t="s">
        <v>479</v>
      </c>
      <c r="E44" s="98"/>
      <c r="F44" s="70" t="s">
        <v>367</v>
      </c>
      <c r="G44" s="71">
        <v>2</v>
      </c>
      <c r="H44" s="72">
        <v>520</v>
      </c>
      <c r="I44" s="73">
        <f t="shared" si="0"/>
        <v>1040</v>
      </c>
      <c r="J44" s="10"/>
    </row>
    <row r="45" spans="1:10" ht="84.75">
      <c r="A45" s="67" t="s">
        <v>480</v>
      </c>
      <c r="B45" s="9"/>
      <c r="C45" s="182" t="s">
        <v>481</v>
      </c>
      <c r="D45" s="99" t="s">
        <v>482</v>
      </c>
      <c r="E45" s="98"/>
      <c r="F45" s="70" t="s">
        <v>367</v>
      </c>
      <c r="G45" s="71">
        <v>1</v>
      </c>
      <c r="H45" s="72">
        <v>290</v>
      </c>
      <c r="I45" s="73">
        <f t="shared" si="0"/>
        <v>290</v>
      </c>
      <c r="J45" s="10"/>
    </row>
    <row r="46" spans="1:10" ht="48.75">
      <c r="A46" s="67" t="s">
        <v>483</v>
      </c>
      <c r="B46" s="9"/>
      <c r="C46" s="182"/>
      <c r="D46" s="99" t="s">
        <v>484</v>
      </c>
      <c r="E46" s="98"/>
      <c r="F46" s="70" t="s">
        <v>367</v>
      </c>
      <c r="G46" s="71">
        <v>1</v>
      </c>
      <c r="H46" s="72">
        <v>390</v>
      </c>
      <c r="I46" s="73">
        <f t="shared" si="0"/>
        <v>390</v>
      </c>
      <c r="J46" s="10"/>
    </row>
    <row r="47" spans="1:10">
      <c r="A47" s="67" t="s">
        <v>485</v>
      </c>
      <c r="B47" s="9"/>
      <c r="C47" s="182"/>
      <c r="D47" s="99" t="s">
        <v>486</v>
      </c>
      <c r="E47" s="98"/>
      <c r="F47" s="70" t="s">
        <v>487</v>
      </c>
      <c r="G47" s="71">
        <v>4</v>
      </c>
      <c r="H47" s="72">
        <v>20</v>
      </c>
      <c r="I47" s="73">
        <f t="shared" si="0"/>
        <v>80</v>
      </c>
      <c r="J47" s="10"/>
    </row>
    <row r="48" spans="1:10">
      <c r="A48" s="67" t="s">
        <v>488</v>
      </c>
      <c r="B48" s="9"/>
      <c r="C48" s="249"/>
      <c r="D48" s="99" t="s">
        <v>489</v>
      </c>
      <c r="E48" s="98"/>
      <c r="F48" s="70" t="s">
        <v>367</v>
      </c>
      <c r="G48" s="71">
        <v>2</v>
      </c>
      <c r="H48" s="72">
        <v>10</v>
      </c>
      <c r="I48" s="73">
        <f t="shared" si="0"/>
        <v>20</v>
      </c>
      <c r="J48" s="10"/>
    </row>
    <row r="49" spans="1:10" ht="24.75">
      <c r="A49" s="67" t="s">
        <v>490</v>
      </c>
      <c r="B49" s="9"/>
      <c r="C49" s="249"/>
      <c r="D49" s="99" t="s">
        <v>491</v>
      </c>
      <c r="E49" s="98"/>
      <c r="F49" s="70" t="s">
        <v>367</v>
      </c>
      <c r="G49" s="71">
        <v>2</v>
      </c>
      <c r="H49" s="72">
        <v>10</v>
      </c>
      <c r="I49" s="73">
        <f t="shared" si="0"/>
        <v>20</v>
      </c>
      <c r="J49" s="10"/>
    </row>
    <row r="50" spans="1:10" ht="48.75">
      <c r="A50" s="67" t="s">
        <v>492</v>
      </c>
      <c r="B50" s="9"/>
      <c r="C50" s="182"/>
      <c r="D50" s="99" t="s">
        <v>493</v>
      </c>
      <c r="E50" s="98"/>
      <c r="F50" s="70" t="s">
        <v>371</v>
      </c>
      <c r="G50" s="71">
        <v>4</v>
      </c>
      <c r="H50" s="72">
        <v>10</v>
      </c>
      <c r="I50" s="73">
        <f t="shared" si="0"/>
        <v>40</v>
      </c>
      <c r="J50" s="10"/>
    </row>
    <row r="51" spans="1:10" ht="48.75">
      <c r="A51" s="67" t="s">
        <v>494</v>
      </c>
      <c r="B51" s="9"/>
      <c r="C51" s="182"/>
      <c r="D51" s="99" t="s">
        <v>495</v>
      </c>
      <c r="E51" s="98"/>
      <c r="F51" s="70" t="s">
        <v>371</v>
      </c>
      <c r="G51" s="71">
        <v>6</v>
      </c>
      <c r="H51" s="72">
        <v>10</v>
      </c>
      <c r="I51" s="73">
        <f t="shared" si="0"/>
        <v>60</v>
      </c>
      <c r="J51" s="10"/>
    </row>
    <row r="52" spans="1:10" ht="48.75">
      <c r="A52" s="67" t="s">
        <v>496</v>
      </c>
      <c r="B52" s="9"/>
      <c r="C52" s="182"/>
      <c r="D52" s="99" t="s">
        <v>497</v>
      </c>
      <c r="E52" s="98"/>
      <c r="F52" s="70" t="s">
        <v>371</v>
      </c>
      <c r="G52" s="71">
        <v>80</v>
      </c>
      <c r="H52" s="72">
        <v>10</v>
      </c>
      <c r="I52" s="73">
        <f t="shared" si="0"/>
        <v>800</v>
      </c>
      <c r="J52" s="10"/>
    </row>
    <row r="53" spans="1:10" ht="48.75">
      <c r="A53" s="67" t="s">
        <v>498</v>
      </c>
      <c r="B53" s="9"/>
      <c r="C53" s="249"/>
      <c r="D53" s="99" t="s">
        <v>499</v>
      </c>
      <c r="E53" s="98"/>
      <c r="F53" s="70" t="s">
        <v>371</v>
      </c>
      <c r="G53" s="71">
        <v>10</v>
      </c>
      <c r="H53" s="72">
        <v>10</v>
      </c>
      <c r="I53" s="73">
        <f t="shared" si="0"/>
        <v>100</v>
      </c>
      <c r="J53" s="10"/>
    </row>
    <row r="54" spans="1:10" ht="36.75">
      <c r="A54" s="67" t="s">
        <v>500</v>
      </c>
      <c r="B54" s="9"/>
      <c r="C54" s="249"/>
      <c r="D54" s="99" t="s">
        <v>501</v>
      </c>
      <c r="E54" s="102"/>
      <c r="F54" s="70" t="s">
        <v>367</v>
      </c>
      <c r="G54" s="71">
        <v>1</v>
      </c>
      <c r="H54" s="72">
        <v>810</v>
      </c>
      <c r="I54" s="73">
        <f t="shared" si="0"/>
        <v>810</v>
      </c>
      <c r="J54" s="10"/>
    </row>
    <row r="55" spans="1:10" ht="38.25">
      <c r="A55" s="103" t="s">
        <v>502</v>
      </c>
      <c r="B55" s="104"/>
      <c r="C55" s="249"/>
      <c r="D55" s="105" t="s">
        <v>503</v>
      </c>
      <c r="E55" s="106"/>
      <c r="F55" s="70" t="s">
        <v>367</v>
      </c>
      <c r="G55" s="71">
        <v>1</v>
      </c>
      <c r="H55" s="107">
        <v>8100</v>
      </c>
      <c r="I55" s="73">
        <f t="shared" si="0"/>
        <v>8100</v>
      </c>
      <c r="J55" s="10"/>
    </row>
    <row r="56" spans="1:10">
      <c r="A56" s="108"/>
      <c r="B56" s="109"/>
      <c r="C56" s="110"/>
      <c r="D56" s="316" t="s">
        <v>504</v>
      </c>
      <c r="E56" s="316"/>
      <c r="F56" s="316"/>
      <c r="G56" s="316"/>
      <c r="H56" s="317" t="e">
        <f>SUM(I11:I55)</f>
        <v>#VALUE!</v>
      </c>
      <c r="I56" s="318"/>
    </row>
    <row r="57" spans="1:10">
      <c r="A57" s="57" t="s">
        <v>505</v>
      </c>
      <c r="B57" s="58"/>
      <c r="C57" s="59"/>
      <c r="D57" s="60" t="s">
        <v>506</v>
      </c>
      <c r="E57" s="61"/>
      <c r="F57" s="62"/>
      <c r="G57" s="63"/>
      <c r="H57" s="64"/>
      <c r="I57" s="65"/>
    </row>
    <row r="58" spans="1:10">
      <c r="A58" s="111" t="s">
        <v>507</v>
      </c>
      <c r="B58" s="112"/>
      <c r="C58" s="113"/>
      <c r="D58" s="114" t="s">
        <v>508</v>
      </c>
      <c r="E58" s="115"/>
      <c r="F58" s="116" t="s">
        <v>367</v>
      </c>
      <c r="G58" s="117">
        <v>1</v>
      </c>
      <c r="H58" s="118">
        <v>8100</v>
      </c>
      <c r="I58" s="73">
        <f>G58*H58</f>
        <v>8100</v>
      </c>
    </row>
    <row r="59" spans="1:10">
      <c r="A59" s="111" t="s">
        <v>509</v>
      </c>
      <c r="B59" s="112"/>
      <c r="C59" s="113"/>
      <c r="D59" s="114" t="s">
        <v>510</v>
      </c>
      <c r="E59" s="115"/>
      <c r="F59" s="116" t="s">
        <v>367</v>
      </c>
      <c r="G59" s="117">
        <v>1</v>
      </c>
      <c r="H59" s="118">
        <v>810</v>
      </c>
      <c r="I59" s="73">
        <f t="shared" ref="I59:I71" si="1">G59*H59</f>
        <v>810</v>
      </c>
    </row>
    <row r="60" spans="1:10">
      <c r="A60" s="111" t="s">
        <v>511</v>
      </c>
      <c r="B60" s="112"/>
      <c r="C60" s="113"/>
      <c r="D60" s="114" t="s">
        <v>512</v>
      </c>
      <c r="E60" s="115"/>
      <c r="F60" s="116" t="s">
        <v>367</v>
      </c>
      <c r="G60" s="117">
        <v>1</v>
      </c>
      <c r="H60" s="118">
        <v>810</v>
      </c>
      <c r="I60" s="73">
        <f t="shared" si="1"/>
        <v>810</v>
      </c>
    </row>
    <row r="61" spans="1:10">
      <c r="A61" s="111" t="s">
        <v>513</v>
      </c>
      <c r="B61" s="112"/>
      <c r="C61" s="119"/>
      <c r="D61" s="120" t="s">
        <v>514</v>
      </c>
      <c r="E61" s="121"/>
      <c r="F61" s="116" t="s">
        <v>367</v>
      </c>
      <c r="G61" s="117">
        <v>1</v>
      </c>
      <c r="H61" s="118">
        <v>810</v>
      </c>
      <c r="I61" s="73">
        <f t="shared" si="1"/>
        <v>810</v>
      </c>
    </row>
    <row r="62" spans="1:10" ht="58.5" customHeight="1">
      <c r="A62" s="111" t="s">
        <v>515</v>
      </c>
      <c r="B62" s="112"/>
      <c r="C62" s="119"/>
      <c r="D62" s="122" t="s">
        <v>516</v>
      </c>
      <c r="E62" s="123"/>
      <c r="F62" s="116" t="s">
        <v>367</v>
      </c>
      <c r="G62" s="117">
        <v>1</v>
      </c>
      <c r="H62" s="118">
        <v>8100</v>
      </c>
      <c r="I62" s="73">
        <f t="shared" si="1"/>
        <v>8100</v>
      </c>
    </row>
    <row r="63" spans="1:10">
      <c r="A63" s="111" t="s">
        <v>517</v>
      </c>
      <c r="B63" s="112"/>
      <c r="C63" s="113"/>
      <c r="D63" s="124" t="s">
        <v>518</v>
      </c>
      <c r="E63" s="125"/>
      <c r="F63" s="116" t="s">
        <v>367</v>
      </c>
      <c r="G63" s="117">
        <v>1</v>
      </c>
      <c r="H63" s="118">
        <v>32400</v>
      </c>
      <c r="I63" s="73">
        <f t="shared" si="1"/>
        <v>32400</v>
      </c>
    </row>
    <row r="64" spans="1:10" ht="24">
      <c r="A64" s="111" t="s">
        <v>519</v>
      </c>
      <c r="B64" s="112"/>
      <c r="C64" s="113"/>
      <c r="D64" s="124" t="s">
        <v>520</v>
      </c>
      <c r="E64" s="125"/>
      <c r="F64" s="116" t="s">
        <v>367</v>
      </c>
      <c r="G64" s="117">
        <v>1</v>
      </c>
      <c r="H64" s="118">
        <v>3240</v>
      </c>
      <c r="I64" s="73">
        <f t="shared" si="1"/>
        <v>3240</v>
      </c>
    </row>
    <row r="65" spans="1:9">
      <c r="A65" s="111" t="s">
        <v>521</v>
      </c>
      <c r="B65" s="112"/>
      <c r="C65" s="113"/>
      <c r="D65" s="126" t="s">
        <v>522</v>
      </c>
      <c r="E65" s="127"/>
      <c r="F65" s="128" t="s">
        <v>367</v>
      </c>
      <c r="G65" s="129">
        <v>1</v>
      </c>
      <c r="H65" s="118">
        <v>32400</v>
      </c>
      <c r="I65" s="73">
        <f t="shared" si="1"/>
        <v>32400</v>
      </c>
    </row>
    <row r="66" spans="1:9">
      <c r="A66" s="111" t="s">
        <v>523</v>
      </c>
      <c r="B66" s="112"/>
      <c r="C66" s="113"/>
      <c r="D66" s="126" t="s">
        <v>524</v>
      </c>
      <c r="E66" s="127"/>
      <c r="F66" s="128" t="s">
        <v>367</v>
      </c>
      <c r="G66" s="129">
        <v>1</v>
      </c>
      <c r="H66" s="118">
        <v>3240</v>
      </c>
      <c r="I66" s="73">
        <f t="shared" si="1"/>
        <v>3240</v>
      </c>
    </row>
    <row r="67" spans="1:9" ht="24">
      <c r="A67" s="111" t="s">
        <v>525</v>
      </c>
      <c r="B67" s="112"/>
      <c r="C67" s="113"/>
      <c r="D67" s="130" t="s">
        <v>526</v>
      </c>
      <c r="E67" s="131"/>
      <c r="F67" s="116" t="s">
        <v>367</v>
      </c>
      <c r="G67" s="117">
        <v>1</v>
      </c>
      <c r="H67" s="118">
        <v>3240</v>
      </c>
      <c r="I67" s="73">
        <f t="shared" si="1"/>
        <v>3240</v>
      </c>
    </row>
    <row r="68" spans="1:9">
      <c r="A68" s="111" t="s">
        <v>527</v>
      </c>
      <c r="B68" s="112"/>
      <c r="C68" s="113"/>
      <c r="D68" s="124" t="s">
        <v>528</v>
      </c>
      <c r="E68" s="125"/>
      <c r="F68" s="116" t="s">
        <v>367</v>
      </c>
      <c r="G68" s="117">
        <v>1</v>
      </c>
      <c r="H68" s="118">
        <v>810</v>
      </c>
      <c r="I68" s="73">
        <f t="shared" si="1"/>
        <v>810</v>
      </c>
    </row>
    <row r="69" spans="1:9">
      <c r="A69" s="111" t="s">
        <v>529</v>
      </c>
      <c r="B69" s="112"/>
      <c r="C69" s="132"/>
      <c r="D69" s="124" t="s">
        <v>530</v>
      </c>
      <c r="E69" s="124"/>
      <c r="F69" s="116" t="s">
        <v>367</v>
      </c>
      <c r="G69" s="117">
        <v>1</v>
      </c>
      <c r="H69" s="118">
        <v>16200</v>
      </c>
      <c r="I69" s="73">
        <f t="shared" si="1"/>
        <v>16200</v>
      </c>
    </row>
    <row r="70" spans="1:9">
      <c r="A70" s="111" t="s">
        <v>531</v>
      </c>
      <c r="B70" s="112"/>
      <c r="C70" s="113"/>
      <c r="D70" s="124" t="s">
        <v>532</v>
      </c>
      <c r="E70" s="125"/>
      <c r="F70" s="116" t="s">
        <v>367</v>
      </c>
      <c r="G70" s="117">
        <v>1</v>
      </c>
      <c r="H70" s="118">
        <v>1620</v>
      </c>
      <c r="I70" s="73">
        <f t="shared" si="1"/>
        <v>1620</v>
      </c>
    </row>
    <row r="71" spans="1:9">
      <c r="A71" s="111" t="s">
        <v>533</v>
      </c>
      <c r="B71" s="112"/>
      <c r="C71" s="113"/>
      <c r="D71" s="133" t="s">
        <v>534</v>
      </c>
      <c r="E71" s="134"/>
      <c r="F71" s="135" t="s">
        <v>367</v>
      </c>
      <c r="G71" s="136">
        <v>1</v>
      </c>
      <c r="H71" s="118">
        <v>16200</v>
      </c>
      <c r="I71" s="73">
        <f t="shared" si="1"/>
        <v>16200</v>
      </c>
    </row>
    <row r="72" spans="1:9">
      <c r="A72" s="111"/>
      <c r="B72" s="112"/>
      <c r="C72" s="113"/>
      <c r="D72" s="124"/>
      <c r="E72" s="124"/>
      <c r="F72" s="116"/>
      <c r="G72" s="117"/>
      <c r="H72" s="118"/>
      <c r="I72" s="137"/>
    </row>
    <row r="73" spans="1:9">
      <c r="A73" s="67"/>
      <c r="B73" s="138"/>
      <c r="C73" s="139"/>
      <c r="D73" s="302" t="s">
        <v>535</v>
      </c>
      <c r="E73" s="303"/>
      <c r="F73" s="303"/>
      <c r="G73" s="304"/>
      <c r="H73" s="305">
        <f>SUM(I58:I71)</f>
        <v>127980</v>
      </c>
      <c r="I73" s="306"/>
    </row>
    <row r="74" spans="1:9">
      <c r="A74" s="307"/>
      <c r="B74" s="308"/>
      <c r="C74" s="308"/>
      <c r="D74" s="140"/>
      <c r="E74" s="141"/>
      <c r="F74" s="141"/>
      <c r="G74" s="141"/>
      <c r="H74" s="140" t="s">
        <v>536</v>
      </c>
      <c r="I74" s="142" t="e">
        <f>H56+H73</f>
        <v>#VALUE!</v>
      </c>
    </row>
  </sheetData>
  <protectedRanges>
    <protectedRange sqref="E11:E53" name="Raspon1"/>
    <protectedRange sqref="H11:I74" name="Raspon2"/>
  </protectedRanges>
  <mergeCells count="9">
    <mergeCell ref="D73:G73"/>
    <mergeCell ref="H73:I73"/>
    <mergeCell ref="A74:C74"/>
    <mergeCell ref="A1:G1"/>
    <mergeCell ref="A3:C3"/>
    <mergeCell ref="A4:C4"/>
    <mergeCell ref="A6:I6"/>
    <mergeCell ref="D56:G56"/>
    <mergeCell ref="H56:I56"/>
  </mergeCells>
  <pageMargins left="0.7" right="0.7" top="0.75" bottom="0.75" header="0.3" footer="0.3"/>
  <pageSetup paperSize="8" scale="95" orientation="portrait" r:id="rId1"/>
  <headerFooter>
    <oddHeader>&amp;RJAVNO</oddHead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FE298-999A-421A-A811-9ACD31DA6088}">
  <dimension ref="A1:L131"/>
  <sheetViews>
    <sheetView zoomScale="130" zoomScaleNormal="130" workbookViewId="0">
      <pane ySplit="9" topLeftCell="A109" activePane="bottomLeft" state="frozen"/>
      <selection activeCell="I40" sqref="I40"/>
      <selection pane="bottomLeft" activeCell="C68" sqref="C68:C69"/>
    </sheetView>
  </sheetViews>
  <sheetFormatPr defaultRowHeight="15"/>
  <cols>
    <col min="1" max="1" width="9.7109375" customWidth="1"/>
    <col min="2" max="2" width="26" customWidth="1"/>
    <col min="3" max="3" width="64.7109375" customWidth="1"/>
    <col min="4" max="4" width="30.28515625" customWidth="1"/>
    <col min="5" max="5" width="9.7109375" customWidth="1"/>
    <col min="6" max="6" width="15.7109375" customWidth="1"/>
    <col min="7" max="7" width="14.7109375" style="239" customWidth="1"/>
    <col min="8" max="8" width="14.7109375" style="223" customWidth="1"/>
    <col min="9" max="9" width="33.140625" bestFit="1" customWidth="1"/>
  </cols>
  <sheetData>
    <row r="1" spans="1:9" ht="32.1" customHeight="1">
      <c r="A1" s="309" t="s">
        <v>537</v>
      </c>
      <c r="B1" s="310"/>
      <c r="C1" s="310"/>
      <c r="D1" s="310"/>
      <c r="E1" s="310"/>
      <c r="F1" s="310"/>
      <c r="G1" s="310"/>
      <c r="H1" s="310"/>
    </row>
    <row r="2" spans="1:9" ht="15.75">
      <c r="A2" s="36" t="s">
        <v>346</v>
      </c>
      <c r="B2" s="36"/>
      <c r="C2" s="36" t="s">
        <v>347</v>
      </c>
      <c r="D2" s="36"/>
      <c r="E2" s="44"/>
      <c r="F2" s="44"/>
      <c r="G2" s="38"/>
      <c r="H2" s="38"/>
    </row>
    <row r="3" spans="1:9">
      <c r="A3" s="311" t="s">
        <v>348</v>
      </c>
      <c r="B3" s="311"/>
      <c r="C3" s="311"/>
      <c r="D3" s="39"/>
      <c r="E3" s="44"/>
      <c r="F3" s="44"/>
      <c r="G3" s="38"/>
      <c r="H3" s="38"/>
    </row>
    <row r="4" spans="1:9">
      <c r="A4" s="312" t="s">
        <v>349</v>
      </c>
      <c r="B4" s="312"/>
      <c r="C4" s="312"/>
      <c r="D4" s="40"/>
      <c r="E4" s="44"/>
      <c r="F4" s="44"/>
      <c r="G4" s="38"/>
      <c r="H4" s="38"/>
    </row>
    <row r="5" spans="1:9">
      <c r="A5" s="146"/>
      <c r="B5" s="42"/>
      <c r="C5" s="43"/>
      <c r="D5" s="43"/>
      <c r="E5" s="44"/>
      <c r="F5" s="44"/>
      <c r="G5" s="38"/>
      <c r="H5" s="38"/>
    </row>
    <row r="6" spans="1:9">
      <c r="A6" s="313" t="s">
        <v>350</v>
      </c>
      <c r="B6" s="314"/>
      <c r="C6" s="314"/>
      <c r="D6" s="314"/>
      <c r="E6" s="314"/>
      <c r="F6" s="314"/>
      <c r="G6" s="314"/>
      <c r="H6" s="315"/>
    </row>
    <row r="7" spans="1:9" ht="24.75">
      <c r="A7" s="46" t="s">
        <v>289</v>
      </c>
      <c r="B7" s="47" t="s">
        <v>351</v>
      </c>
      <c r="C7" s="48" t="s">
        <v>353</v>
      </c>
      <c r="D7" s="48" t="s">
        <v>354</v>
      </c>
      <c r="E7" s="49" t="s">
        <v>291</v>
      </c>
      <c r="F7" s="49" t="s">
        <v>355</v>
      </c>
      <c r="G7" s="50" t="s">
        <v>356</v>
      </c>
      <c r="H7" s="50" t="s">
        <v>357</v>
      </c>
    </row>
    <row r="8" spans="1:9">
      <c r="A8" s="51">
        <v>1</v>
      </c>
      <c r="B8" s="51">
        <v>2</v>
      </c>
      <c r="C8" s="48" t="s">
        <v>316</v>
      </c>
      <c r="D8" s="52" t="s">
        <v>358</v>
      </c>
      <c r="E8" s="52" t="s">
        <v>359</v>
      </c>
      <c r="F8" s="50" t="s">
        <v>360</v>
      </c>
      <c r="G8" s="147">
        <v>7</v>
      </c>
      <c r="H8" s="50" t="s">
        <v>361</v>
      </c>
    </row>
    <row r="9" spans="1:9">
      <c r="A9" s="51"/>
      <c r="B9" s="54" t="s">
        <v>362</v>
      </c>
      <c r="C9" s="48"/>
      <c r="D9" s="48"/>
      <c r="E9" s="52"/>
      <c r="F9" s="52"/>
      <c r="G9" s="50"/>
      <c r="H9" s="50"/>
    </row>
    <row r="10" spans="1:9" ht="20.65" customHeight="1">
      <c r="A10" s="58" t="s">
        <v>538</v>
      </c>
      <c r="B10" s="148"/>
      <c r="C10" s="149" t="s">
        <v>539</v>
      </c>
      <c r="D10" s="149"/>
      <c r="E10" s="52"/>
      <c r="F10" s="52"/>
      <c r="G10" s="50"/>
      <c r="H10" s="150"/>
      <c r="I10" s="151"/>
    </row>
    <row r="11" spans="1:9" ht="20.65" customHeight="1">
      <c r="A11" s="152" t="s">
        <v>540</v>
      </c>
      <c r="B11" s="58"/>
      <c r="C11" s="60" t="s">
        <v>541</v>
      </c>
      <c r="D11" s="60"/>
      <c r="E11" s="153"/>
      <c r="F11" s="63"/>
      <c r="G11" s="154"/>
      <c r="H11" s="50"/>
      <c r="I11" s="50" t="s">
        <v>31</v>
      </c>
    </row>
    <row r="12" spans="1:9" ht="282.75" customHeight="1">
      <c r="A12" s="322" t="s">
        <v>542</v>
      </c>
      <c r="B12" s="324"/>
      <c r="C12" s="155" t="s">
        <v>543</v>
      </c>
      <c r="D12" s="156"/>
      <c r="E12" s="326" t="s">
        <v>367</v>
      </c>
      <c r="F12" s="328">
        <v>1</v>
      </c>
      <c r="G12" s="330">
        <v>25570</v>
      </c>
      <c r="H12" s="332">
        <f>F12*G12</f>
        <v>25570</v>
      </c>
      <c r="I12" s="10" t="s">
        <v>544</v>
      </c>
    </row>
    <row r="13" spans="1:9" ht="276">
      <c r="A13" s="323"/>
      <c r="B13" s="325"/>
      <c r="C13" s="158" t="s">
        <v>545</v>
      </c>
      <c r="D13" s="159"/>
      <c r="E13" s="327"/>
      <c r="F13" s="329"/>
      <c r="G13" s="331"/>
      <c r="H13" s="333"/>
      <c r="I13" s="9"/>
    </row>
    <row r="14" spans="1:9">
      <c r="A14" s="67"/>
      <c r="B14" s="243"/>
      <c r="C14" s="79" t="s">
        <v>546</v>
      </c>
      <c r="D14" s="75"/>
      <c r="E14" s="76"/>
      <c r="F14" s="77"/>
      <c r="G14" s="71"/>
      <c r="H14" s="160"/>
      <c r="I14" s="9"/>
    </row>
    <row r="15" spans="1:9" ht="168">
      <c r="A15" s="67" t="s">
        <v>547</v>
      </c>
      <c r="B15" s="243"/>
      <c r="C15" s="92" t="s">
        <v>548</v>
      </c>
      <c r="D15" s="88"/>
      <c r="E15" s="89" t="s">
        <v>367</v>
      </c>
      <c r="F15" s="77">
        <v>1</v>
      </c>
      <c r="G15" s="161">
        <v>220</v>
      </c>
      <c r="H15" s="160">
        <f>F15*G15</f>
        <v>220</v>
      </c>
      <c r="I15" s="9"/>
    </row>
    <row r="16" spans="1:9" ht="168">
      <c r="A16" s="67" t="s">
        <v>549</v>
      </c>
      <c r="B16" s="243"/>
      <c r="C16" s="92" t="s">
        <v>550</v>
      </c>
      <c r="D16" s="88"/>
      <c r="E16" s="89" t="s">
        <v>367</v>
      </c>
      <c r="F16" s="77">
        <v>1</v>
      </c>
      <c r="G16" s="161">
        <v>220</v>
      </c>
      <c r="H16" s="160">
        <f t="shared" ref="H16:H20" si="0">F16*G16</f>
        <v>220</v>
      </c>
      <c r="I16" s="9"/>
    </row>
    <row r="17" spans="1:9" ht="126.75" customHeight="1">
      <c r="A17" s="67" t="s">
        <v>551</v>
      </c>
      <c r="B17" s="243"/>
      <c r="C17" s="162" t="s">
        <v>552</v>
      </c>
      <c r="D17" s="163"/>
      <c r="E17" s="89" t="s">
        <v>367</v>
      </c>
      <c r="F17" s="164">
        <v>1</v>
      </c>
      <c r="G17" s="161">
        <v>90</v>
      </c>
      <c r="H17" s="160">
        <f t="shared" si="0"/>
        <v>90</v>
      </c>
      <c r="I17" s="9"/>
    </row>
    <row r="18" spans="1:9" ht="168">
      <c r="A18" s="67" t="s">
        <v>553</v>
      </c>
      <c r="B18" s="244"/>
      <c r="C18" s="92" t="s">
        <v>554</v>
      </c>
      <c r="D18" s="88"/>
      <c r="E18" s="89" t="s">
        <v>367</v>
      </c>
      <c r="F18" s="164">
        <v>1</v>
      </c>
      <c r="G18" s="161">
        <v>330</v>
      </c>
      <c r="H18" s="160">
        <f t="shared" si="0"/>
        <v>330</v>
      </c>
      <c r="I18" s="9"/>
    </row>
    <row r="19" spans="1:9" ht="63.75" customHeight="1">
      <c r="A19" s="67" t="s">
        <v>555</v>
      </c>
      <c r="B19" s="244"/>
      <c r="C19" s="92" t="s">
        <v>556</v>
      </c>
      <c r="D19" s="88"/>
      <c r="E19" s="89" t="s">
        <v>371</v>
      </c>
      <c r="F19" s="164">
        <v>1</v>
      </c>
      <c r="G19" s="161">
        <v>10</v>
      </c>
      <c r="H19" s="160">
        <f t="shared" si="0"/>
        <v>10</v>
      </c>
      <c r="I19" s="9"/>
    </row>
    <row r="20" spans="1:9" ht="36.75">
      <c r="A20" s="67" t="s">
        <v>557</v>
      </c>
      <c r="B20" s="243"/>
      <c r="C20" s="165" t="s">
        <v>501</v>
      </c>
      <c r="D20" s="166"/>
      <c r="E20" s="80" t="s">
        <v>367</v>
      </c>
      <c r="F20" s="164">
        <v>1</v>
      </c>
      <c r="G20" s="161">
        <v>1620</v>
      </c>
      <c r="H20" s="160">
        <f t="shared" si="0"/>
        <v>1620</v>
      </c>
      <c r="I20" s="9"/>
    </row>
    <row r="21" spans="1:9">
      <c r="A21" s="67"/>
      <c r="B21" s="243"/>
      <c r="C21" s="319" t="s">
        <v>558</v>
      </c>
      <c r="D21" s="320"/>
      <c r="E21" s="320"/>
      <c r="F21" s="321"/>
      <c r="G21" s="161"/>
      <c r="H21" s="167">
        <f>SUM(H12:H20)</f>
        <v>28060</v>
      </c>
      <c r="I21" s="9"/>
    </row>
    <row r="22" spans="1:9">
      <c r="A22" s="152" t="s">
        <v>559</v>
      </c>
      <c r="B22" s="245"/>
      <c r="C22" s="60" t="s">
        <v>560</v>
      </c>
      <c r="D22" s="60"/>
      <c r="E22" s="153"/>
      <c r="F22" s="63"/>
      <c r="G22" s="154"/>
      <c r="H22" s="50"/>
      <c r="I22" s="9"/>
    </row>
    <row r="23" spans="1:9" ht="372">
      <c r="A23" s="67" t="s">
        <v>561</v>
      </c>
      <c r="B23" s="242"/>
      <c r="C23" s="68" t="s">
        <v>562</v>
      </c>
      <c r="D23" s="88"/>
      <c r="E23" s="168" t="s">
        <v>367</v>
      </c>
      <c r="F23" s="77">
        <v>1</v>
      </c>
      <c r="G23" s="161">
        <v>1630</v>
      </c>
      <c r="H23" s="167">
        <f>F23*G23</f>
        <v>1630</v>
      </c>
      <c r="I23" s="9"/>
    </row>
    <row r="24" spans="1:9" ht="48">
      <c r="A24" s="67" t="s">
        <v>563</v>
      </c>
      <c r="B24" s="242"/>
      <c r="C24" s="169" t="s">
        <v>564</v>
      </c>
      <c r="D24" s="75"/>
      <c r="E24" s="76" t="s">
        <v>371</v>
      </c>
      <c r="F24" s="77">
        <v>1</v>
      </c>
      <c r="G24" s="161">
        <v>180</v>
      </c>
      <c r="H24" s="167">
        <f t="shared" ref="H24:H64" si="1">F24*G24</f>
        <v>180</v>
      </c>
      <c r="I24" s="9"/>
    </row>
    <row r="25" spans="1:9" ht="48">
      <c r="A25" s="67" t="s">
        <v>565</v>
      </c>
      <c r="B25" s="242"/>
      <c r="C25" s="169" t="s">
        <v>566</v>
      </c>
      <c r="D25" s="75"/>
      <c r="E25" s="76" t="s">
        <v>371</v>
      </c>
      <c r="F25" s="77">
        <v>1</v>
      </c>
      <c r="G25" s="161">
        <v>50</v>
      </c>
      <c r="H25" s="167">
        <f t="shared" si="1"/>
        <v>50</v>
      </c>
      <c r="I25" s="9"/>
    </row>
    <row r="26" spans="1:9" ht="48">
      <c r="A26" s="67" t="s">
        <v>567</v>
      </c>
      <c r="B26" s="242"/>
      <c r="C26" s="169" t="s">
        <v>568</v>
      </c>
      <c r="D26" s="75"/>
      <c r="E26" s="76" t="s">
        <v>371</v>
      </c>
      <c r="F26" s="77">
        <v>1</v>
      </c>
      <c r="G26" s="161">
        <v>70</v>
      </c>
      <c r="H26" s="167">
        <f t="shared" si="1"/>
        <v>70</v>
      </c>
      <c r="I26" s="9"/>
    </row>
    <row r="27" spans="1:9" ht="60">
      <c r="A27" s="67" t="s">
        <v>569</v>
      </c>
      <c r="B27" s="242"/>
      <c r="C27" s="169" t="s">
        <v>570</v>
      </c>
      <c r="D27" s="75"/>
      <c r="E27" s="76" t="s">
        <v>371</v>
      </c>
      <c r="F27" s="77">
        <v>1</v>
      </c>
      <c r="G27" s="161">
        <v>40</v>
      </c>
      <c r="H27" s="167">
        <f t="shared" si="1"/>
        <v>40</v>
      </c>
      <c r="I27" s="9"/>
    </row>
    <row r="28" spans="1:9" ht="60">
      <c r="A28" s="67" t="s">
        <v>571</v>
      </c>
      <c r="B28" s="242"/>
      <c r="C28" s="169" t="s">
        <v>572</v>
      </c>
      <c r="D28" s="79"/>
      <c r="E28" s="80" t="s">
        <v>371</v>
      </c>
      <c r="F28" s="77">
        <v>1</v>
      </c>
      <c r="G28" s="161">
        <v>130</v>
      </c>
      <c r="H28" s="167">
        <f t="shared" si="1"/>
        <v>130</v>
      </c>
      <c r="I28" s="9"/>
    </row>
    <row r="29" spans="1:9" ht="48">
      <c r="A29" s="67" t="s">
        <v>573</v>
      </c>
      <c r="B29" s="242"/>
      <c r="C29" s="170" t="s">
        <v>574</v>
      </c>
      <c r="D29" s="82"/>
      <c r="E29" s="80" t="s">
        <v>371</v>
      </c>
      <c r="F29" s="77">
        <v>1</v>
      </c>
      <c r="G29" s="161">
        <v>150</v>
      </c>
      <c r="H29" s="167">
        <f t="shared" si="1"/>
        <v>150</v>
      </c>
      <c r="I29" s="9"/>
    </row>
    <row r="30" spans="1:9" ht="60">
      <c r="A30" s="67" t="s">
        <v>575</v>
      </c>
      <c r="B30" s="242"/>
      <c r="C30" s="85" t="s">
        <v>576</v>
      </c>
      <c r="D30" s="75"/>
      <c r="E30" s="76" t="s">
        <v>371</v>
      </c>
      <c r="F30" s="77">
        <v>1</v>
      </c>
      <c r="G30" s="161">
        <v>10</v>
      </c>
      <c r="H30" s="167">
        <f t="shared" si="1"/>
        <v>10</v>
      </c>
      <c r="I30" s="10" t="s">
        <v>390</v>
      </c>
    </row>
    <row r="31" spans="1:9" ht="144">
      <c r="A31" s="67" t="s">
        <v>577</v>
      </c>
      <c r="B31" s="242"/>
      <c r="C31" s="85" t="s">
        <v>578</v>
      </c>
      <c r="D31" s="75"/>
      <c r="E31" s="76" t="s">
        <v>367</v>
      </c>
      <c r="F31" s="77">
        <v>1</v>
      </c>
      <c r="G31" s="161">
        <v>1530</v>
      </c>
      <c r="H31" s="167">
        <f t="shared" si="1"/>
        <v>1530</v>
      </c>
      <c r="I31" s="10" t="s">
        <v>579</v>
      </c>
    </row>
    <row r="32" spans="1:9" ht="144">
      <c r="A32" s="67" t="s">
        <v>580</v>
      </c>
      <c r="B32" s="242"/>
      <c r="C32" s="171" t="s">
        <v>581</v>
      </c>
      <c r="D32" s="172"/>
      <c r="E32" s="76" t="s">
        <v>367</v>
      </c>
      <c r="F32" s="77">
        <v>1</v>
      </c>
      <c r="G32" s="161">
        <v>360</v>
      </c>
      <c r="H32" s="167">
        <f t="shared" si="1"/>
        <v>360</v>
      </c>
      <c r="I32" s="9"/>
    </row>
    <row r="33" spans="1:9" ht="108">
      <c r="A33" s="67" t="s">
        <v>582</v>
      </c>
      <c r="B33" s="242"/>
      <c r="C33" s="92" t="s">
        <v>583</v>
      </c>
      <c r="D33" s="88"/>
      <c r="E33" s="89" t="s">
        <v>371</v>
      </c>
      <c r="F33" s="173">
        <v>1</v>
      </c>
      <c r="G33" s="161">
        <v>210</v>
      </c>
      <c r="H33" s="167">
        <f t="shared" si="1"/>
        <v>210</v>
      </c>
      <c r="I33" s="9"/>
    </row>
    <row r="34" spans="1:9" ht="108">
      <c r="A34" s="67" t="s">
        <v>584</v>
      </c>
      <c r="B34" s="242"/>
      <c r="C34" s="171" t="s">
        <v>585</v>
      </c>
      <c r="D34" s="174"/>
      <c r="E34" s="80" t="s">
        <v>367</v>
      </c>
      <c r="F34" s="77">
        <v>1</v>
      </c>
      <c r="G34" s="161">
        <v>120</v>
      </c>
      <c r="H34" s="167">
        <f t="shared" si="1"/>
        <v>120</v>
      </c>
      <c r="I34" s="9"/>
    </row>
    <row r="35" spans="1:9" ht="108">
      <c r="A35" s="67" t="s">
        <v>586</v>
      </c>
      <c r="B35" s="242"/>
      <c r="C35" s="171" t="s">
        <v>587</v>
      </c>
      <c r="D35" s="174"/>
      <c r="E35" s="80" t="s">
        <v>367</v>
      </c>
      <c r="F35" s="77">
        <v>2</v>
      </c>
      <c r="G35" s="161">
        <v>150</v>
      </c>
      <c r="H35" s="167">
        <f t="shared" si="1"/>
        <v>300</v>
      </c>
      <c r="I35" s="9"/>
    </row>
    <row r="36" spans="1:9" ht="149.25" customHeight="1">
      <c r="A36" s="67" t="s">
        <v>588</v>
      </c>
      <c r="B36" s="242"/>
      <c r="C36" s="92" t="s">
        <v>589</v>
      </c>
      <c r="D36" s="88"/>
      <c r="E36" s="175" t="s">
        <v>367</v>
      </c>
      <c r="F36" s="176">
        <v>3</v>
      </c>
      <c r="G36" s="161">
        <v>80</v>
      </c>
      <c r="H36" s="167">
        <f t="shared" si="1"/>
        <v>240</v>
      </c>
      <c r="I36" s="9"/>
    </row>
    <row r="37" spans="1:9" ht="108">
      <c r="A37" s="67" t="s">
        <v>590</v>
      </c>
      <c r="B37" s="242"/>
      <c r="C37" s="171" t="s">
        <v>587</v>
      </c>
      <c r="D37" s="174"/>
      <c r="E37" s="80" t="s">
        <v>367</v>
      </c>
      <c r="F37" s="77">
        <v>5</v>
      </c>
      <c r="G37" s="161">
        <v>150</v>
      </c>
      <c r="H37" s="167">
        <f t="shared" si="1"/>
        <v>750</v>
      </c>
      <c r="I37" s="9"/>
    </row>
    <row r="38" spans="1:9" ht="108">
      <c r="A38" s="67" t="s">
        <v>591</v>
      </c>
      <c r="B38" s="242"/>
      <c r="C38" s="171" t="s">
        <v>592</v>
      </c>
      <c r="D38" s="174"/>
      <c r="E38" s="80" t="s">
        <v>367</v>
      </c>
      <c r="F38" s="77">
        <v>1</v>
      </c>
      <c r="G38" s="161">
        <v>100</v>
      </c>
      <c r="H38" s="167">
        <f t="shared" si="1"/>
        <v>100</v>
      </c>
      <c r="I38" s="9"/>
    </row>
    <row r="39" spans="1:9" ht="108">
      <c r="A39" s="67" t="s">
        <v>593</v>
      </c>
      <c r="B39" s="242"/>
      <c r="C39" s="171" t="s">
        <v>594</v>
      </c>
      <c r="D39" s="174"/>
      <c r="E39" s="80" t="s">
        <v>367</v>
      </c>
      <c r="F39" s="77">
        <v>9</v>
      </c>
      <c r="G39" s="161">
        <v>50</v>
      </c>
      <c r="H39" s="167">
        <f t="shared" si="1"/>
        <v>450</v>
      </c>
      <c r="I39" s="9"/>
    </row>
    <row r="40" spans="1:9" ht="142.5" customHeight="1">
      <c r="A40" s="67" t="s">
        <v>595</v>
      </c>
      <c r="B40" s="242"/>
      <c r="C40" s="92" t="s">
        <v>596</v>
      </c>
      <c r="D40" s="88"/>
      <c r="E40" s="89" t="s">
        <v>367</v>
      </c>
      <c r="F40" s="93">
        <v>1</v>
      </c>
      <c r="G40" s="161">
        <v>170</v>
      </c>
      <c r="H40" s="167">
        <f t="shared" si="1"/>
        <v>170</v>
      </c>
      <c r="I40" s="9"/>
    </row>
    <row r="41" spans="1:9" ht="132">
      <c r="A41" s="67" t="s">
        <v>597</v>
      </c>
      <c r="B41" s="242"/>
      <c r="C41" s="171" t="s">
        <v>598</v>
      </c>
      <c r="D41" s="174"/>
      <c r="E41" s="175" t="s">
        <v>371</v>
      </c>
      <c r="F41" s="176">
        <v>6</v>
      </c>
      <c r="G41" s="161">
        <v>50</v>
      </c>
      <c r="H41" s="167">
        <f t="shared" si="1"/>
        <v>300</v>
      </c>
      <c r="I41" s="9"/>
    </row>
    <row r="42" spans="1:9" ht="168">
      <c r="A42" s="67" t="s">
        <v>599</v>
      </c>
      <c r="B42" s="250"/>
      <c r="C42" s="177" t="s">
        <v>600</v>
      </c>
      <c r="D42" s="178"/>
      <c r="E42" s="80" t="s">
        <v>367</v>
      </c>
      <c r="F42" s="77">
        <v>20</v>
      </c>
      <c r="G42" s="161">
        <v>40</v>
      </c>
      <c r="H42" s="167">
        <f t="shared" si="1"/>
        <v>800</v>
      </c>
      <c r="I42" s="9"/>
    </row>
    <row r="43" spans="1:9" ht="216">
      <c r="A43" s="67" t="s">
        <v>601</v>
      </c>
      <c r="B43" s="250"/>
      <c r="C43" s="177" t="s">
        <v>602</v>
      </c>
      <c r="D43" s="178"/>
      <c r="E43" s="80" t="s">
        <v>367</v>
      </c>
      <c r="F43" s="77">
        <v>4</v>
      </c>
      <c r="G43" s="161">
        <v>40</v>
      </c>
      <c r="H43" s="167">
        <f t="shared" si="1"/>
        <v>160</v>
      </c>
      <c r="I43" s="9"/>
    </row>
    <row r="44" spans="1:9" ht="96">
      <c r="A44" s="67" t="s">
        <v>603</v>
      </c>
      <c r="B44" s="242"/>
      <c r="C44" s="87" t="s">
        <v>604</v>
      </c>
      <c r="D44" s="88"/>
      <c r="E44" s="80" t="s">
        <v>371</v>
      </c>
      <c r="F44" s="77">
        <v>1</v>
      </c>
      <c r="G44" s="161">
        <v>130</v>
      </c>
      <c r="H44" s="167">
        <f t="shared" si="1"/>
        <v>130</v>
      </c>
      <c r="I44" s="10" t="s">
        <v>605</v>
      </c>
    </row>
    <row r="45" spans="1:9" ht="96">
      <c r="A45" s="67" t="s">
        <v>606</v>
      </c>
      <c r="B45" s="242"/>
      <c r="C45" s="179" t="s">
        <v>607</v>
      </c>
      <c r="D45" s="180"/>
      <c r="E45" s="89" t="s">
        <v>371</v>
      </c>
      <c r="F45" s="93">
        <v>1</v>
      </c>
      <c r="G45" s="161">
        <v>50</v>
      </c>
      <c r="H45" s="167">
        <f t="shared" si="1"/>
        <v>50</v>
      </c>
      <c r="I45" s="9"/>
    </row>
    <row r="46" spans="1:9" ht="96">
      <c r="A46" s="67" t="s">
        <v>608</v>
      </c>
      <c r="B46" s="242"/>
      <c r="C46" s="171" t="s">
        <v>609</v>
      </c>
      <c r="D46" s="172"/>
      <c r="E46" s="168" t="s">
        <v>371</v>
      </c>
      <c r="F46" s="77">
        <v>4</v>
      </c>
      <c r="G46" s="161">
        <v>40</v>
      </c>
      <c r="H46" s="167">
        <f t="shared" si="1"/>
        <v>160</v>
      </c>
      <c r="I46" s="10" t="s">
        <v>610</v>
      </c>
    </row>
    <row r="47" spans="1:9" ht="96">
      <c r="A47" s="67" t="s">
        <v>611</v>
      </c>
      <c r="B47" s="242"/>
      <c r="C47" s="171" t="s">
        <v>612</v>
      </c>
      <c r="D47" s="172"/>
      <c r="E47" s="168" t="s">
        <v>371</v>
      </c>
      <c r="F47" s="77">
        <v>3</v>
      </c>
      <c r="G47" s="161">
        <v>100</v>
      </c>
      <c r="H47" s="167">
        <f t="shared" si="1"/>
        <v>300</v>
      </c>
      <c r="I47" s="9"/>
    </row>
    <row r="48" spans="1:9" ht="105">
      <c r="A48" s="67" t="s">
        <v>613</v>
      </c>
      <c r="B48" s="242"/>
      <c r="C48" s="181" t="s">
        <v>614</v>
      </c>
      <c r="D48" s="163"/>
      <c r="E48" s="89" t="s">
        <v>371</v>
      </c>
      <c r="F48" s="93">
        <v>1</v>
      </c>
      <c r="G48" s="161">
        <v>220</v>
      </c>
      <c r="H48" s="167">
        <f t="shared" si="1"/>
        <v>220</v>
      </c>
      <c r="I48" s="10" t="s">
        <v>615</v>
      </c>
    </row>
    <row r="49" spans="1:9" ht="168">
      <c r="A49" s="67" t="s">
        <v>616</v>
      </c>
      <c r="B49" s="242"/>
      <c r="C49" s="182" t="s">
        <v>617</v>
      </c>
      <c r="D49" s="86"/>
      <c r="E49" s="168" t="s">
        <v>367</v>
      </c>
      <c r="F49" s="77">
        <v>3</v>
      </c>
      <c r="G49" s="161">
        <v>220</v>
      </c>
      <c r="H49" s="167">
        <f t="shared" si="1"/>
        <v>660</v>
      </c>
      <c r="I49" s="10"/>
    </row>
    <row r="50" spans="1:9" ht="168">
      <c r="A50" s="67" t="s">
        <v>618</v>
      </c>
      <c r="B50" s="242"/>
      <c r="C50" s="182" t="s">
        <v>619</v>
      </c>
      <c r="D50" s="86"/>
      <c r="E50" s="168" t="s">
        <v>367</v>
      </c>
      <c r="F50" s="77">
        <v>3</v>
      </c>
      <c r="G50" s="161">
        <v>220</v>
      </c>
      <c r="H50" s="167">
        <f t="shared" si="1"/>
        <v>660</v>
      </c>
      <c r="I50" s="9"/>
    </row>
    <row r="51" spans="1:9" ht="120">
      <c r="A51" s="67" t="s">
        <v>620</v>
      </c>
      <c r="B51" s="242"/>
      <c r="C51" s="162" t="s">
        <v>621</v>
      </c>
      <c r="D51" s="163"/>
      <c r="E51" s="89" t="s">
        <v>367</v>
      </c>
      <c r="F51" s="77">
        <v>3</v>
      </c>
      <c r="G51" s="161">
        <v>190</v>
      </c>
      <c r="H51" s="167">
        <f t="shared" si="1"/>
        <v>570</v>
      </c>
      <c r="I51" s="9"/>
    </row>
    <row r="52" spans="1:9" ht="230.25">
      <c r="A52" s="67" t="s">
        <v>622</v>
      </c>
      <c r="B52" s="242"/>
      <c r="C52" s="182" t="s">
        <v>623</v>
      </c>
      <c r="D52" s="86"/>
      <c r="E52" s="168" t="s">
        <v>367</v>
      </c>
      <c r="F52" s="77">
        <v>1</v>
      </c>
      <c r="G52" s="161">
        <v>170</v>
      </c>
      <c r="H52" s="167">
        <f t="shared" si="1"/>
        <v>170</v>
      </c>
      <c r="I52" s="9"/>
    </row>
    <row r="53" spans="1:9" ht="132">
      <c r="A53" s="67" t="s">
        <v>624</v>
      </c>
      <c r="B53" s="242"/>
      <c r="C53" s="162" t="s">
        <v>552</v>
      </c>
      <c r="D53" s="163"/>
      <c r="E53" s="168" t="s">
        <v>367</v>
      </c>
      <c r="F53" s="77">
        <v>12</v>
      </c>
      <c r="G53" s="161">
        <v>90</v>
      </c>
      <c r="H53" s="167">
        <f t="shared" si="1"/>
        <v>1080</v>
      </c>
      <c r="I53" s="9"/>
    </row>
    <row r="54" spans="1:9" ht="132">
      <c r="A54" s="67" t="s">
        <v>625</v>
      </c>
      <c r="B54" s="242"/>
      <c r="C54" s="162" t="s">
        <v>626</v>
      </c>
      <c r="D54" s="163"/>
      <c r="E54" s="168" t="s">
        <v>367</v>
      </c>
      <c r="F54" s="77">
        <v>6</v>
      </c>
      <c r="G54" s="161">
        <v>90</v>
      </c>
      <c r="H54" s="167">
        <f t="shared" si="1"/>
        <v>540</v>
      </c>
      <c r="I54" s="9"/>
    </row>
    <row r="55" spans="1:9" ht="132">
      <c r="A55" s="67" t="s">
        <v>627</v>
      </c>
      <c r="B55" s="242"/>
      <c r="C55" s="162" t="s">
        <v>628</v>
      </c>
      <c r="D55" s="163"/>
      <c r="E55" s="168" t="s">
        <v>367</v>
      </c>
      <c r="F55" s="77">
        <v>3</v>
      </c>
      <c r="G55" s="161">
        <v>90</v>
      </c>
      <c r="H55" s="167">
        <f t="shared" si="1"/>
        <v>270</v>
      </c>
      <c r="I55" s="9"/>
    </row>
    <row r="56" spans="1:9" ht="132">
      <c r="A56" s="67" t="s">
        <v>629</v>
      </c>
      <c r="B56" s="242"/>
      <c r="C56" s="162" t="s">
        <v>630</v>
      </c>
      <c r="D56" s="163"/>
      <c r="E56" s="168" t="s">
        <v>367</v>
      </c>
      <c r="F56" s="77">
        <v>6</v>
      </c>
      <c r="G56" s="161">
        <v>100</v>
      </c>
      <c r="H56" s="167">
        <f t="shared" si="1"/>
        <v>600</v>
      </c>
      <c r="I56" s="9"/>
    </row>
    <row r="57" spans="1:9" ht="84">
      <c r="A57" s="67" t="s">
        <v>631</v>
      </c>
      <c r="B57" s="242"/>
      <c r="C57" s="182" t="s">
        <v>632</v>
      </c>
      <c r="D57" s="86"/>
      <c r="E57" s="168" t="s">
        <v>371</v>
      </c>
      <c r="F57" s="77">
        <v>2</v>
      </c>
      <c r="G57" s="161">
        <v>160</v>
      </c>
      <c r="H57" s="167">
        <f t="shared" si="1"/>
        <v>320</v>
      </c>
      <c r="I57" s="9"/>
    </row>
    <row r="58" spans="1:9" ht="132">
      <c r="A58" s="67" t="s">
        <v>633</v>
      </c>
      <c r="B58" s="242"/>
      <c r="C58" s="171" t="s">
        <v>634</v>
      </c>
      <c r="D58" s="172"/>
      <c r="E58" s="168" t="s">
        <v>371</v>
      </c>
      <c r="F58" s="77">
        <v>2</v>
      </c>
      <c r="G58" s="161">
        <v>330</v>
      </c>
      <c r="H58" s="167">
        <f t="shared" si="1"/>
        <v>660</v>
      </c>
      <c r="I58" s="9"/>
    </row>
    <row r="59" spans="1:9" ht="168">
      <c r="A59" s="67" t="s">
        <v>635</v>
      </c>
      <c r="B59" s="242"/>
      <c r="C59" s="92" t="s">
        <v>554</v>
      </c>
      <c r="D59" s="88"/>
      <c r="E59" s="168" t="s">
        <v>367</v>
      </c>
      <c r="F59" s="77">
        <v>1</v>
      </c>
      <c r="G59" s="161">
        <v>330</v>
      </c>
      <c r="H59" s="167">
        <f t="shared" si="1"/>
        <v>330</v>
      </c>
      <c r="I59" s="9"/>
    </row>
    <row r="60" spans="1:9" ht="60">
      <c r="A60" s="67" t="s">
        <v>636</v>
      </c>
      <c r="B60" s="242"/>
      <c r="C60" s="92" t="s">
        <v>556</v>
      </c>
      <c r="D60" s="88"/>
      <c r="E60" s="168" t="s">
        <v>371</v>
      </c>
      <c r="F60" s="77">
        <v>1</v>
      </c>
      <c r="G60" s="161">
        <v>10</v>
      </c>
      <c r="H60" s="167">
        <f t="shared" si="1"/>
        <v>10</v>
      </c>
      <c r="I60" s="9"/>
    </row>
    <row r="61" spans="1:9" ht="50.25">
      <c r="A61" s="67" t="s">
        <v>637</v>
      </c>
      <c r="B61" s="67"/>
      <c r="C61" s="183" t="s">
        <v>638</v>
      </c>
      <c r="D61" s="184"/>
      <c r="E61" s="80" t="s">
        <v>367</v>
      </c>
      <c r="F61" s="77">
        <v>6</v>
      </c>
      <c r="G61" s="161">
        <v>10</v>
      </c>
      <c r="H61" s="167">
        <f t="shared" si="1"/>
        <v>60</v>
      </c>
      <c r="I61" s="9"/>
    </row>
    <row r="62" spans="1:9" ht="50.25">
      <c r="A62" s="67" t="s">
        <v>639</v>
      </c>
      <c r="B62" s="67"/>
      <c r="C62" s="183" t="s">
        <v>640</v>
      </c>
      <c r="D62" s="184"/>
      <c r="E62" s="80" t="s">
        <v>367</v>
      </c>
      <c r="F62" s="77">
        <v>60</v>
      </c>
      <c r="G62" s="161">
        <v>10</v>
      </c>
      <c r="H62" s="167">
        <f t="shared" si="1"/>
        <v>600</v>
      </c>
      <c r="I62" s="9"/>
    </row>
    <row r="63" spans="1:9" ht="50.25">
      <c r="A63" s="67" t="s">
        <v>641</v>
      </c>
      <c r="B63" s="67"/>
      <c r="C63" s="183" t="s">
        <v>642</v>
      </c>
      <c r="D63" s="184"/>
      <c r="E63" s="80" t="s">
        <v>367</v>
      </c>
      <c r="F63" s="77">
        <v>30</v>
      </c>
      <c r="G63" s="161">
        <v>10</v>
      </c>
      <c r="H63" s="167">
        <f t="shared" si="1"/>
        <v>300</v>
      </c>
      <c r="I63" s="9"/>
    </row>
    <row r="64" spans="1:9" ht="36">
      <c r="A64" s="67" t="s">
        <v>643</v>
      </c>
      <c r="B64" s="67"/>
      <c r="C64" s="169" t="s">
        <v>501</v>
      </c>
      <c r="D64" s="185"/>
      <c r="E64" s="89" t="s">
        <v>367</v>
      </c>
      <c r="F64" s="93">
        <v>1</v>
      </c>
      <c r="G64" s="161">
        <v>1620</v>
      </c>
      <c r="H64" s="167">
        <f t="shared" si="1"/>
        <v>1620</v>
      </c>
      <c r="I64" s="9"/>
    </row>
    <row r="65" spans="1:9">
      <c r="A65" s="111"/>
      <c r="B65" s="111"/>
      <c r="C65" s="319" t="s">
        <v>644</v>
      </c>
      <c r="D65" s="320"/>
      <c r="E65" s="320"/>
      <c r="F65" s="321"/>
      <c r="G65" s="186"/>
      <c r="H65" s="157">
        <f>SUM(H23:H64)</f>
        <v>17060</v>
      </c>
    </row>
    <row r="66" spans="1:9">
      <c r="A66" s="187" t="s">
        <v>645</v>
      </c>
      <c r="B66" s="188"/>
      <c r="C66" s="189" t="s">
        <v>646</v>
      </c>
      <c r="D66" s="190"/>
      <c r="E66" s="191"/>
      <c r="F66" s="192"/>
      <c r="G66" s="193"/>
      <c r="H66" s="194"/>
    </row>
    <row r="67" spans="1:9" ht="120">
      <c r="A67" s="111" t="s">
        <v>647</v>
      </c>
      <c r="B67" s="112"/>
      <c r="C67" s="68" t="s">
        <v>648</v>
      </c>
      <c r="D67" s="69"/>
      <c r="E67" s="89" t="s">
        <v>367</v>
      </c>
      <c r="F67" s="93">
        <v>1</v>
      </c>
      <c r="G67" s="161">
        <v>210</v>
      </c>
      <c r="H67" s="160">
        <f>F67*G67</f>
        <v>210</v>
      </c>
    </row>
    <row r="68" spans="1:9" ht="48">
      <c r="A68" s="111" t="s">
        <v>649</v>
      </c>
      <c r="B68" s="112"/>
      <c r="C68" s="169" t="s">
        <v>650</v>
      </c>
      <c r="D68" s="75"/>
      <c r="E68" s="76" t="s">
        <v>371</v>
      </c>
      <c r="F68" s="77">
        <v>1</v>
      </c>
      <c r="G68" s="161">
        <v>90</v>
      </c>
      <c r="H68" s="160">
        <f t="shared" ref="H68:H76" si="2">F68*G68</f>
        <v>90</v>
      </c>
    </row>
    <row r="69" spans="1:9" ht="48">
      <c r="A69" s="111" t="s">
        <v>651</v>
      </c>
      <c r="B69" s="112"/>
      <c r="C69" s="169" t="s">
        <v>566</v>
      </c>
      <c r="D69" s="75"/>
      <c r="E69" s="76" t="s">
        <v>371</v>
      </c>
      <c r="F69" s="77">
        <v>1</v>
      </c>
      <c r="G69" s="161">
        <v>50</v>
      </c>
      <c r="H69" s="160">
        <f t="shared" si="2"/>
        <v>50</v>
      </c>
    </row>
    <row r="70" spans="1:9" ht="60">
      <c r="A70" s="111" t="s">
        <v>652</v>
      </c>
      <c r="B70" s="112"/>
      <c r="C70" s="169" t="s">
        <v>570</v>
      </c>
      <c r="D70" s="75"/>
      <c r="E70" s="76" t="s">
        <v>371</v>
      </c>
      <c r="F70" s="77">
        <v>1</v>
      </c>
      <c r="G70" s="161">
        <v>40</v>
      </c>
      <c r="H70" s="160">
        <f t="shared" si="2"/>
        <v>40</v>
      </c>
    </row>
    <row r="71" spans="1:9" ht="60">
      <c r="A71" s="111" t="s">
        <v>653</v>
      </c>
      <c r="B71" s="112"/>
      <c r="C71" s="169" t="s">
        <v>572</v>
      </c>
      <c r="D71" s="79"/>
      <c r="E71" s="80" t="s">
        <v>371</v>
      </c>
      <c r="F71" s="77">
        <v>1</v>
      </c>
      <c r="G71" s="161">
        <v>130</v>
      </c>
      <c r="H71" s="160">
        <f t="shared" si="2"/>
        <v>130</v>
      </c>
    </row>
    <row r="72" spans="1:9" ht="48">
      <c r="A72" s="111" t="s">
        <v>654</v>
      </c>
      <c r="B72" s="112"/>
      <c r="C72" s="170" t="s">
        <v>655</v>
      </c>
      <c r="D72" s="82"/>
      <c r="E72" s="80" t="s">
        <v>371</v>
      </c>
      <c r="F72" s="77">
        <v>1</v>
      </c>
      <c r="G72" s="161">
        <v>110</v>
      </c>
      <c r="H72" s="160">
        <f t="shared" si="2"/>
        <v>110</v>
      </c>
    </row>
    <row r="73" spans="1:9" ht="60">
      <c r="A73" s="111" t="s">
        <v>656</v>
      </c>
      <c r="B73" s="112"/>
      <c r="C73" s="85" t="s">
        <v>576</v>
      </c>
      <c r="D73" s="75"/>
      <c r="E73" s="76" t="s">
        <v>371</v>
      </c>
      <c r="F73" s="77">
        <v>1</v>
      </c>
      <c r="G73" s="161">
        <v>10</v>
      </c>
      <c r="H73" s="167">
        <f t="shared" si="2"/>
        <v>10</v>
      </c>
      <c r="I73" s="10" t="s">
        <v>390</v>
      </c>
    </row>
    <row r="74" spans="1:9" ht="168">
      <c r="A74" s="111" t="s">
        <v>657</v>
      </c>
      <c r="B74" s="112"/>
      <c r="C74" s="177" t="s">
        <v>600</v>
      </c>
      <c r="D74" s="178"/>
      <c r="E74" s="80" t="s">
        <v>367</v>
      </c>
      <c r="F74" s="77">
        <v>5</v>
      </c>
      <c r="G74" s="161">
        <v>40</v>
      </c>
      <c r="H74" s="160">
        <f t="shared" si="2"/>
        <v>200</v>
      </c>
    </row>
    <row r="75" spans="1:9" ht="50.25">
      <c r="A75" s="111" t="s">
        <v>658</v>
      </c>
      <c r="B75" s="112"/>
      <c r="C75" s="183" t="s">
        <v>659</v>
      </c>
      <c r="D75" s="184"/>
      <c r="E75" s="80" t="s">
        <v>367</v>
      </c>
      <c r="F75" s="77">
        <v>40</v>
      </c>
      <c r="G75" s="161">
        <v>10</v>
      </c>
      <c r="H75" s="160">
        <f t="shared" si="2"/>
        <v>400</v>
      </c>
    </row>
    <row r="76" spans="1:9" ht="36">
      <c r="A76" s="111" t="s">
        <v>660</v>
      </c>
      <c r="B76" s="112"/>
      <c r="C76" s="169" t="s">
        <v>501</v>
      </c>
      <c r="D76" s="185"/>
      <c r="E76" s="89" t="s">
        <v>367</v>
      </c>
      <c r="F76" s="93">
        <v>1</v>
      </c>
      <c r="G76" s="161">
        <v>170</v>
      </c>
      <c r="H76" s="160">
        <f t="shared" si="2"/>
        <v>170</v>
      </c>
    </row>
    <row r="77" spans="1:9">
      <c r="A77" s="111"/>
      <c r="B77" s="112"/>
      <c r="C77" s="319" t="s">
        <v>661</v>
      </c>
      <c r="D77" s="320"/>
      <c r="E77" s="320"/>
      <c r="F77" s="321"/>
      <c r="G77" s="186"/>
      <c r="H77" s="157">
        <f>SUM(H67:H76)</f>
        <v>1410</v>
      </c>
    </row>
    <row r="78" spans="1:9">
      <c r="A78" s="187" t="s">
        <v>662</v>
      </c>
      <c r="B78" s="188"/>
      <c r="C78" s="189" t="s">
        <v>663</v>
      </c>
      <c r="D78" s="190"/>
      <c r="E78" s="191"/>
      <c r="F78" s="192"/>
      <c r="G78" s="193"/>
      <c r="H78" s="194"/>
    </row>
    <row r="79" spans="1:9">
      <c r="A79" s="67" t="s">
        <v>664</v>
      </c>
      <c r="B79" s="9"/>
      <c r="C79" s="174" t="s">
        <v>665</v>
      </c>
      <c r="D79" s="174"/>
      <c r="E79" s="89" t="s">
        <v>487</v>
      </c>
      <c r="F79" s="93">
        <v>70</v>
      </c>
      <c r="G79" s="161">
        <v>10</v>
      </c>
      <c r="H79" s="160">
        <f>F79*G79</f>
        <v>700</v>
      </c>
    </row>
    <row r="80" spans="1:9" ht="25.5">
      <c r="A80" s="67" t="s">
        <v>666</v>
      </c>
      <c r="B80" s="9"/>
      <c r="C80" s="174" t="s">
        <v>667</v>
      </c>
      <c r="D80" s="174"/>
      <c r="E80" s="89" t="s">
        <v>371</v>
      </c>
      <c r="F80" s="93">
        <v>30</v>
      </c>
      <c r="G80" s="161">
        <v>10</v>
      </c>
      <c r="H80" s="160">
        <f t="shared" ref="H80:H89" si="3">F80*G80</f>
        <v>300</v>
      </c>
    </row>
    <row r="81" spans="1:8">
      <c r="A81" s="67" t="s">
        <v>668</v>
      </c>
      <c r="B81" s="9"/>
      <c r="C81" s="174" t="s">
        <v>669</v>
      </c>
      <c r="D81" s="174"/>
      <c r="E81" s="89" t="s">
        <v>371</v>
      </c>
      <c r="F81" s="93">
        <v>20</v>
      </c>
      <c r="G81" s="161">
        <v>10</v>
      </c>
      <c r="H81" s="160">
        <f t="shared" si="3"/>
        <v>200</v>
      </c>
    </row>
    <row r="82" spans="1:8">
      <c r="A82" s="67" t="s">
        <v>670</v>
      </c>
      <c r="B82" s="9"/>
      <c r="C82" s="174" t="s">
        <v>671</v>
      </c>
      <c r="D82" s="174"/>
      <c r="E82" s="89" t="s">
        <v>371</v>
      </c>
      <c r="F82" s="93">
        <v>10</v>
      </c>
      <c r="G82" s="161">
        <v>10</v>
      </c>
      <c r="H82" s="160">
        <f t="shared" si="3"/>
        <v>100</v>
      </c>
    </row>
    <row r="83" spans="1:8" ht="74.25" customHeight="1">
      <c r="A83" s="67" t="s">
        <v>672</v>
      </c>
      <c r="B83" s="9"/>
      <c r="C83" s="174" t="s">
        <v>673</v>
      </c>
      <c r="D83" s="174"/>
      <c r="E83" s="89" t="s">
        <v>371</v>
      </c>
      <c r="F83" s="93">
        <v>20</v>
      </c>
      <c r="G83" s="161">
        <v>90</v>
      </c>
      <c r="H83" s="160">
        <f t="shared" si="3"/>
        <v>1800</v>
      </c>
    </row>
    <row r="84" spans="1:8" ht="37.5">
      <c r="A84" s="67" t="s">
        <v>674</v>
      </c>
      <c r="B84" s="9"/>
      <c r="C84" s="174" t="s">
        <v>675</v>
      </c>
      <c r="D84" s="174"/>
      <c r="E84" s="89" t="s">
        <v>371</v>
      </c>
      <c r="F84" s="93">
        <v>50</v>
      </c>
      <c r="G84" s="161">
        <v>10</v>
      </c>
      <c r="H84" s="160">
        <f t="shared" si="3"/>
        <v>500</v>
      </c>
    </row>
    <row r="85" spans="1:8" ht="27">
      <c r="A85" s="67" t="s">
        <v>676</v>
      </c>
      <c r="B85" s="9"/>
      <c r="C85" s="174" t="s">
        <v>677</v>
      </c>
      <c r="D85" s="174"/>
      <c r="E85" s="89" t="s">
        <v>371</v>
      </c>
      <c r="F85" s="93">
        <v>40</v>
      </c>
      <c r="G85" s="161">
        <v>10</v>
      </c>
      <c r="H85" s="160">
        <f t="shared" si="3"/>
        <v>400</v>
      </c>
    </row>
    <row r="86" spans="1:8" ht="25.5">
      <c r="A86" s="67" t="s">
        <v>678</v>
      </c>
      <c r="B86" s="9"/>
      <c r="C86" s="174" t="s">
        <v>679</v>
      </c>
      <c r="D86" s="174"/>
      <c r="E86" s="89" t="s">
        <v>487</v>
      </c>
      <c r="F86" s="93">
        <v>50</v>
      </c>
      <c r="G86" s="161">
        <v>10</v>
      </c>
      <c r="H86" s="160">
        <f t="shared" si="3"/>
        <v>500</v>
      </c>
    </row>
    <row r="87" spans="1:8" ht="25.5">
      <c r="A87" s="67" t="s">
        <v>680</v>
      </c>
      <c r="B87" s="9"/>
      <c r="C87" s="174" t="s">
        <v>681</v>
      </c>
      <c r="D87" s="174"/>
      <c r="E87" s="89" t="s">
        <v>487</v>
      </c>
      <c r="F87" s="93">
        <v>80</v>
      </c>
      <c r="G87" s="161">
        <v>10</v>
      </c>
      <c r="H87" s="160">
        <f t="shared" si="3"/>
        <v>800</v>
      </c>
    </row>
    <row r="88" spans="1:8" ht="25.5">
      <c r="A88" s="67" t="s">
        <v>682</v>
      </c>
      <c r="B88" s="9"/>
      <c r="C88" s="174" t="s">
        <v>683</v>
      </c>
      <c r="D88" s="174"/>
      <c r="E88" s="89" t="s">
        <v>487</v>
      </c>
      <c r="F88" s="93">
        <v>150</v>
      </c>
      <c r="G88" s="161">
        <v>10</v>
      </c>
      <c r="H88" s="160">
        <f t="shared" si="3"/>
        <v>1500</v>
      </c>
    </row>
    <row r="89" spans="1:8">
      <c r="A89" s="67" t="s">
        <v>684</v>
      </c>
      <c r="B89" s="9"/>
      <c r="C89" s="174" t="s">
        <v>685</v>
      </c>
      <c r="D89" s="174"/>
      <c r="E89" s="89" t="s">
        <v>367</v>
      </c>
      <c r="F89" s="93">
        <v>1</v>
      </c>
      <c r="G89" s="161">
        <v>170</v>
      </c>
      <c r="H89" s="160">
        <f t="shared" si="3"/>
        <v>170</v>
      </c>
    </row>
    <row r="90" spans="1:8">
      <c r="A90" s="111"/>
      <c r="B90" s="195"/>
      <c r="C90" s="319" t="s">
        <v>686</v>
      </c>
      <c r="D90" s="320"/>
      <c r="E90" s="320"/>
      <c r="F90" s="321"/>
      <c r="G90" s="186"/>
      <c r="H90" s="157">
        <f>SUM(H79:H89)</f>
        <v>6970</v>
      </c>
    </row>
    <row r="91" spans="1:8">
      <c r="A91" s="187" t="s">
        <v>687</v>
      </c>
      <c r="B91" s="188"/>
      <c r="C91" s="189" t="s">
        <v>688</v>
      </c>
      <c r="D91" s="190"/>
      <c r="E91" s="191"/>
      <c r="F91" s="192"/>
      <c r="G91" s="193"/>
      <c r="H91" s="194"/>
    </row>
    <row r="92" spans="1:8" ht="49.5">
      <c r="A92" s="67" t="s">
        <v>689</v>
      </c>
      <c r="B92" s="104"/>
      <c r="C92" s="196" t="s">
        <v>690</v>
      </c>
      <c r="D92" s="196"/>
      <c r="E92" s="175" t="s">
        <v>487</v>
      </c>
      <c r="F92" s="176">
        <v>200</v>
      </c>
      <c r="G92" s="161">
        <v>30</v>
      </c>
      <c r="H92" s="160">
        <f>F92*G92</f>
        <v>6000</v>
      </c>
    </row>
    <row r="93" spans="1:8" ht="49.5">
      <c r="A93" s="67" t="s">
        <v>691</v>
      </c>
      <c r="B93" s="104"/>
      <c r="C93" s="196" t="s">
        <v>692</v>
      </c>
      <c r="D93" s="196"/>
      <c r="E93" s="175" t="s">
        <v>487</v>
      </c>
      <c r="F93" s="176">
        <v>100</v>
      </c>
      <c r="G93" s="161">
        <v>10</v>
      </c>
      <c r="H93" s="160">
        <f t="shared" ref="H93:H99" si="4">F93*G93</f>
        <v>1000</v>
      </c>
    </row>
    <row r="94" spans="1:8" ht="49.5">
      <c r="A94" s="67" t="s">
        <v>693</v>
      </c>
      <c r="B94" s="104"/>
      <c r="C94" s="196" t="s">
        <v>694</v>
      </c>
      <c r="D94" s="196"/>
      <c r="E94" s="175" t="s">
        <v>487</v>
      </c>
      <c r="F94" s="176">
        <v>300</v>
      </c>
      <c r="G94" s="161">
        <v>10</v>
      </c>
      <c r="H94" s="160">
        <f t="shared" si="4"/>
        <v>3000</v>
      </c>
    </row>
    <row r="95" spans="1:8" ht="49.5">
      <c r="A95" s="67" t="s">
        <v>695</v>
      </c>
      <c r="B95" s="104"/>
      <c r="C95" s="196" t="s">
        <v>696</v>
      </c>
      <c r="D95" s="196"/>
      <c r="E95" s="175" t="s">
        <v>487</v>
      </c>
      <c r="F95" s="176">
        <v>300</v>
      </c>
      <c r="G95" s="161">
        <v>10</v>
      </c>
      <c r="H95" s="160">
        <f t="shared" si="4"/>
        <v>3000</v>
      </c>
    </row>
    <row r="96" spans="1:8" ht="49.5">
      <c r="A96" s="67" t="s">
        <v>697</v>
      </c>
      <c r="B96" s="104"/>
      <c r="C96" s="196" t="s">
        <v>698</v>
      </c>
      <c r="D96" s="196"/>
      <c r="E96" s="175" t="s">
        <v>487</v>
      </c>
      <c r="F96" s="176">
        <v>300</v>
      </c>
      <c r="G96" s="161">
        <v>10</v>
      </c>
      <c r="H96" s="160">
        <f t="shared" si="4"/>
        <v>3000</v>
      </c>
    </row>
    <row r="97" spans="1:12" ht="49.5">
      <c r="A97" s="67" t="s">
        <v>699</v>
      </c>
      <c r="B97" s="104"/>
      <c r="C97" s="196" t="s">
        <v>700</v>
      </c>
      <c r="D97" s="196"/>
      <c r="E97" s="175" t="s">
        <v>487</v>
      </c>
      <c r="F97" s="176">
        <v>300</v>
      </c>
      <c r="G97" s="161">
        <v>10</v>
      </c>
      <c r="H97" s="160">
        <f t="shared" si="4"/>
        <v>3000</v>
      </c>
    </row>
    <row r="98" spans="1:12" ht="37.5" customHeight="1">
      <c r="A98" s="67" t="s">
        <v>701</v>
      </c>
      <c r="B98" s="104"/>
      <c r="C98" s="196" t="s">
        <v>702</v>
      </c>
      <c r="D98" s="196"/>
      <c r="E98" s="175" t="s">
        <v>487</v>
      </c>
      <c r="F98" s="176">
        <v>30</v>
      </c>
      <c r="G98" s="161">
        <v>20</v>
      </c>
      <c r="H98" s="160">
        <f t="shared" si="4"/>
        <v>600</v>
      </c>
    </row>
    <row r="99" spans="1:12" ht="38.25" customHeight="1">
      <c r="A99" s="67" t="s">
        <v>703</v>
      </c>
      <c r="B99" s="104"/>
      <c r="C99" s="196" t="s">
        <v>704</v>
      </c>
      <c r="D99" s="196"/>
      <c r="E99" s="175" t="s">
        <v>487</v>
      </c>
      <c r="F99" s="176">
        <v>30</v>
      </c>
      <c r="G99" s="161">
        <v>30</v>
      </c>
      <c r="H99" s="160">
        <f t="shared" si="4"/>
        <v>900</v>
      </c>
    </row>
    <row r="100" spans="1:12" ht="20.25" customHeight="1">
      <c r="A100" s="67"/>
      <c r="B100" s="104"/>
      <c r="C100" s="319" t="s">
        <v>705</v>
      </c>
      <c r="D100" s="320"/>
      <c r="E100" s="320"/>
      <c r="F100" s="321"/>
      <c r="G100" s="161"/>
      <c r="H100" s="160">
        <f>SUM(H92:H99)</f>
        <v>20500</v>
      </c>
    </row>
    <row r="101" spans="1:12">
      <c r="A101" s="152" t="s">
        <v>706</v>
      </c>
      <c r="B101" s="58"/>
      <c r="C101" s="60" t="s">
        <v>506</v>
      </c>
      <c r="D101" s="61"/>
      <c r="E101" s="62"/>
      <c r="F101" s="63"/>
      <c r="G101" s="154"/>
      <c r="H101" s="50"/>
      <c r="I101" s="197"/>
      <c r="J101" s="197"/>
      <c r="K101" s="197"/>
      <c r="L101" s="197"/>
    </row>
    <row r="102" spans="1:12">
      <c r="A102" s="198" t="s">
        <v>707</v>
      </c>
      <c r="B102" s="138"/>
      <c r="C102" s="199" t="s">
        <v>708</v>
      </c>
      <c r="D102" s="200"/>
      <c r="E102" s="201" t="s">
        <v>367</v>
      </c>
      <c r="F102" s="72">
        <v>1</v>
      </c>
      <c r="G102" s="161">
        <v>8100</v>
      </c>
      <c r="H102" s="202">
        <f>F102*G102</f>
        <v>8100</v>
      </c>
    </row>
    <row r="103" spans="1:12">
      <c r="A103" s="198" t="s">
        <v>709</v>
      </c>
      <c r="B103" s="138"/>
      <c r="C103" s="203" t="s">
        <v>510</v>
      </c>
      <c r="D103" s="204"/>
      <c r="E103" s="201" t="s">
        <v>367</v>
      </c>
      <c r="F103" s="72">
        <v>1</v>
      </c>
      <c r="G103" s="161">
        <v>810</v>
      </c>
      <c r="H103" s="202">
        <f t="shared" ref="H103:H113" si="5">F103*G103</f>
        <v>810</v>
      </c>
    </row>
    <row r="104" spans="1:12">
      <c r="A104" s="198" t="s">
        <v>710</v>
      </c>
      <c r="B104" s="138"/>
      <c r="C104" s="203" t="s">
        <v>512</v>
      </c>
      <c r="D104" s="204"/>
      <c r="E104" s="201" t="s">
        <v>367</v>
      </c>
      <c r="F104" s="72">
        <v>1</v>
      </c>
      <c r="G104" s="161">
        <v>810</v>
      </c>
      <c r="H104" s="202">
        <f t="shared" si="5"/>
        <v>810</v>
      </c>
    </row>
    <row r="105" spans="1:12" ht="48">
      <c r="A105" s="198" t="s">
        <v>711</v>
      </c>
      <c r="B105" s="138"/>
      <c r="C105" s="205" t="s">
        <v>712</v>
      </c>
      <c r="D105" s="206"/>
      <c r="E105" s="201" t="s">
        <v>367</v>
      </c>
      <c r="F105" s="72">
        <v>1</v>
      </c>
      <c r="G105" s="161">
        <v>8100</v>
      </c>
      <c r="H105" s="202">
        <f t="shared" si="5"/>
        <v>8100</v>
      </c>
    </row>
    <row r="106" spans="1:12">
      <c r="A106" s="198" t="s">
        <v>713</v>
      </c>
      <c r="B106" s="138"/>
      <c r="C106" s="205" t="s">
        <v>714</v>
      </c>
      <c r="D106" s="206"/>
      <c r="E106" s="201" t="s">
        <v>367</v>
      </c>
      <c r="F106" s="72">
        <v>1</v>
      </c>
      <c r="G106" s="161">
        <v>1620</v>
      </c>
      <c r="H106" s="202">
        <f t="shared" si="5"/>
        <v>1620</v>
      </c>
    </row>
    <row r="107" spans="1:12" ht="72">
      <c r="A107" s="198" t="s">
        <v>715</v>
      </c>
      <c r="B107" s="138"/>
      <c r="C107" s="203" t="s">
        <v>716</v>
      </c>
      <c r="D107" s="204"/>
      <c r="E107" s="201" t="s">
        <v>367</v>
      </c>
      <c r="F107" s="72">
        <v>1</v>
      </c>
      <c r="G107" s="161">
        <v>1620</v>
      </c>
      <c r="H107" s="202">
        <f t="shared" si="5"/>
        <v>1620</v>
      </c>
    </row>
    <row r="108" spans="1:12">
      <c r="A108" s="198" t="s">
        <v>717</v>
      </c>
      <c r="B108" s="138"/>
      <c r="C108" s="203" t="s">
        <v>718</v>
      </c>
      <c r="D108" s="204"/>
      <c r="E108" s="201" t="s">
        <v>367</v>
      </c>
      <c r="F108" s="72">
        <v>1</v>
      </c>
      <c r="G108" s="161">
        <v>32400</v>
      </c>
      <c r="H108" s="202">
        <f t="shared" si="5"/>
        <v>32400</v>
      </c>
    </row>
    <row r="109" spans="1:12">
      <c r="A109" s="198" t="s">
        <v>719</v>
      </c>
      <c r="B109" s="138"/>
      <c r="C109" s="79" t="s">
        <v>528</v>
      </c>
      <c r="D109" s="185"/>
      <c r="E109" s="201" t="s">
        <v>367</v>
      </c>
      <c r="F109" s="72">
        <v>1</v>
      </c>
      <c r="G109" s="161">
        <v>3240</v>
      </c>
      <c r="H109" s="202">
        <f t="shared" si="5"/>
        <v>3240</v>
      </c>
    </row>
    <row r="110" spans="1:12">
      <c r="A110" s="207" t="s">
        <v>720</v>
      </c>
      <c r="B110" s="208"/>
      <c r="C110" s="85" t="s">
        <v>530</v>
      </c>
      <c r="D110" s="85"/>
      <c r="E110" s="209" t="s">
        <v>367</v>
      </c>
      <c r="F110" s="210">
        <v>1</v>
      </c>
      <c r="G110" s="211">
        <v>16200</v>
      </c>
      <c r="H110" s="212">
        <f t="shared" si="5"/>
        <v>16200</v>
      </c>
    </row>
    <row r="111" spans="1:12">
      <c r="A111" s="198" t="s">
        <v>721</v>
      </c>
      <c r="B111" s="138"/>
      <c r="C111" s="79" t="s">
        <v>532</v>
      </c>
      <c r="D111" s="185"/>
      <c r="E111" s="201" t="s">
        <v>367</v>
      </c>
      <c r="F111" s="72">
        <v>1</v>
      </c>
      <c r="G111" s="161">
        <v>1620</v>
      </c>
      <c r="H111" s="202">
        <f t="shared" si="5"/>
        <v>1620</v>
      </c>
    </row>
    <row r="112" spans="1:12">
      <c r="A112" s="198" t="s">
        <v>722</v>
      </c>
      <c r="B112" s="138"/>
      <c r="C112" s="213" t="s">
        <v>534</v>
      </c>
      <c r="D112" s="214"/>
      <c r="E112" s="215" t="s">
        <v>723</v>
      </c>
      <c r="F112" s="216">
        <v>1</v>
      </c>
      <c r="G112" s="161">
        <v>16200</v>
      </c>
      <c r="H112" s="202">
        <f t="shared" si="5"/>
        <v>16200</v>
      </c>
    </row>
    <row r="113" spans="1:8">
      <c r="A113" s="198" t="s">
        <v>724</v>
      </c>
      <c r="B113" s="138"/>
      <c r="C113" s="213" t="s">
        <v>725</v>
      </c>
      <c r="D113" s="214"/>
      <c r="E113" s="215" t="s">
        <v>367</v>
      </c>
      <c r="F113" s="216">
        <v>1</v>
      </c>
      <c r="G113" s="161">
        <v>16200</v>
      </c>
      <c r="H113" s="202">
        <f t="shared" si="5"/>
        <v>16200</v>
      </c>
    </row>
    <row r="114" spans="1:8">
      <c r="A114" s="198"/>
      <c r="B114" s="138"/>
      <c r="C114" s="319" t="s">
        <v>726</v>
      </c>
      <c r="D114" s="320"/>
      <c r="E114" s="320"/>
      <c r="F114" s="321"/>
      <c r="G114" s="161"/>
      <c r="H114" s="202">
        <f>SUM(H102:H113)</f>
        <v>106920</v>
      </c>
    </row>
    <row r="115" spans="1:8" ht="16.5" customHeight="1" thickBot="1">
      <c r="A115" s="217"/>
      <c r="B115" s="218"/>
      <c r="C115" s="218"/>
      <c r="D115" s="218"/>
      <c r="E115" s="218"/>
      <c r="F115" s="218"/>
      <c r="G115" s="219" t="s">
        <v>536</v>
      </c>
      <c r="H115" s="220">
        <f>H114+H100+H90+H77+H65+H21</f>
        <v>180920</v>
      </c>
    </row>
    <row r="116" spans="1:8">
      <c r="F116" s="221"/>
      <c r="G116" s="222"/>
    </row>
    <row r="117" spans="1:8">
      <c r="F117" s="221"/>
      <c r="G117" s="222"/>
    </row>
    <row r="118" spans="1:8">
      <c r="F118" s="224"/>
      <c r="G118" s="225"/>
    </row>
    <row r="119" spans="1:8">
      <c r="F119" s="221"/>
      <c r="G119" s="222"/>
    </row>
    <row r="120" spans="1:8">
      <c r="F120" s="221"/>
      <c r="G120" s="222"/>
    </row>
    <row r="121" spans="1:8">
      <c r="F121" s="221"/>
      <c r="G121" s="226"/>
    </row>
    <row r="122" spans="1:8">
      <c r="F122" s="224"/>
      <c r="G122" s="227"/>
      <c r="H122" s="227"/>
    </row>
    <row r="123" spans="1:8">
      <c r="F123" s="228"/>
      <c r="G123" s="229"/>
      <c r="H123" s="225"/>
    </row>
    <row r="124" spans="1:8">
      <c r="F124" s="228"/>
      <c r="G124" s="229"/>
      <c r="H124" s="225"/>
    </row>
    <row r="125" spans="1:8" ht="15.75">
      <c r="F125" s="230"/>
      <c r="G125" s="230"/>
      <c r="H125" s="231"/>
    </row>
    <row r="126" spans="1:8">
      <c r="F126" s="232"/>
      <c r="G126" s="232"/>
      <c r="H126" s="232"/>
    </row>
    <row r="127" spans="1:8">
      <c r="F127" s="233"/>
      <c r="G127" s="234"/>
      <c r="H127" s="227"/>
    </row>
    <row r="128" spans="1:8">
      <c r="F128" s="233"/>
      <c r="G128" s="235"/>
      <c r="H128" s="227"/>
    </row>
    <row r="129" spans="6:8" ht="15.75">
      <c r="F129" s="230"/>
      <c r="G129" s="236"/>
      <c r="H129" s="237"/>
    </row>
    <row r="130" spans="6:8" ht="15.75">
      <c r="F130" s="230"/>
      <c r="G130" s="236"/>
      <c r="H130" s="238"/>
    </row>
    <row r="131" spans="6:8">
      <c r="G131"/>
      <c r="H131" s="34"/>
    </row>
  </sheetData>
  <protectedRanges>
    <protectedRange sqref="D23:D63 D73" name="Raspon2"/>
    <protectedRange sqref="D67:D72 D74:D75" name="Raspon4"/>
    <protectedRange sqref="D79:D89" name="Raspon5"/>
    <protectedRange sqref="D92:D99" name="Raspon6"/>
    <protectedRange sqref="D12:D19" name="Raspon1"/>
    <protectedRange sqref="G12:H115" name="Raspon7"/>
  </protectedRanges>
  <mergeCells count="16">
    <mergeCell ref="C114:F114"/>
    <mergeCell ref="A1:H1"/>
    <mergeCell ref="A3:C3"/>
    <mergeCell ref="A4:C4"/>
    <mergeCell ref="A6:H6"/>
    <mergeCell ref="A12:A13"/>
    <mergeCell ref="B12:B13"/>
    <mergeCell ref="E12:E13"/>
    <mergeCell ref="F12:F13"/>
    <mergeCell ref="G12:G13"/>
    <mergeCell ref="H12:H13"/>
    <mergeCell ref="C21:F21"/>
    <mergeCell ref="C65:F65"/>
    <mergeCell ref="C77:F77"/>
    <mergeCell ref="C90:F90"/>
    <mergeCell ref="C100:F100"/>
  </mergeCells>
  <pageMargins left="0.7" right="0.7" top="0.75" bottom="0.75" header="0.3" footer="0.3"/>
  <pageSetup paperSize="8" scale="95" orientation="portrait" r:id="rId1"/>
  <headerFooter>
    <oddHeader>&amp;RJAVNO</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cb99a263-0cc5-412a-ad04-307615702435" xsi:nil="true"/>
    <lcf76f155ced4ddcb4097134ff3c332f xmlns="a486d5e1-3a6b-439a-b9ea-fc051f5e5ab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kument" ma:contentTypeID="0x01010056770EA2D3243A4E871C258C6397ABCA" ma:contentTypeVersion="16" ma:contentTypeDescription="Stvaranje novog dokumenta." ma:contentTypeScope="" ma:versionID="1f70dd421eaced105b84c6f21802dadb">
  <xsd:schema xmlns:xsd="http://www.w3.org/2001/XMLSchema" xmlns:xs="http://www.w3.org/2001/XMLSchema" xmlns:p="http://schemas.microsoft.com/office/2006/metadata/properties" xmlns:ns2="cb99a263-0cc5-412a-ad04-307615702435" xmlns:ns3="a486d5e1-3a6b-439a-b9ea-fc051f5e5abb" targetNamespace="http://schemas.microsoft.com/office/2006/metadata/properties" ma:root="true" ma:fieldsID="8bb49020e3ff27458e9c0ff97c86a345" ns2:_="" ns3:_="">
    <xsd:import namespace="cb99a263-0cc5-412a-ad04-307615702435"/>
    <xsd:import namespace="a486d5e1-3a6b-439a-b9ea-fc051f5e5ab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ServiceObjectDetectorVersions" minOccurs="0"/>
                <xsd:element ref="ns3:MediaLengthInSecond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99a263-0cc5-412a-ad04-307615702435" elementFormDefault="qualified">
    <xsd:import namespace="http://schemas.microsoft.com/office/2006/documentManagement/types"/>
    <xsd:import namespace="http://schemas.microsoft.com/office/infopath/2007/PartnerControls"/>
    <xsd:element name="SharedWithUsers" ma:index="8" nillable="true" ma:displayName="Zajednički se koristi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ji o zajedničkom korištenju" ma:internalName="SharedWithDetails" ma:readOnly="true">
      <xsd:simpleType>
        <xsd:restriction base="dms:Note">
          <xsd:maxLength value="255"/>
        </xsd:restriction>
      </xsd:simpleType>
    </xsd:element>
    <xsd:element name="TaxCatchAll" ma:index="14" nillable="true" ma:displayName="Taxonomy Catch All Column" ma:hidden="true" ma:list="{9370db87-2c73-48f3-ac19-a91cfe41422e}" ma:internalName="TaxCatchAll" ma:showField="CatchAllData" ma:web="cb99a263-0cc5-412a-ad04-30761570243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486d5e1-3a6b-439a-b9ea-fc051f5e5ab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Oznake slika" ma:readOnly="false" ma:fieldId="{5cf76f15-5ced-4ddc-b409-7134ff3c332f}" ma:taxonomyMulti="true" ma:sspId="ba2cfd72-6e19-40fc-b474-3fa01fc7979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685B3D-A21C-4F46-B1E3-5F4E57DE48EF}">
  <ds:schemaRefs>
    <ds:schemaRef ds:uri="http://schemas.microsoft.com/DataMashup"/>
  </ds:schemaRefs>
</ds:datastoreItem>
</file>

<file path=customXml/itemProps2.xml><?xml version="1.0" encoding="utf-8"?>
<ds:datastoreItem xmlns:ds="http://schemas.openxmlformats.org/officeDocument/2006/customXml" ds:itemID="{4194A03B-52E1-43AD-BD33-DFD27C6643B2}">
  <ds:schemaRefs>
    <ds:schemaRef ds:uri="http://schemas.microsoft.com/office/2006/metadata/properties"/>
    <ds:schemaRef ds:uri="http://schemas.microsoft.com/office/infopath/2007/PartnerControls"/>
    <ds:schemaRef ds:uri="cb99a263-0cc5-412a-ad04-307615702435"/>
    <ds:schemaRef ds:uri="a486d5e1-3a6b-439a-b9ea-fc051f5e5abb"/>
  </ds:schemaRefs>
</ds:datastoreItem>
</file>

<file path=customXml/itemProps3.xml><?xml version="1.0" encoding="utf-8"?>
<ds:datastoreItem xmlns:ds="http://schemas.openxmlformats.org/officeDocument/2006/customXml" ds:itemID="{D24FD9F4-22C0-48AF-B58A-FBB105B014E9}">
  <ds:schemaRefs>
    <ds:schemaRef ds:uri="http://schemas.microsoft.com/sharepoint/v3/contenttype/forms"/>
  </ds:schemaRefs>
</ds:datastoreItem>
</file>

<file path=customXml/itemProps4.xml><?xml version="1.0" encoding="utf-8"?>
<ds:datastoreItem xmlns:ds="http://schemas.openxmlformats.org/officeDocument/2006/customXml" ds:itemID="{49540C61-42DE-441F-99EC-FC1CAD6BA2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99a263-0cc5-412a-ad04-307615702435"/>
    <ds:schemaRef ds:uri="a486d5e1-3a6b-439a-b9ea-fc051f5e5a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 BJP12 - specifikacija</vt:lpstr>
      <vt:lpstr>Motors &amp; sensors list</vt:lpstr>
      <vt:lpstr>lampice i tipkala</vt:lpstr>
      <vt:lpstr>+Y BJP14 - lista izvoda - PK</vt:lpstr>
      <vt:lpstr>revision list</vt:lpstr>
      <vt:lpstr>+Y CDP01 - simbol lista - PK</vt:lpstr>
      <vt:lpstr>+Y CDP01 - lista izvoda - PK</vt:lpstr>
      <vt:lpstr>Specifikacija opreme</vt:lpstr>
      <vt:lpstr>Specifikacija opreme - HEP-v2</vt:lpstr>
      <vt:lpstr>Specifikacija i oznake kabela</vt:lpstr>
      <vt:lpstr>Upute za projektiranje</vt:lpstr>
      <vt:lpstr>E6-1</vt:lpstr>
      <vt:lpstr>E12.3-1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dc:creator>
  <cp:lastModifiedBy>Borko Dimitrijević</cp:lastModifiedBy>
  <dcterms:created xsi:type="dcterms:W3CDTF">2015-06-05T18:17:20Z</dcterms:created>
  <dcterms:modified xsi:type="dcterms:W3CDTF">2026-08-13T11:22:28Z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0x01010056770EA2D3243A4E871C258C6397ABCA</vt:lpwstr>
  </property>
  <property fmtid="{D5CDD505-2E9C-101B-9397-08002B2CF9AE}" pid="3" name="MediaServiceImageTags">
    <vt:lpwstr/>
  </property>
</Properties>
</file>