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dojak\Brodotehna\Fran zadaci\Senj\"/>
    </mc:Choice>
  </mc:AlternateContent>
  <xr:revisionPtr revIDLastSave="0" documentId="13_ncr:1_{3CFE53F2-713B-4BE7-A424-6E071FD0EC9C}" xr6:coauthVersionLast="47" xr6:coauthVersionMax="47" xr10:uidLastSave="{00000000-0000-0000-0000-000000000000}"/>
  <bookViews>
    <workbookView xWindow="-76920" yWindow="-1485" windowWidth="38640" windowHeight="21840" activeTab="1" xr2:uid="{00000000-000D-0000-FFFF-FFFF00000000}"/>
  </bookViews>
  <sheets>
    <sheet name="+Y CDP01 - lista izvoda" sheetId="9" r:id="rId1"/>
    <sheet name="+Y CDP01 - simbol lista" sheetId="1" r:id="rId2"/>
    <sheet name="+Y BJP12 - lista izvoda" sheetId="2" r:id="rId3"/>
    <sheet name="+Y BJP14 - lista izvod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5  Page 2   3_1f55d95d-4d60-4da8-a6e3-ffdd3f6d5d7d" name="Table005  Page 2   3" connection="Query - Table005 (Page 2) (3)"/>
          <x15:modelTable id="Table007  Page 3_417d852f-14a2-4e4d-8a20-11e621ec27c7" name="Table007  Page 3" connection="Query - Table007 (Page 3)"/>
          <x15:modelTable id="Table009  Page 4_2ccbcca8-c21b-4330-b2f5-9440d52ec189" name="Table009  Page 4" connection="Query - Table009 (Page 4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H2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B86153-1A18-4EBF-9F50-3A5AAFED014E}" keepAlive="1" name="Query - Table005 (Page 2)" description="Connection to the 'Table005 (Page 2)' query in the workbook." type="5" refreshedVersion="0" background="1">
    <dbPr connection="Provider=Microsoft.Mashup.OleDb.1;Data Source=$Workbook$;Location=&quot;Table005 (Page 2)&quot;;Extended Properties=&quot;&quot;" command="SELECT * FROM [Table005 (Page 2)]"/>
  </connection>
  <connection id="2" xr16:uid="{B96A7669-7BD5-42F1-9115-56B8A7049D24}" keepAlive="1" name="Query - Table005 (Page 2) (2)" description="Connection to the 'Table005 (Page 2) (2)' query in the workbook." type="5" refreshedVersion="0" background="1">
    <dbPr connection="Provider=Microsoft.Mashup.OleDb.1;Data Source=$Workbook$;Location=&quot;Table005 (Page 2) (2)&quot;;Extended Properties=&quot;&quot;" command="SELECT * FROM [Table005 (Page 2) (2)]"/>
  </connection>
  <connection id="3" xr16:uid="{3A8F36B6-35DE-4DC1-A17A-1B5D7223070A}" name="Query - Table005 (Page 2) (3)" description="Connection to the 'Table005 (Page 2) (3)' query in the workbook." type="100" refreshedVersion="8" minRefreshableVersion="5">
    <extLst>
      <ext xmlns:x15="http://schemas.microsoft.com/office/spreadsheetml/2010/11/main" uri="{DE250136-89BD-433C-8126-D09CA5730AF9}">
        <x15:connection id="daf2ff18-ce17-4695-a330-d5fa1605f453"/>
      </ext>
    </extLst>
  </connection>
  <connection id="4" xr16:uid="{70455044-7CB0-4B26-B366-D8EF3766CB0B}" name="Query - Table007 (Page 3)" description="Connection to the 'Table007 (Page 3)' query in the workbook." type="100" refreshedVersion="8" minRefreshableVersion="5">
    <extLst>
      <ext xmlns:x15="http://schemas.microsoft.com/office/spreadsheetml/2010/11/main" uri="{DE250136-89BD-433C-8126-D09CA5730AF9}">
        <x15:connection id="6fccd27c-66d5-43e9-9526-0b1c39dd7c52"/>
      </ext>
    </extLst>
  </connection>
  <connection id="5" xr16:uid="{87AD5EDF-99C5-42F0-B364-224BE48B7AF6}" name="Query - Table009 (Page 4)" description="Connection to the 'Table009 (Page 4)' query in the workbook." type="100" refreshedVersion="8" minRefreshableVersion="5">
    <extLst>
      <ext xmlns:x15="http://schemas.microsoft.com/office/spreadsheetml/2010/11/main" uri="{DE250136-89BD-433C-8126-D09CA5730AF9}">
        <x15:connection id="0879833a-2f16-460d-b6c8-c27fd6bb5def"/>
      </ext>
    </extLst>
  </connection>
  <connection id="6" xr16:uid="{56546B08-FFE1-4FFA-9744-77B54F51AD3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<sst xmlns="http://schemas.openxmlformats.org/spreadsheetml/2006/main" count="499" uniqueCount="360">
  <si>
    <t>Opis</t>
  </si>
  <si>
    <t>Adresa</t>
  </si>
  <si>
    <t>I0.0</t>
  </si>
  <si>
    <t>I0.1</t>
  </si>
  <si>
    <t>I0.2</t>
  </si>
  <si>
    <t>I0.3</t>
  </si>
  <si>
    <t>I0.4</t>
  </si>
  <si>
    <t>I0.5</t>
  </si>
  <si>
    <t>I0.6</t>
  </si>
  <si>
    <t>I0.7</t>
  </si>
  <si>
    <t>I1.0</t>
  </si>
  <si>
    <t>I1.1</t>
  </si>
  <si>
    <t>I1.2</t>
  </si>
  <si>
    <t>I1.3</t>
  </si>
  <si>
    <t>I1.4</t>
  </si>
  <si>
    <t>I1.5</t>
  </si>
  <si>
    <t>I1.6</t>
  </si>
  <si>
    <t>I1.7</t>
  </si>
  <si>
    <t>I2.0</t>
  </si>
  <si>
    <t>I2.1</t>
  </si>
  <si>
    <t>I2.2</t>
  </si>
  <si>
    <t>I2.3</t>
  </si>
  <si>
    <t>I2.4</t>
  </si>
  <si>
    <t>I2.5</t>
  </si>
  <si>
    <t>I2.6</t>
  </si>
  <si>
    <t>I2.7</t>
  </si>
  <si>
    <t>I3.0</t>
  </si>
  <si>
    <t>I3.1</t>
  </si>
  <si>
    <t>I3.2</t>
  </si>
  <si>
    <t>I3.3</t>
  </si>
  <si>
    <t>I3.4</t>
  </si>
  <si>
    <t>Komentar</t>
  </si>
  <si>
    <t>DEVICE TAG</t>
  </si>
  <si>
    <t>FUNCTION TEXT</t>
  </si>
  <si>
    <t>NO. OF POLES</t>
  </si>
  <si>
    <t>RATED CURRENT, TRIP CURVE</t>
  </si>
  <si>
    <t>CONNECTED DEVICE</t>
  </si>
  <si>
    <t>COMMENTS</t>
  </si>
  <si>
    <t>3P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</si>
  <si>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</si>
  <si>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</si>
  <si>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</si>
  <si>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</si>
  <si>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</si>
  <si>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</si>
  <si>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</si>
  <si>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</si>
  <si>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</si>
  <si>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Q0.0</t>
  </si>
  <si>
    <t>Q0.1</t>
  </si>
  <si>
    <t>Q0.2</t>
  </si>
  <si>
    <t>Q0.3</t>
  </si>
  <si>
    <t>Q0.4</t>
  </si>
  <si>
    <t>Q0.5</t>
  </si>
  <si>
    <t>Q0.6</t>
  </si>
  <si>
    <t>Q0.7</t>
  </si>
  <si>
    <t>Q1.0</t>
  </si>
  <si>
    <t>Q1.1</t>
  </si>
  <si>
    <t>Q1.2</t>
  </si>
  <si>
    <t>Q1.3</t>
  </si>
  <si>
    <t>Q1.4</t>
  </si>
  <si>
    <t>Q1.5</t>
  </si>
  <si>
    <t>Q1.6</t>
  </si>
  <si>
    <t>Q1.7</t>
  </si>
  <si>
    <t>Q2.0</t>
  </si>
  <si>
    <t>Q2.1</t>
  </si>
  <si>
    <t>Q2.2</t>
  </si>
  <si>
    <t>Q2.3</t>
  </si>
  <si>
    <t>Q2.4</t>
  </si>
  <si>
    <t>Q2.5</t>
  </si>
  <si>
    <t>Q2.6</t>
  </si>
  <si>
    <t>Q2.7</t>
  </si>
  <si>
    <t>Q3.0</t>
  </si>
  <si>
    <t>Q3.1</t>
  </si>
  <si>
    <t>Q3.2</t>
  </si>
  <si>
    <t>Q3.3</t>
  </si>
  <si>
    <t>Q3.4</t>
  </si>
  <si>
    <t>Q3.5</t>
  </si>
  <si>
    <t>Q3.6</t>
  </si>
  <si>
    <t>Q3.7</t>
  </si>
  <si>
    <t>IW40</t>
  </si>
  <si>
    <t>IW42</t>
  </si>
  <si>
    <t>IW44</t>
  </si>
  <si>
    <t>IW46</t>
  </si>
  <si>
    <t>IW48</t>
  </si>
  <si>
    <t>IW50</t>
  </si>
  <si>
    <t>IW52</t>
  </si>
  <si>
    <t>IW54</t>
  </si>
  <si>
    <t>IW80</t>
  </si>
  <si>
    <t>IW82</t>
  </si>
  <si>
    <t>IW84</t>
  </si>
  <si>
    <t>IW86</t>
  </si>
  <si>
    <t>IW88</t>
  </si>
  <si>
    <t>IW90</t>
  </si>
  <si>
    <t>IW92</t>
  </si>
  <si>
    <t>IW94</t>
  </si>
  <si>
    <t>IW96</t>
  </si>
  <si>
    <t>IW98</t>
  </si>
  <si>
    <t>IW100</t>
  </si>
  <si>
    <t>IW102</t>
  </si>
  <si>
    <t>IW104</t>
  </si>
  <si>
    <t>IW106</t>
  </si>
  <si>
    <t>IW108</t>
  </si>
  <si>
    <t>IW110</t>
  </si>
  <si>
    <t>I3.5</t>
  </si>
  <si>
    <t>I3.6</t>
  </si>
  <si>
    <t>I3.7</t>
  </si>
  <si>
    <t>I4.0</t>
  </si>
  <si>
    <t>I4.1</t>
  </si>
  <si>
    <t>I4.2</t>
  </si>
  <si>
    <t>I4.3</t>
  </si>
  <si>
    <t>I4.4.</t>
  </si>
  <si>
    <t>I4.5</t>
  </si>
  <si>
    <t>I4.6</t>
  </si>
  <si>
    <t>I4.7</t>
  </si>
  <si>
    <t>I5.0</t>
  </si>
  <si>
    <t>I5.1</t>
  </si>
  <si>
    <t>I5.2</t>
  </si>
  <si>
    <t>I5.3</t>
  </si>
  <si>
    <t>I5.4</t>
  </si>
  <si>
    <t>I5.5</t>
  </si>
  <si>
    <t>I5.6</t>
  </si>
  <si>
    <t>I5.7</t>
  </si>
  <si>
    <t>I6.0</t>
  </si>
  <si>
    <t>I6.1</t>
  </si>
  <si>
    <t>I6.2</t>
  </si>
  <si>
    <t>I6.3</t>
  </si>
  <si>
    <t>I6.4</t>
  </si>
  <si>
    <t>I6.5</t>
  </si>
  <si>
    <t>I6.6</t>
  </si>
  <si>
    <t>I6.7</t>
  </si>
  <si>
    <t>I7.0</t>
  </si>
  <si>
    <t>I7.1</t>
  </si>
  <si>
    <t>I7.2</t>
  </si>
  <si>
    <t>I7.3</t>
  </si>
  <si>
    <t>I7.4</t>
  </si>
  <si>
    <t>I7.5</t>
  </si>
  <si>
    <t>I7.6</t>
  </si>
  <si>
    <t>I7.7</t>
  </si>
  <si>
    <t>I8.0</t>
  </si>
  <si>
    <t>I8.1</t>
  </si>
  <si>
    <t>I8.2</t>
  </si>
  <si>
    <t>I8.3</t>
  </si>
  <si>
    <t>I8.4</t>
  </si>
  <si>
    <t>I8.5</t>
  </si>
  <si>
    <t>I8.6</t>
  </si>
  <si>
    <t>I8.7</t>
  </si>
  <si>
    <t>I9.0</t>
  </si>
  <si>
    <t>I9.1</t>
  </si>
  <si>
    <t>I9.2</t>
  </si>
  <si>
    <t>I9.3</t>
  </si>
  <si>
    <t>I9.4</t>
  </si>
  <si>
    <t>I9.5</t>
  </si>
  <si>
    <t>I9.6</t>
  </si>
  <si>
    <t>I9.7</t>
  </si>
  <si>
    <t>BAZEN RASHLADNE VODE - PLOVNA SKLOPKA - MINIMALNA RAZINA</t>
  </si>
  <si>
    <t>BAZEN RASHLADNE VODE - PLOVNA SKLOPKA - UKLJUČENJE CRPKE 1</t>
  </si>
  <si>
    <t>BAZEN RASHLADNE VODE - PLOVNA SKLOPKA - UKLJUČENJE CRPKE 2</t>
  </si>
  <si>
    <t>VENTIL NA OTCJEPU S TLAČNOG CJEVOVODA - UPRAVLJANJE RUČNO</t>
  </si>
  <si>
    <t>VENTIL NA OTCJEPU S TLAČNOG CJEVOVODA - UPRAVLJANJE AUTOMATSKI</t>
  </si>
  <si>
    <t>VENTIL NA OTCJEPU S TLAČNOG CJEVOVODA - UPRAVLJANJE OMOGUĆENO</t>
  </si>
  <si>
    <t>VENTIL NA OTCJEPU S TLAČNOG CJEVOVODA - OTVOREN</t>
  </si>
  <si>
    <t>VENTIL NA OTCJEPU S TLAČNOG CJEVOVODA - ZATVOREN</t>
  </si>
  <si>
    <t>VENTIL NA OTCJEPU S TLAČNOG CJEVOVODA - KVAR</t>
  </si>
  <si>
    <t>REGULACIJSKI VENTIL POMOĆNOG SUSTAVA OPSKRBE RASHLADNOM VODOM - UPRAVLJANJE RUČNO</t>
  </si>
  <si>
    <t>REGULACIJSKI VENTIL POMOĆNOG SUSTAVA OPSKRBE RASHLADNOM VODOM - UPRAVLJANJE AUTOMATSKI</t>
  </si>
  <si>
    <t>REGULACIJSKI VENTIL POMOĆNOG SUSTAVA OPSKRBE RASHLADNOM VODOM - UPRAVLJANJE OMOGUĆENO</t>
  </si>
  <si>
    <t>REGULACIJSKI VENTIL POMOĆNOG SUSTAVA OPSKRBE RASHLADNOM VODOM - OTVOREN</t>
  </si>
  <si>
    <t>REGULACIJSKI VENTIL POMOĆNOG SUSTAVA OPSKRBE RASHLADNOM VODOM - ZATVOREN</t>
  </si>
  <si>
    <t>REGULACIJSKI VENTIL POMOĆNOG SUSTAVA OPSKRBE RASHLADNOM VODOM - KVAR</t>
  </si>
  <si>
    <t>FILTAR NA ULAZU U RASHLADNI BAZEN - KVAR</t>
  </si>
  <si>
    <t>FILTAR NA CJEVOVODU PREMA SUSTAV KLIMATIZACIJE - KVAR</t>
  </si>
  <si>
    <t>FILTAR NA GRAVITACIJSKOM CJEVOVODU - KVAR</t>
  </si>
  <si>
    <t>PODRAZVOD +Y BJP14 - DOVOD 1 S PVP - UKLJUČEN</t>
  </si>
  <si>
    <t>PODRAZVOD +Y BJP14 - DOVOD 1 S PVP - ISKLJUČEN</t>
  </si>
  <si>
    <t>PODRAZVOD +Y BJP14 - DOVOD 2 S PVP - UKLJUČEN</t>
  </si>
  <si>
    <t>PODRAZVOD +Y BJP14 - DOVOD 2 S PVP - ISKLJUČEN</t>
  </si>
  <si>
    <t>PODRAZVOD +Y BJP14 - KVAR PRENAPONSKE ZAŠTITE</t>
  </si>
  <si>
    <t>PODRAZVOD +Y BJP14 - NESTANAK NAPONA NA SABIRNICAMA</t>
  </si>
  <si>
    <t>PODRAZVOD +Y BJP14 - NAPON NA SABIRNICAMA PRISUTAN</t>
  </si>
  <si>
    <t>PODRAZVOD +Y BJP14 - PRORADA ZAŠTITE</t>
  </si>
  <si>
    <t>PODRAZVOD +Y BJP14 - ISPAD PREKIDAČA</t>
  </si>
  <si>
    <t>PRIČUVA</t>
  </si>
  <si>
    <t>CRPNI AGREGAT BR. 1 - UPRAVLJANJE LOKALNO</t>
  </si>
  <si>
    <t>CRPNI AGREGAT BR. 1 - UPRAVLJANJE AUTOMATSKI</t>
  </si>
  <si>
    <t>CRPNI AGREGAT BR. 1 - TEMPERATURA UPOZORENJE</t>
  </si>
  <si>
    <t>CRPNI AGREGAT BR. 1 - TEMPERATURA ISKLOP</t>
  </si>
  <si>
    <t>CRPNI AGREGAT BR. 1 - UKLJUČEN</t>
  </si>
  <si>
    <t>CRPNI AGREGAT BR. 1 - KVAR</t>
  </si>
  <si>
    <t>CRPNI AGREGAT BR. 1 - ISPAD</t>
  </si>
  <si>
    <t>CRPNI AGREGAT BR. 1 - ISKLOP U NUŽDI</t>
  </si>
  <si>
    <t>CRPNI AGREGAT BR. 2 - UPRAVLJANJE LOKALNO</t>
  </si>
  <si>
    <t>CRPNI AGREGAT BR. 2 - UPRAVLJANJE AUTOMATSKI</t>
  </si>
  <si>
    <t>CRPNI AGREGAT BR. 2 - TEMPERATURA UPOZORENJE</t>
  </si>
  <si>
    <t>CRPNI AGREGAT BR. 2 - TEMPERATURA ISKLOP</t>
  </si>
  <si>
    <t>CRPNI AGREGAT BR. 2 - UKLJUČEN</t>
  </si>
  <si>
    <t>CRPNI AGREGAT BR. 2 - KVAR</t>
  </si>
  <si>
    <t>CRPNI AGREGAT BR. 2 - ISPAD</t>
  </si>
  <si>
    <t>CRPNI AGREGAT BR. 2 - ISKLOP U NUŽDI</t>
  </si>
  <si>
    <t>CRPNI AGREGAT BR. 3 - UPRAVLJANJE LOKALNO</t>
  </si>
  <si>
    <t>CRPNI AGREGAT BR. 3 - UPRAVLJANJE AUTOMATSKI</t>
  </si>
  <si>
    <t>CRPNI AGREGAT BR. 3 - TEMPERATURA UPOZORENJE</t>
  </si>
  <si>
    <t>CRPNI AGREGAT BR. 3 - TEMPERATURA ISKLOP</t>
  </si>
  <si>
    <t>CRPNI AGREGAT BR. 3 - UKLJUČEN</t>
  </si>
  <si>
    <t>CRPNI AGREGAT BR. 3 - KVAR</t>
  </si>
  <si>
    <t>CRPNI AGREGAT BR. 3 - ISPAD</t>
  </si>
  <si>
    <t>CRPNI AGREGAT BR. 3 - ISKLOP U NUŽDI</t>
  </si>
  <si>
    <t/>
  </si>
  <si>
    <t>CRPNI AGREGAT BR. 1 - UKLJUČENJE</t>
  </si>
  <si>
    <t>CRPNI AGREGAT BR. 1 - ISKLJUČENJE</t>
  </si>
  <si>
    <t>CRPNI AGREGAT BR. 1 - UVJETI ZA RAD ISPUNJENI</t>
  </si>
  <si>
    <t>CRPNI AGREGAT BR. 2 - UKLJUČENJE</t>
  </si>
  <si>
    <t>CRPNI AGREGAT BR. 2 - ISKLJUČENJE</t>
  </si>
  <si>
    <t>CRPNI AGREGAT BR. 2 - UVJETI ZA RAD ISPUNJENI</t>
  </si>
  <si>
    <t>CRPNI AGREGAT BR. 3 - UKLJUČENJE</t>
  </si>
  <si>
    <t>CRPNI AGREGAT BR. 3 - ISKLJUČENJE</t>
  </si>
  <si>
    <t>CRPNI AGREGAT BR. 3 - UVJETI ZA RAD ISPUNJENI</t>
  </si>
  <si>
    <t>VENTIL NA OTCJEPU S TLAČNOG CJEVOVODA - UKLJUČENJE</t>
  </si>
  <si>
    <t>VENTIL NA OTCJEPU S TLAČNOG CJEVOVODA - ISKLJUČENJE</t>
  </si>
  <si>
    <t>VENTIL NA OTCJEPU S TLAČNOG CJEVOVODA - STOP</t>
  </si>
  <si>
    <t>REGULACIJSKI VENTIL POMOĆNOG SUSTAVA OPSKRBE RASHLADNOM VODOM - UKLJUČENJE</t>
  </si>
  <si>
    <t>REGULACIJSKI VENTIL POMOĆNOG SUSTAVA OPSKRBE RASHLADNOM VODOM - ISKLJUČENJE</t>
  </si>
  <si>
    <t>REGULACIJSKI VENTIL POMOĆNOG SUSTAVA OPSKRBE RASHLADNOM VODOM - STOP</t>
  </si>
  <si>
    <t>ODVODNI TUNEL AGREGATA A - PREVISOKA RAZINA SALINITETA</t>
  </si>
  <si>
    <t>ODVODNI TUNEL AGREGATA B - PREVISOKA RAZINA SALINITETA</t>
  </si>
  <si>
    <t>ODVODNI TUNEL AGREGATA C - PREVISOKA RAZINA SALINITETA</t>
  </si>
  <si>
    <t>CRPNI AGREGAT BR. 1 - STRUJA ELEKTROMOTORA</t>
  </si>
  <si>
    <t>CRPNI AGREGAT BR. 2 - STRUJA ELEKTROMOTORA</t>
  </si>
  <si>
    <t>CRPNI AGREGAT BR. 3 - STRUJA ELEKTROMOTORA</t>
  </si>
  <si>
    <t>BAZEN RASHLADNE VODE - RAZINA VODE</t>
  </si>
  <si>
    <t>DONJA VODA - VODLJIVOST VODE</t>
  </si>
  <si>
    <t>REGULACIJSKI VENTIL POMOĆNOG SUSTAVA OPSKRBE RASHLADNOM VODOM - POLOŽAJ</t>
  </si>
  <si>
    <t>CRPNI AGREGAT BR. 1 - TEMPERATURA NAMOTAJA L1</t>
  </si>
  <si>
    <t>CRPNI AGREGAT BR. 1 - TEMPERATURA NAMOTAJA L2</t>
  </si>
  <si>
    <t>CRPNI AGREGAT BR. 1 - TEMPERATURA NAMOTAJA L3</t>
  </si>
  <si>
    <t>CRPNI AGREGAT BR. 1 - TEMPERATURA LEŽAJA D</t>
  </si>
  <si>
    <t>CRPNI AGREGAT BR. 1 - TEMPERATURA LEŽAJA ND</t>
  </si>
  <si>
    <t>CRPNI AGREGAT BR. 2 - TEMPERATURA NAMOTAJA L1</t>
  </si>
  <si>
    <t>CRPNI AGREGAT BR. 2 - TEMPERATURA NAMOTAJA L2</t>
  </si>
  <si>
    <t>CRPNI AGREGAT BR. 2 - TEMPERATURA NAMOTAJA L3</t>
  </si>
  <si>
    <t>CRPNI AGREGAT BR. 2 - TEMPERATURA LEŽAJA D</t>
  </si>
  <si>
    <t>CRPNI AGREGAT BR. 2 - TEMPERATURA LEŽAJA ND</t>
  </si>
  <si>
    <t>CRPNI AGREGAT BR. 3 - TEMPERATURA NAMOTAJA L1</t>
  </si>
  <si>
    <t>CRPNI AGREGAT BR. 3 - TEMPERATURA NAMOTAJA L2</t>
  </si>
  <si>
    <t>CRPNI AGREGAT BR. 3 - TEMPERATURA NAMOTAJA L3</t>
  </si>
  <si>
    <t>CRPNI AGREGAT BR. 3 - TEMPERATURA LEŽAJA D</t>
  </si>
  <si>
    <t>CRPNI AGREGAT BR. 3 - TEMPERATURA LEŽAJA ND</t>
  </si>
  <si>
    <t>S41</t>
  </si>
  <si>
    <t>DOVOD SERVISNOG NAPONA</t>
  </si>
  <si>
    <t>25A, 30mA</t>
  </si>
  <si>
    <t>Iz troškovnika</t>
  </si>
  <si>
    <t>Prijedlog</t>
  </si>
  <si>
    <t>A9R61225
A9A26929</t>
  </si>
  <si>
    <t>A9F94106
A9A26929</t>
  </si>
  <si>
    <t>U troškovnicu RCCB, predložiti RCBO, također MCB-ovi imaju OF+SD - to provjeriti u teh specifikacijama</t>
  </si>
  <si>
    <t>6A/C</t>
  </si>
  <si>
    <t>PRIKLJUČNICA U ORMARU</t>
  </si>
  <si>
    <t>GRIJANJE I RASVJETA ORMARA</t>
  </si>
  <si>
    <t>Maknuti MCB-ove i staviti sve pod jednu FID-ovku, provjeriti za to u teh spec</t>
  </si>
  <si>
    <t>230 VAC</t>
  </si>
  <si>
    <t>220 VDC</t>
  </si>
  <si>
    <t>S101</t>
  </si>
  <si>
    <t>S102</t>
  </si>
  <si>
    <t>100 A</t>
  </si>
  <si>
    <t>C103100S
29450</t>
  </si>
  <si>
    <t>NSX100NA + C/O</t>
  </si>
  <si>
    <t>Predložiti Siemens sklopnu opremu?</t>
  </si>
  <si>
    <t>F101</t>
  </si>
  <si>
    <t>F102</t>
  </si>
  <si>
    <t>F103</t>
  </si>
  <si>
    <t>F104</t>
  </si>
  <si>
    <t>F105</t>
  </si>
  <si>
    <t>F106</t>
  </si>
  <si>
    <t>DC/DC PRETVARAČ</t>
  </si>
  <si>
    <t>DOVOD ISTOSMJERNOG NAPONA 220V</t>
  </si>
  <si>
    <t>ODVOJNI RELEJI</t>
  </si>
  <si>
    <t>ODVOJNI RELEJI ORMARIĆ MJERENJA RASHLADNOG BAZENA</t>
  </si>
  <si>
    <t>NADZOR NAPONA</t>
  </si>
  <si>
    <t>24 VDC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</si>
  <si>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</si>
  <si>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</si>
  <si>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</si>
  <si>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</si>
  <si>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</si>
  <si>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</si>
  <si>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</si>
  <si>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</si>
  <si>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</si>
  <si>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</si>
  <si>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</si>
  <si>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</si>
  <si>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</si>
  <si>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</si>
  <si>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</si>
  <si>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</si>
  <si>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KOMUNIKACIJSKA OPREMA</t>
  </si>
  <si>
    <t>OPERATORSKI PANEL</t>
  </si>
  <si>
    <t>CPU</t>
  </si>
  <si>
    <t>DIGITALNI ULAZI</t>
  </si>
  <si>
    <t>DIGITALNI IZLAZI</t>
  </si>
  <si>
    <t>ANALOGNI ULAZI</t>
  </si>
  <si>
    <t>GALVANSKA ODVAJANJA</t>
  </si>
  <si>
    <t>ECB</t>
  </si>
  <si>
    <t>LOKALNA SIGNALIZACIJA</t>
  </si>
  <si>
    <t>LOKALNA SIGNALIZACIJA U ORMARU +Y BJP14</t>
  </si>
  <si>
    <t>HIDOSTATSKI MJERAČ RAZINE BAZENA RASHLADNE VODE</t>
  </si>
  <si>
    <t>MJERAČ SALINITETA U ODVODNOM TUNELU AGREGATA A</t>
  </si>
  <si>
    <t>MJERAČ SALINITETA U ODVODNOM TUNELU AGREGATA B</t>
  </si>
  <si>
    <t>MJERAČ SALINITETA U ODVODNOM TUNELU AGREGATA C</t>
  </si>
  <si>
    <t>Uzeti dva CBMC EG4 24DC/1-8A NO - Electronic circuit breaker</t>
  </si>
  <si>
    <t>DOVOD IZMJENIČNOG NAPONA S PVP SEKCIJA 1</t>
  </si>
  <si>
    <t>DOVOD IZMJENIČNOG NAPONA S PVP SEKCIJA 2</t>
  </si>
  <si>
    <t>S1.1</t>
  </si>
  <si>
    <t>S1.2</t>
  </si>
  <si>
    <t>100A</t>
  </si>
  <si>
    <t>PRENAPONSKA ZAŠTITA</t>
  </si>
  <si>
    <t>63A/C</t>
  </si>
  <si>
    <t>TROŠKOVNIK</t>
  </si>
  <si>
    <t>PRIJEDLOG</t>
  </si>
  <si>
    <t>4A/C</t>
  </si>
  <si>
    <t>REGULACIJSKI VENTIL POMOĆNOG SUSTAVA OPKSRBE RASHLADNOM VODOM NAPAJANJE</t>
  </si>
  <si>
    <t>1…1,6A</t>
  </si>
  <si>
    <t>DOVODNI VENTIL NA OTCJEPU TLAČNOG CJEVOVODA NAPAJANJE</t>
  </si>
  <si>
    <t>DOVODNI VENTIL GLAVNOG SUSTAVA OPSKRBE RASHLADNOM VODOM NAPAJANJE</t>
  </si>
  <si>
    <t>2A/C</t>
  </si>
  <si>
    <t>F10</t>
  </si>
  <si>
    <t>F11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</si>
  <si>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</si>
  <si>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</si>
  <si>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</si>
  <si>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</si>
  <si>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</si>
  <si>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</si>
  <si>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</si>
  <si>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</si>
  <si>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</si>
  <si>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F61</t>
  </si>
  <si>
    <t>FILTAR VODE NA ULAZU U RASHLADNI BAZEN (500 μM) NAPAJANJE</t>
  </si>
  <si>
    <t>FILTAR VODE NA ULAZU U RASHLADNI BAZEN (200 μM) NAPAJANJE</t>
  </si>
  <si>
    <t>FILTAR VODE NA GRAVITACIJSKOM CJEV. NAPAJANJE</t>
  </si>
  <si>
    <t>FILTAR VODE ZA SUSTAV KLIMATIZACIJE NAPAJANJE</t>
  </si>
  <si>
    <t>10A/C</t>
  </si>
  <si>
    <t>1P</t>
  </si>
  <si>
    <t>1P+N</t>
  </si>
  <si>
    <t>UPRAVLJAČKI NAPON DOVODNOG VENTILA GLAVNOG SUSTAVA RASHLADE</t>
  </si>
  <si>
    <t>UPRAVLJAČKI NAPON DOVODNOG VENTILA POMOĆNOG SUSTAVA RASHLADE</t>
  </si>
  <si>
    <t>UPRAVLJAČKI NAPON REGULACIJSKOG VENTILA</t>
  </si>
  <si>
    <t>ORMARIĆ MJERENJA RAZINE VODE U RASHLADNOM BAZENU</t>
  </si>
  <si>
    <t>SERVISNI NAPON ZA LPJ RASHLADE</t>
  </si>
  <si>
    <t>PREMA BJP14 GH001 ŠTO JE ISTO MOJ SCOPE</t>
  </si>
  <si>
    <t>PREMA YCDP01</t>
  </si>
  <si>
    <t>SERVISNI NAPON ZA LPJ DRENAŽE</t>
  </si>
  <si>
    <t>NAPAJANJE GRIJANJA, RASVJETE I SERVISNE PRIKLJUČNICE ORMARA</t>
  </si>
  <si>
    <t>10A/C, 30mA</t>
  </si>
  <si>
    <t>Trenutno je specificiran gotov ormar s frekvencijskim pretvaračem ATV Process 680</t>
  </si>
  <si>
    <t>ATV680C13Q4X1</t>
  </si>
  <si>
    <t>DI</t>
  </si>
  <si>
    <t>DO</t>
  </si>
  <si>
    <t>AI</t>
  </si>
  <si>
    <t>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</si>
</sst>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0" borderId="1" xfId="0" applyNumberFormat="1" applyBorder="1" applyAlignment="1">
      <alignment wrapText="1"/>
    </xf>
    <xf numFmtId="1" fontId="4" fillId="0" borderId="1" xfId="0" applyNumberFormat="1" applyFont="1" applyBorder="1" applyAlignment="1">
      <alignment horizontal="left"/>
    </xf>
    <xf numFmtId="49" fontId="0" fillId="0" borderId="1" xfId="0" applyNumberFormat="1" applyBorder="1"/>
    <xf numFmtId="49" fontId="0" fillId="0" borderId="1" xfId="0" applyNumberFormat="1" applyBorder="1" applyAlignment="1">
      <alignment horizontal="left"/>
    </xf>
    <xf numFmtId="49" fontId="5" fillId="0" borderId="1" xfId="1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5" fillId="0" borderId="1" xfId="1" applyNumberFormat="1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4" xfId="0" applyFill="1" applyBorder="1"/>
    <xf numFmtId="0" fontId="0" fillId="3" borderId="5" xfId="0" applyFill="1" applyBorder="1"/>
    <xf numFmtId="0" fontId="0" fillId="4" borderId="1" xfId="0" applyFill="1" applyBorder="1"/>
    <xf numFmtId="0" fontId="2" fillId="3" borderId="3" xfId="0" applyFont="1" applyFill="1" applyBorder="1"/>
    <xf numFmtId="0" fontId="2" fillId="0" borderId="2" xfId="0" applyFont="1" applyBorder="1"/>
    <xf numFmtId="0" fontId="0" fillId="4" borderId="1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7" xfId="0" applyFill="1" applyBorder="1" applyAlignment="1">
      <alignment wrapText="1"/>
    </xf>
    <xf numFmtId="0" fontId="0" fillId="3" borderId="7" xfId="0" applyFill="1" applyBorder="1"/>
    <xf numFmtId="0" fontId="0" fillId="3" borderId="8" xfId="0" applyFill="1" applyBorder="1"/>
    <xf numFmtId="0" fontId="2" fillId="3" borderId="9" xfId="0" applyFont="1" applyFill="1" applyBorder="1"/>
    <xf numFmtId="0" fontId="0" fillId="0" borderId="6" xfId="0" applyBorder="1"/>
    <xf numFmtId="0" fontId="3" fillId="0" borderId="1" xfId="0" applyFont="1" applyBorder="1"/>
    <xf numFmtId="1" fontId="0" fillId="0" borderId="1" xfId="0" applyNumberForma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F427-5943-4875-9772-AAA2825C435C}">
  <dimension ref="A1:H32"/>
  <sheetViews>
    <sheetView topLeftCell="A6" workbookViewId="0">
      <selection activeCell="D8" sqref="D8"/>
    </sheetView>
  </sheetViews>
  <sheetFormatPr defaultRowHeight="14.4" x14ac:dyDescent="0.3"/>
  <cols>
    <col min="1" max="1" width="11.33203125" bestFit="1" customWidth="1"/>
    <col min="2" max="2" width="36.33203125" style="19" bestFit="1" customWidth="1"/>
    <col min="3" max="3" width="13.33203125" bestFit="1" customWidth="1"/>
    <col min="4" max="4" width="27" bestFit="1" customWidth="1"/>
    <col min="5" max="5" width="33.109375" bestFit="1" customWidth="1"/>
    <col min="6" max="6" width="33.109375" customWidth="1"/>
    <col min="7" max="7" width="100.6640625" customWidth="1"/>
    <col min="8" max="8" width="34.33203125" bestFit="1" customWidth="1"/>
  </cols>
  <sheetData>
    <row r="1" spans="1:8" x14ac:dyDescent="0.3">
      <c r="A1" s="14" t="s">
        <v>32</v>
      </c>
      <c r="B1" s="17" t="s">
        <v>33</v>
      </c>
      <c r="C1" s="14" t="s">
        <v>34</v>
      </c>
      <c r="D1" s="14" t="s">
        <v>35</v>
      </c>
      <c r="E1" s="14" t="s">
        <v>250</v>
      </c>
      <c r="F1" s="14" t="s">
        <v>251</v>
      </c>
      <c r="G1" s="14" t="s">
        <v>37</v>
      </c>
    </row>
    <row r="2" spans="1:8" x14ac:dyDescent="0.3">
      <c r="A2" s="15" t="s">
        <v>259</v>
      </c>
      <c r="B2" s="18"/>
      <c r="C2" s="12"/>
      <c r="D2" s="12"/>
      <c r="E2" s="12"/>
      <c r="F2" s="12"/>
      <c r="G2" s="13"/>
    </row>
    <row r="3" spans="1:8" ht="28.8" x14ac:dyDescent="0.3">
      <c r="A3" s="10" t="s">
        <v>247</v>
      </c>
      <c r="B3" s="11" t="s">
        <v>248</v>
      </c>
      <c r="C3" s="10">
        <v>2</v>
      </c>
      <c r="D3" s="10" t="s">
        <v>249</v>
      </c>
      <c r="E3" s="11" t="s">
        <v>252</v>
      </c>
      <c r="F3" s="10"/>
      <c r="G3" s="10" t="s">
        <v>254</v>
      </c>
      <c r="H3" s="16" t="s">
        <v>266</v>
      </c>
    </row>
    <row r="4" spans="1:8" ht="28.8" x14ac:dyDescent="0.3">
      <c r="A4" s="10" t="s">
        <v>39</v>
      </c>
      <c r="B4" s="11" t="s">
        <v>256</v>
      </c>
      <c r="C4" s="10">
        <v>1</v>
      </c>
      <c r="D4" s="10" t="s">
        <v>255</v>
      </c>
      <c r="E4" s="11" t="s">
        <v>253</v>
      </c>
      <c r="F4" s="10"/>
      <c r="G4" s="10" t="s">
        <v>258</v>
      </c>
    </row>
    <row r="5" spans="1:8" ht="28.8" x14ac:dyDescent="0.3">
      <c r="A5" s="10" t="s">
        <v>40</v>
      </c>
      <c r="B5" s="11" t="s">
        <v>257</v>
      </c>
      <c r="C5" s="10">
        <v>1</v>
      </c>
      <c r="D5" s="10" t="s">
        <v>255</v>
      </c>
      <c r="E5" s="11" t="s">
        <v>253</v>
      </c>
      <c r="F5" s="10"/>
      <c r="G5" s="10" t="s">
        <v>258</v>
      </c>
    </row>
    <row r="6" spans="1:8" ht="28.8" x14ac:dyDescent="0.3">
      <c r="A6" s="10" t="s">
        <v>41</v>
      </c>
      <c r="B6" s="11" t="s">
        <v>182</v>
      </c>
      <c r="C6" s="10">
        <v>1</v>
      </c>
      <c r="D6" s="10" t="s">
        <v>255</v>
      </c>
      <c r="E6" s="11" t="s">
        <v>253</v>
      </c>
      <c r="F6" s="10"/>
      <c r="G6" s="10" t="s">
        <v>258</v>
      </c>
    </row>
    <row r="7" spans="1:8" x14ac:dyDescent="0.3">
      <c r="A7" s="15" t="s">
        <v>260</v>
      </c>
      <c r="B7" s="18"/>
      <c r="C7" s="12"/>
      <c r="D7" s="12"/>
      <c r="E7" s="12"/>
      <c r="F7" s="12"/>
      <c r="G7" s="13"/>
    </row>
    <row r="8" spans="1:8" ht="28.8" x14ac:dyDescent="0.3">
      <c r="A8" s="10" t="s">
        <v>261</v>
      </c>
      <c r="B8" s="11" t="s">
        <v>274</v>
      </c>
      <c r="C8" s="10">
        <v>2</v>
      </c>
      <c r="D8" s="10" t="s">
        <v>263</v>
      </c>
      <c r="E8" s="11" t="s">
        <v>264</v>
      </c>
      <c r="F8" s="10"/>
      <c r="G8" s="10" t="s">
        <v>265</v>
      </c>
    </row>
    <row r="9" spans="1:8" ht="28.8" x14ac:dyDescent="0.3">
      <c r="A9" s="10" t="s">
        <v>262</v>
      </c>
      <c r="B9" s="11" t="s">
        <v>274</v>
      </c>
      <c r="C9" s="10">
        <v>2</v>
      </c>
      <c r="D9" s="10" t="s">
        <v>263</v>
      </c>
      <c r="E9" s="11" t="s">
        <v>264</v>
      </c>
      <c r="F9" s="10"/>
      <c r="G9" s="10" t="s">
        <v>265</v>
      </c>
    </row>
    <row r="10" spans="1:8" x14ac:dyDescent="0.3">
      <c r="A10" s="10" t="s">
        <v>267</v>
      </c>
      <c r="B10" s="11" t="s">
        <v>273</v>
      </c>
      <c r="C10" s="10">
        <v>2</v>
      </c>
      <c r="D10" s="10" t="s">
        <v>255</v>
      </c>
      <c r="E10" s="10"/>
      <c r="F10" s="10"/>
      <c r="G10" s="10"/>
    </row>
    <row r="11" spans="1:8" x14ac:dyDescent="0.3">
      <c r="A11" s="10" t="s">
        <v>268</v>
      </c>
      <c r="B11" s="11" t="s">
        <v>273</v>
      </c>
      <c r="C11" s="10">
        <v>2</v>
      </c>
      <c r="D11" s="10" t="s">
        <v>255</v>
      </c>
      <c r="E11" s="10"/>
      <c r="F11" s="10"/>
      <c r="G11" s="10"/>
    </row>
    <row r="12" spans="1:8" x14ac:dyDescent="0.3">
      <c r="A12" s="10" t="s">
        <v>269</v>
      </c>
      <c r="B12" s="11" t="s">
        <v>275</v>
      </c>
      <c r="C12" s="10">
        <v>2</v>
      </c>
      <c r="D12" s="10" t="s">
        <v>255</v>
      </c>
      <c r="E12" s="10"/>
      <c r="F12" s="10"/>
      <c r="G12" s="10"/>
    </row>
    <row r="13" spans="1:8" ht="28.8" x14ac:dyDescent="0.3">
      <c r="A13" s="10" t="s">
        <v>270</v>
      </c>
      <c r="B13" s="11" t="s">
        <v>276</v>
      </c>
      <c r="C13" s="10">
        <v>2</v>
      </c>
      <c r="D13" s="10" t="s">
        <v>255</v>
      </c>
      <c r="E13" s="10"/>
      <c r="F13" s="10"/>
      <c r="G13" s="10"/>
    </row>
    <row r="14" spans="1:8" x14ac:dyDescent="0.3">
      <c r="A14" s="10" t="s">
        <v>271</v>
      </c>
      <c r="B14" s="11" t="s">
        <v>182</v>
      </c>
      <c r="C14" s="10">
        <v>2</v>
      </c>
      <c r="D14" s="10" t="s">
        <v>255</v>
      </c>
      <c r="E14" s="10"/>
      <c r="F14" s="10"/>
      <c r="G14" s="10"/>
    </row>
    <row r="15" spans="1:8" x14ac:dyDescent="0.3">
      <c r="A15" s="10" t="s">
        <v>272</v>
      </c>
      <c r="B15" s="11" t="s">
        <v>277</v>
      </c>
      <c r="C15" s="10">
        <v>2</v>
      </c>
      <c r="D15" s="10" t="s">
        <v>255</v>
      </c>
      <c r="E15" s="10"/>
      <c r="F15" s="10"/>
      <c r="G15" s="10"/>
    </row>
    <row r="16" spans="1:8" x14ac:dyDescent="0.3">
      <c r="A16" s="23" t="s">
        <v>278</v>
      </c>
      <c r="B16" s="20"/>
      <c r="C16" s="21"/>
      <c r="D16" s="21"/>
      <c r="E16" s="21"/>
      <c r="F16" s="21"/>
      <c r="G16" s="22"/>
    </row>
    <row r="17" spans="1:7" x14ac:dyDescent="0.3">
      <c r="A17" s="10" t="s">
        <v>279</v>
      </c>
      <c r="B17" s="11" t="s">
        <v>295</v>
      </c>
      <c r="C17" s="10">
        <v>1</v>
      </c>
      <c r="D17" s="10" t="s">
        <v>302</v>
      </c>
      <c r="E17" s="10"/>
      <c r="F17" s="10"/>
      <c r="G17" s="10" t="s">
        <v>309</v>
      </c>
    </row>
    <row r="18" spans="1:7" x14ac:dyDescent="0.3">
      <c r="A18" s="10" t="s">
        <v>280</v>
      </c>
      <c r="B18" s="11" t="s">
        <v>296</v>
      </c>
      <c r="C18" s="10">
        <v>1</v>
      </c>
      <c r="D18" s="10" t="s">
        <v>302</v>
      </c>
      <c r="E18" s="10"/>
      <c r="F18" s="10"/>
      <c r="G18" s="10"/>
    </row>
    <row r="19" spans="1:7" x14ac:dyDescent="0.3">
      <c r="A19" s="10" t="s">
        <v>281</v>
      </c>
      <c r="B19" s="11" t="s">
        <v>297</v>
      </c>
      <c r="C19" s="10">
        <v>1</v>
      </c>
      <c r="D19" s="10" t="s">
        <v>302</v>
      </c>
      <c r="E19" s="10"/>
      <c r="F19" s="10"/>
      <c r="G19" s="10"/>
    </row>
    <row r="20" spans="1:7" x14ac:dyDescent="0.3">
      <c r="A20" s="10" t="s">
        <v>282</v>
      </c>
      <c r="B20" s="11" t="s">
        <v>298</v>
      </c>
      <c r="C20" s="10">
        <v>1</v>
      </c>
      <c r="D20" s="10" t="s">
        <v>302</v>
      </c>
      <c r="E20" s="10"/>
      <c r="F20" s="10"/>
      <c r="G20" s="10"/>
    </row>
    <row r="21" spans="1:7" x14ac:dyDescent="0.3">
      <c r="A21" s="10" t="s">
        <v>283</v>
      </c>
      <c r="B21" s="11" t="s">
        <v>299</v>
      </c>
      <c r="C21" s="10">
        <v>1</v>
      </c>
      <c r="D21" s="10" t="s">
        <v>302</v>
      </c>
      <c r="E21" s="10"/>
      <c r="F21" s="10"/>
      <c r="G21" s="10"/>
    </row>
    <row r="22" spans="1:7" x14ac:dyDescent="0.3">
      <c r="A22" s="10" t="s">
        <v>284</v>
      </c>
      <c r="B22" s="11" t="s">
        <v>300</v>
      </c>
      <c r="C22" s="10">
        <v>1</v>
      </c>
      <c r="D22" s="10" t="s">
        <v>302</v>
      </c>
      <c r="E22" s="10"/>
      <c r="F22" s="10"/>
      <c r="G22" s="10"/>
    </row>
    <row r="23" spans="1:7" x14ac:dyDescent="0.3">
      <c r="A23" s="10" t="s">
        <v>285</v>
      </c>
      <c r="B23" s="11" t="s">
        <v>301</v>
      </c>
      <c r="C23" s="10">
        <v>1</v>
      </c>
      <c r="D23" s="10" t="s">
        <v>302</v>
      </c>
      <c r="E23" s="10"/>
      <c r="F23" s="10"/>
      <c r="G23" s="10"/>
    </row>
    <row r="24" spans="1:7" x14ac:dyDescent="0.3">
      <c r="A24" s="10" t="s">
        <v>286</v>
      </c>
      <c r="B24" s="11" t="s">
        <v>303</v>
      </c>
      <c r="C24" s="10">
        <v>1</v>
      </c>
      <c r="D24" s="10" t="s">
        <v>302</v>
      </c>
      <c r="E24" s="10"/>
      <c r="F24" s="10"/>
      <c r="G24" s="10"/>
    </row>
    <row r="25" spans="1:7" ht="28.8" x14ac:dyDescent="0.3">
      <c r="A25" s="10" t="s">
        <v>287</v>
      </c>
      <c r="B25" s="11" t="s">
        <v>304</v>
      </c>
      <c r="C25" s="10">
        <v>1</v>
      </c>
      <c r="D25" s="10" t="s">
        <v>302</v>
      </c>
      <c r="E25" s="10"/>
      <c r="F25" s="10"/>
      <c r="G25" s="10"/>
    </row>
    <row r="26" spans="1:7" ht="28.8" x14ac:dyDescent="0.3">
      <c r="A26" s="10" t="s">
        <v>288</v>
      </c>
      <c r="B26" s="11" t="s">
        <v>305</v>
      </c>
      <c r="C26" s="10">
        <v>1</v>
      </c>
      <c r="D26" s="10" t="s">
        <v>302</v>
      </c>
      <c r="E26" s="10"/>
      <c r="F26" s="10"/>
      <c r="G26" s="10"/>
    </row>
    <row r="27" spans="1:7" ht="28.8" x14ac:dyDescent="0.3">
      <c r="A27" s="10" t="s">
        <v>289</v>
      </c>
      <c r="B27" s="11" t="s">
        <v>306</v>
      </c>
      <c r="C27" s="10">
        <v>1</v>
      </c>
      <c r="D27" s="10" t="s">
        <v>302</v>
      </c>
      <c r="E27" s="10"/>
      <c r="F27" s="10"/>
      <c r="G27" s="10"/>
    </row>
    <row r="28" spans="1:7" ht="28.8" x14ac:dyDescent="0.3">
      <c r="A28" s="10" t="s">
        <v>290</v>
      </c>
      <c r="B28" s="11" t="s">
        <v>307</v>
      </c>
      <c r="C28" s="10">
        <v>1</v>
      </c>
      <c r="D28" s="10" t="s">
        <v>302</v>
      </c>
      <c r="E28" s="10"/>
      <c r="F28" s="10"/>
      <c r="G28" s="10"/>
    </row>
    <row r="29" spans="1:7" ht="28.8" x14ac:dyDescent="0.3">
      <c r="A29" s="10" t="s">
        <v>291</v>
      </c>
      <c r="B29" s="11" t="s">
        <v>308</v>
      </c>
      <c r="C29" s="10">
        <v>1</v>
      </c>
      <c r="D29" s="10" t="s">
        <v>302</v>
      </c>
      <c r="E29" s="10"/>
      <c r="F29" s="10"/>
      <c r="G29" s="10"/>
    </row>
    <row r="30" spans="1:7" x14ac:dyDescent="0.3">
      <c r="A30" s="10" t="s">
        <v>292</v>
      </c>
      <c r="B30" s="11" t="s">
        <v>182</v>
      </c>
      <c r="C30" s="10">
        <v>1</v>
      </c>
      <c r="D30" s="10" t="s">
        <v>302</v>
      </c>
      <c r="E30" s="10"/>
      <c r="F30" s="10"/>
      <c r="G30" s="10"/>
    </row>
    <row r="31" spans="1:7" x14ac:dyDescent="0.3">
      <c r="A31" s="10" t="s">
        <v>293</v>
      </c>
      <c r="B31" s="11" t="s">
        <v>182</v>
      </c>
      <c r="C31" s="10">
        <v>1</v>
      </c>
      <c r="D31" s="10" t="s">
        <v>302</v>
      </c>
      <c r="E31" s="10"/>
      <c r="F31" s="10"/>
      <c r="G31" s="10"/>
    </row>
    <row r="32" spans="1:7" x14ac:dyDescent="0.3">
      <c r="A32" s="10" t="s">
        <v>294</v>
      </c>
      <c r="B32" s="11" t="s">
        <v>182</v>
      </c>
      <c r="C32" s="10">
        <v>1</v>
      </c>
      <c r="D32" s="10" t="s">
        <v>302</v>
      </c>
      <c r="E32" s="10"/>
      <c r="F32" s="10"/>
      <c r="G32" s="10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0"/>
  <sheetViews>
    <sheetView tabSelected="1" workbookViewId="0">
      <selection activeCell="J4" sqref="J4"/>
    </sheetView>
  </sheetViews>
  <sheetFormatPr defaultRowHeight="14.4" x14ac:dyDescent="0.3"/>
  <cols>
    <col min="1" max="1" width="95.33203125" customWidth="1"/>
    <col min="2" max="2" width="16.109375" customWidth="1"/>
    <col min="3" max="3" width="97.88671875" customWidth="1"/>
  </cols>
  <sheetData>
    <row r="1" spans="1:9" x14ac:dyDescent="0.3">
      <c r="A1" s="1" t="s">
        <v>0</v>
      </c>
      <c r="B1" s="2" t="s">
        <v>1</v>
      </c>
      <c r="C1" s="2" t="s">
        <v>31</v>
      </c>
      <c r="F1" s="25" t="s">
        <v>356</v>
      </c>
      <c r="G1" s="25" t="s">
        <v>357</v>
      </c>
      <c r="H1" s="25" t="s">
        <v>358</v>
      </c>
      <c r="I1" s="25" t="s">
        <v>359</v>
      </c>
    </row>
    <row r="2" spans="1:9" x14ac:dyDescent="0.3">
      <c r="A2" s="3" t="s">
        <v>155</v>
      </c>
      <c r="B2" s="4" t="s">
        <v>2</v>
      </c>
      <c r="C2" s="10"/>
      <c r="F2" s="26">
        <f>COUNTIF(B2:B140, "I*") - COUNTIF(B2:B140, "IW*")</f>
        <v>80</v>
      </c>
      <c r="G2" s="26">
        <f>COUNTIF(B2:B140, "Q*") - COUNTIF(B2:B140, "QW*")</f>
        <v>32</v>
      </c>
      <c r="H2" s="10">
        <f>COUNTIF(B2:B140, "IW*")</f>
        <v>24</v>
      </c>
      <c r="I2" s="10">
        <f>COUNTIF(B2:B140, "QW*")</f>
        <v>0</v>
      </c>
    </row>
    <row r="3" spans="1:9" x14ac:dyDescent="0.3">
      <c r="A3" s="3" t="s">
        <v>156</v>
      </c>
      <c r="B3" s="4" t="s">
        <v>3</v>
      </c>
      <c r="C3" s="10"/>
    </row>
    <row r="4" spans="1:9" x14ac:dyDescent="0.3">
      <c r="A4" s="5" t="s">
        <v>157</v>
      </c>
      <c r="B4" s="4" t="s">
        <v>4</v>
      </c>
      <c r="C4" s="10"/>
    </row>
    <row r="5" spans="1:9" x14ac:dyDescent="0.3">
      <c r="A5" s="6" t="s">
        <v>158</v>
      </c>
      <c r="B5" s="4" t="s">
        <v>5</v>
      </c>
      <c r="C5" s="10"/>
    </row>
    <row r="6" spans="1:9" x14ac:dyDescent="0.3">
      <c r="A6" s="3" t="s">
        <v>159</v>
      </c>
      <c r="B6" s="4" t="s">
        <v>6</v>
      </c>
      <c r="C6" s="10"/>
    </row>
    <row r="7" spans="1:9" x14ac:dyDescent="0.3">
      <c r="A7" s="3" t="s">
        <v>160</v>
      </c>
      <c r="B7" s="4" t="s">
        <v>7</v>
      </c>
      <c r="C7" s="10"/>
    </row>
    <row r="8" spans="1:9" x14ac:dyDescent="0.3">
      <c r="A8" s="7" t="s">
        <v>161</v>
      </c>
      <c r="B8" s="4" t="s">
        <v>8</v>
      </c>
      <c r="C8" s="10"/>
    </row>
    <row r="9" spans="1:9" x14ac:dyDescent="0.3">
      <c r="A9" s="3" t="s">
        <v>162</v>
      </c>
      <c r="B9" s="4" t="s">
        <v>9</v>
      </c>
      <c r="C9" s="10"/>
    </row>
    <row r="10" spans="1:9" x14ac:dyDescent="0.3">
      <c r="A10" s="3" t="s">
        <v>163</v>
      </c>
      <c r="B10" s="4" t="s">
        <v>10</v>
      </c>
      <c r="C10" s="10"/>
    </row>
    <row r="11" spans="1:9" x14ac:dyDescent="0.3">
      <c r="A11" s="3" t="s">
        <v>164</v>
      </c>
      <c r="B11" s="4" t="s">
        <v>11</v>
      </c>
      <c r="C11" s="10"/>
    </row>
    <row r="12" spans="1:9" x14ac:dyDescent="0.3">
      <c r="A12" s="5" t="s">
        <v>165</v>
      </c>
      <c r="B12" s="4" t="s">
        <v>12</v>
      </c>
      <c r="C12" s="10"/>
    </row>
    <row r="13" spans="1:9" x14ac:dyDescent="0.3">
      <c r="A13" s="8" t="s">
        <v>166</v>
      </c>
      <c r="B13" s="4" t="s">
        <v>13</v>
      </c>
      <c r="C13" s="10"/>
    </row>
    <row r="14" spans="1:9" x14ac:dyDescent="0.3">
      <c r="A14" s="3" t="s">
        <v>167</v>
      </c>
      <c r="B14" s="4" t="s">
        <v>14</v>
      </c>
      <c r="C14" s="10"/>
    </row>
    <row r="15" spans="1:9" x14ac:dyDescent="0.3">
      <c r="A15" s="6" t="s">
        <v>168</v>
      </c>
      <c r="B15" s="4" t="s">
        <v>15</v>
      </c>
      <c r="C15" s="10"/>
    </row>
    <row r="16" spans="1:9" x14ac:dyDescent="0.3">
      <c r="A16" s="6" t="s">
        <v>169</v>
      </c>
      <c r="B16" s="4" t="s">
        <v>16</v>
      </c>
      <c r="C16" s="10"/>
    </row>
    <row r="17" spans="1:3" x14ac:dyDescent="0.3">
      <c r="A17" s="5" t="s">
        <v>170</v>
      </c>
      <c r="B17" s="4" t="s">
        <v>17</v>
      </c>
      <c r="C17" s="10"/>
    </row>
    <row r="18" spans="1:3" x14ac:dyDescent="0.3">
      <c r="A18" s="5" t="s">
        <v>171</v>
      </c>
      <c r="B18" s="4" t="s">
        <v>18</v>
      </c>
      <c r="C18" s="10"/>
    </row>
    <row r="19" spans="1:3" x14ac:dyDescent="0.3">
      <c r="A19" s="5" t="s">
        <v>172</v>
      </c>
      <c r="B19" s="4" t="s">
        <v>19</v>
      </c>
      <c r="C19" s="10"/>
    </row>
    <row r="20" spans="1:3" x14ac:dyDescent="0.3">
      <c r="A20" s="5" t="s">
        <v>173</v>
      </c>
      <c r="B20" s="4" t="s">
        <v>20</v>
      </c>
      <c r="C20" s="10"/>
    </row>
    <row r="21" spans="1:3" x14ac:dyDescent="0.3">
      <c r="A21" s="5" t="s">
        <v>174</v>
      </c>
      <c r="B21" s="4" t="s">
        <v>21</v>
      </c>
      <c r="C21" s="10"/>
    </row>
    <row r="22" spans="1:3" x14ac:dyDescent="0.3">
      <c r="A22" s="5" t="s">
        <v>175</v>
      </c>
      <c r="B22" s="4" t="s">
        <v>22</v>
      </c>
      <c r="C22" s="10"/>
    </row>
    <row r="23" spans="1:3" x14ac:dyDescent="0.3">
      <c r="A23" s="5" t="s">
        <v>176</v>
      </c>
      <c r="B23" s="4" t="s">
        <v>23</v>
      </c>
      <c r="C23" s="10"/>
    </row>
    <row r="24" spans="1:3" x14ac:dyDescent="0.3">
      <c r="A24" s="5" t="s">
        <v>177</v>
      </c>
      <c r="B24" s="4" t="s">
        <v>24</v>
      </c>
      <c r="C24" s="10"/>
    </row>
    <row r="25" spans="1:3" x14ac:dyDescent="0.3">
      <c r="A25" s="5" t="s">
        <v>178</v>
      </c>
      <c r="B25" s="4" t="s">
        <v>25</v>
      </c>
      <c r="C25" s="10"/>
    </row>
    <row r="26" spans="1:3" x14ac:dyDescent="0.3">
      <c r="A26" s="5" t="s">
        <v>179</v>
      </c>
      <c r="B26" s="4" t="s">
        <v>26</v>
      </c>
      <c r="C26" s="10"/>
    </row>
    <row r="27" spans="1:3" x14ac:dyDescent="0.3">
      <c r="A27" s="5" t="s">
        <v>180</v>
      </c>
      <c r="B27" s="4" t="s">
        <v>27</v>
      </c>
      <c r="C27" s="10"/>
    </row>
    <row r="28" spans="1:3" x14ac:dyDescent="0.3">
      <c r="A28" s="5" t="s">
        <v>181</v>
      </c>
      <c r="B28" s="4" t="s">
        <v>28</v>
      </c>
      <c r="C28" s="10"/>
    </row>
    <row r="29" spans="1:3" x14ac:dyDescent="0.3">
      <c r="A29" s="9" t="s">
        <v>182</v>
      </c>
      <c r="B29" s="4" t="s">
        <v>29</v>
      </c>
      <c r="C29" s="10"/>
    </row>
    <row r="30" spans="1:3" x14ac:dyDescent="0.3">
      <c r="A30" s="9" t="s">
        <v>182</v>
      </c>
      <c r="B30" s="4" t="s">
        <v>30</v>
      </c>
      <c r="C30" s="10"/>
    </row>
    <row r="31" spans="1:3" x14ac:dyDescent="0.3">
      <c r="A31" s="10" t="s">
        <v>182</v>
      </c>
      <c r="B31" s="4" t="s">
        <v>104</v>
      </c>
      <c r="C31" s="10"/>
    </row>
    <row r="32" spans="1:3" x14ac:dyDescent="0.3">
      <c r="A32" s="10" t="s">
        <v>182</v>
      </c>
      <c r="B32" s="4" t="s">
        <v>105</v>
      </c>
      <c r="C32" s="10"/>
    </row>
    <row r="33" spans="1:3" x14ac:dyDescent="0.3">
      <c r="A33" s="10" t="s">
        <v>182</v>
      </c>
      <c r="B33" s="4" t="s">
        <v>106</v>
      </c>
      <c r="C33" s="10"/>
    </row>
    <row r="34" spans="1:3" x14ac:dyDescent="0.3">
      <c r="A34" s="10" t="s">
        <v>182</v>
      </c>
      <c r="B34" s="4" t="s">
        <v>107</v>
      </c>
      <c r="C34" s="10"/>
    </row>
    <row r="35" spans="1:3" x14ac:dyDescent="0.3">
      <c r="A35" s="10" t="s">
        <v>182</v>
      </c>
      <c r="B35" s="4" t="s">
        <v>108</v>
      </c>
      <c r="C35" s="10"/>
    </row>
    <row r="36" spans="1:3" x14ac:dyDescent="0.3">
      <c r="A36" s="10" t="s">
        <v>182</v>
      </c>
      <c r="B36" s="4" t="s">
        <v>109</v>
      </c>
      <c r="C36" s="10"/>
    </row>
    <row r="37" spans="1:3" x14ac:dyDescent="0.3">
      <c r="A37" s="10" t="s">
        <v>183</v>
      </c>
      <c r="B37" s="4" t="s">
        <v>110</v>
      </c>
      <c r="C37" s="10"/>
    </row>
    <row r="38" spans="1:3" x14ac:dyDescent="0.3">
      <c r="A38" s="10" t="s">
        <v>184</v>
      </c>
      <c r="B38" s="4" t="s">
        <v>111</v>
      </c>
      <c r="C38" s="10"/>
    </row>
    <row r="39" spans="1:3" x14ac:dyDescent="0.3">
      <c r="A39" s="10" t="s">
        <v>185</v>
      </c>
      <c r="B39" s="4" t="s">
        <v>112</v>
      </c>
      <c r="C39" s="10"/>
    </row>
    <row r="40" spans="1:3" x14ac:dyDescent="0.3">
      <c r="A40" s="10" t="s">
        <v>186</v>
      </c>
      <c r="B40" s="4" t="s">
        <v>113</v>
      </c>
      <c r="C40" s="10"/>
    </row>
    <row r="41" spans="1:3" x14ac:dyDescent="0.3">
      <c r="A41" s="10" t="s">
        <v>187</v>
      </c>
      <c r="B41" s="4" t="s">
        <v>114</v>
      </c>
      <c r="C41" s="10"/>
    </row>
    <row r="42" spans="1:3" x14ac:dyDescent="0.3">
      <c r="A42" s="10" t="s">
        <v>188</v>
      </c>
      <c r="B42" s="4" t="s">
        <v>115</v>
      </c>
      <c r="C42" s="10"/>
    </row>
    <row r="43" spans="1:3" x14ac:dyDescent="0.3">
      <c r="A43" s="10" t="s">
        <v>189</v>
      </c>
      <c r="B43" s="4" t="s">
        <v>116</v>
      </c>
      <c r="C43" s="10"/>
    </row>
    <row r="44" spans="1:3" x14ac:dyDescent="0.3">
      <c r="A44" s="10" t="s">
        <v>190</v>
      </c>
      <c r="B44" s="4" t="s">
        <v>117</v>
      </c>
      <c r="C44" s="10"/>
    </row>
    <row r="45" spans="1:3" x14ac:dyDescent="0.3">
      <c r="A45" s="10" t="s">
        <v>182</v>
      </c>
      <c r="B45" s="4" t="s">
        <v>118</v>
      </c>
      <c r="C45" s="10"/>
    </row>
    <row r="46" spans="1:3" x14ac:dyDescent="0.3">
      <c r="A46" s="10" t="s">
        <v>182</v>
      </c>
      <c r="B46" s="4" t="s">
        <v>119</v>
      </c>
      <c r="C46" s="10"/>
    </row>
    <row r="47" spans="1:3" x14ac:dyDescent="0.3">
      <c r="A47" s="10" t="s">
        <v>182</v>
      </c>
      <c r="B47" s="4" t="s">
        <v>120</v>
      </c>
      <c r="C47" s="10"/>
    </row>
    <row r="48" spans="1:3" x14ac:dyDescent="0.3">
      <c r="A48" s="10" t="s">
        <v>182</v>
      </c>
      <c r="B48" s="4" t="s">
        <v>121</v>
      </c>
      <c r="C48" s="10"/>
    </row>
    <row r="49" spans="1:3" x14ac:dyDescent="0.3">
      <c r="A49" s="10" t="s">
        <v>191</v>
      </c>
      <c r="B49" s="4" t="s">
        <v>122</v>
      </c>
      <c r="C49" s="10"/>
    </row>
    <row r="50" spans="1:3" x14ac:dyDescent="0.3">
      <c r="A50" s="10" t="s">
        <v>192</v>
      </c>
      <c r="B50" s="4" t="s">
        <v>123</v>
      </c>
      <c r="C50" s="10"/>
    </row>
    <row r="51" spans="1:3" x14ac:dyDescent="0.3">
      <c r="A51" s="10" t="s">
        <v>193</v>
      </c>
      <c r="B51" s="4" t="s">
        <v>124</v>
      </c>
      <c r="C51" s="10"/>
    </row>
    <row r="52" spans="1:3" x14ac:dyDescent="0.3">
      <c r="A52" s="10" t="s">
        <v>194</v>
      </c>
      <c r="B52" s="4" t="s">
        <v>125</v>
      </c>
      <c r="C52" s="10"/>
    </row>
    <row r="53" spans="1:3" x14ac:dyDescent="0.3">
      <c r="A53" s="10" t="s">
        <v>195</v>
      </c>
      <c r="B53" s="4" t="s">
        <v>126</v>
      </c>
      <c r="C53" s="10"/>
    </row>
    <row r="54" spans="1:3" x14ac:dyDescent="0.3">
      <c r="A54" s="10" t="s">
        <v>196</v>
      </c>
      <c r="B54" s="4" t="s">
        <v>127</v>
      </c>
      <c r="C54" s="10"/>
    </row>
    <row r="55" spans="1:3" x14ac:dyDescent="0.3">
      <c r="A55" s="10" t="s">
        <v>197</v>
      </c>
      <c r="B55" s="4" t="s">
        <v>128</v>
      </c>
      <c r="C55" s="10"/>
    </row>
    <row r="56" spans="1:3" x14ac:dyDescent="0.3">
      <c r="A56" s="10" t="s">
        <v>198</v>
      </c>
      <c r="B56" s="4" t="s">
        <v>129</v>
      </c>
      <c r="C56" s="10"/>
    </row>
    <row r="57" spans="1:3" x14ac:dyDescent="0.3">
      <c r="A57" s="10" t="s">
        <v>182</v>
      </c>
      <c r="B57" s="4" t="s">
        <v>130</v>
      </c>
      <c r="C57" s="10"/>
    </row>
    <row r="58" spans="1:3" x14ac:dyDescent="0.3">
      <c r="A58" s="10" t="s">
        <v>182</v>
      </c>
      <c r="B58" s="4" t="s">
        <v>131</v>
      </c>
      <c r="C58" s="10"/>
    </row>
    <row r="59" spans="1:3" x14ac:dyDescent="0.3">
      <c r="A59" s="10" t="s">
        <v>182</v>
      </c>
      <c r="B59" s="4" t="s">
        <v>132</v>
      </c>
      <c r="C59" s="10"/>
    </row>
    <row r="60" spans="1:3" x14ac:dyDescent="0.3">
      <c r="A60" s="10" t="s">
        <v>182</v>
      </c>
      <c r="B60" s="4" t="s">
        <v>133</v>
      </c>
      <c r="C60" s="10"/>
    </row>
    <row r="61" spans="1:3" x14ac:dyDescent="0.3">
      <c r="A61" s="10" t="s">
        <v>182</v>
      </c>
      <c r="B61" s="4" t="s">
        <v>134</v>
      </c>
      <c r="C61" s="10"/>
    </row>
    <row r="62" spans="1:3" x14ac:dyDescent="0.3">
      <c r="A62" s="10" t="s">
        <v>182</v>
      </c>
      <c r="B62" s="4" t="s">
        <v>135</v>
      </c>
      <c r="C62" s="10"/>
    </row>
    <row r="63" spans="1:3" x14ac:dyDescent="0.3">
      <c r="A63" s="10" t="s">
        <v>199</v>
      </c>
      <c r="B63" s="4" t="s">
        <v>136</v>
      </c>
      <c r="C63" s="10"/>
    </row>
    <row r="64" spans="1:3" x14ac:dyDescent="0.3">
      <c r="A64" s="10" t="s">
        <v>200</v>
      </c>
      <c r="B64" s="4" t="s">
        <v>137</v>
      </c>
      <c r="C64" s="10"/>
    </row>
    <row r="65" spans="1:3" x14ac:dyDescent="0.3">
      <c r="A65" s="10" t="s">
        <v>201</v>
      </c>
      <c r="B65" s="4" t="s">
        <v>138</v>
      </c>
      <c r="C65" s="10"/>
    </row>
    <row r="66" spans="1:3" x14ac:dyDescent="0.3">
      <c r="A66" s="10" t="s">
        <v>202</v>
      </c>
      <c r="B66" s="4" t="s">
        <v>139</v>
      </c>
      <c r="C66" s="10"/>
    </row>
    <row r="67" spans="1:3" x14ac:dyDescent="0.3">
      <c r="A67" s="10" t="s">
        <v>203</v>
      </c>
      <c r="B67" s="4" t="s">
        <v>140</v>
      </c>
      <c r="C67" s="10"/>
    </row>
    <row r="68" spans="1:3" x14ac:dyDescent="0.3">
      <c r="A68" s="10" t="s">
        <v>204</v>
      </c>
      <c r="B68" s="4" t="s">
        <v>141</v>
      </c>
      <c r="C68" s="10"/>
    </row>
    <row r="69" spans="1:3" x14ac:dyDescent="0.3">
      <c r="A69" s="10" t="s">
        <v>205</v>
      </c>
      <c r="B69" s="4" t="s">
        <v>142</v>
      </c>
      <c r="C69" s="10"/>
    </row>
    <row r="70" spans="1:3" x14ac:dyDescent="0.3">
      <c r="A70" s="10" t="s">
        <v>206</v>
      </c>
      <c r="B70" s="4" t="s">
        <v>143</v>
      </c>
      <c r="C70" s="10"/>
    </row>
    <row r="71" spans="1:3" x14ac:dyDescent="0.3">
      <c r="A71" s="10" t="s">
        <v>182</v>
      </c>
      <c r="B71" s="4" t="s">
        <v>144</v>
      </c>
      <c r="C71" s="10"/>
    </row>
    <row r="72" spans="1:3" x14ac:dyDescent="0.3">
      <c r="A72" s="10" t="s">
        <v>182</v>
      </c>
      <c r="B72" s="4" t="s">
        <v>145</v>
      </c>
      <c r="C72" s="10"/>
    </row>
    <row r="73" spans="1:3" x14ac:dyDescent="0.3">
      <c r="A73" s="10" t="s">
        <v>182</v>
      </c>
      <c r="B73" s="4" t="s">
        <v>146</v>
      </c>
      <c r="C73" s="10"/>
    </row>
    <row r="74" spans="1:3" x14ac:dyDescent="0.3">
      <c r="A74" s="10" t="s">
        <v>182</v>
      </c>
      <c r="B74" s="4" t="s">
        <v>147</v>
      </c>
      <c r="C74" s="10"/>
    </row>
    <row r="75" spans="1:3" x14ac:dyDescent="0.3">
      <c r="A75" s="10" t="s">
        <v>182</v>
      </c>
      <c r="B75" s="4" t="s">
        <v>148</v>
      </c>
      <c r="C75" s="10"/>
    </row>
    <row r="76" spans="1:3" x14ac:dyDescent="0.3">
      <c r="A76" s="10" t="s">
        <v>182</v>
      </c>
      <c r="B76" s="4" t="s">
        <v>149</v>
      </c>
      <c r="C76" s="10"/>
    </row>
    <row r="77" spans="1:3" x14ac:dyDescent="0.3">
      <c r="A77" s="10" t="s">
        <v>182</v>
      </c>
      <c r="B77" s="4" t="s">
        <v>150</v>
      </c>
      <c r="C77" s="10"/>
    </row>
    <row r="78" spans="1:3" x14ac:dyDescent="0.3">
      <c r="A78" s="10" t="s">
        <v>182</v>
      </c>
      <c r="B78" s="4" t="s">
        <v>151</v>
      </c>
      <c r="C78" s="10"/>
    </row>
    <row r="79" spans="1:3" x14ac:dyDescent="0.3">
      <c r="A79" s="10" t="s">
        <v>182</v>
      </c>
      <c r="B79" s="4" t="s">
        <v>152</v>
      </c>
      <c r="C79" s="10"/>
    </row>
    <row r="80" spans="1:3" x14ac:dyDescent="0.3">
      <c r="A80" s="10" t="s">
        <v>182</v>
      </c>
      <c r="B80" s="4" t="s">
        <v>153</v>
      </c>
      <c r="C80" s="10"/>
    </row>
    <row r="81" spans="1:3" x14ac:dyDescent="0.3">
      <c r="A81" s="10" t="s">
        <v>182</v>
      </c>
      <c r="B81" s="4" t="s">
        <v>154</v>
      </c>
      <c r="C81" s="10"/>
    </row>
    <row r="82" spans="1:3" x14ac:dyDescent="0.3">
      <c r="A82" s="10" t="s">
        <v>207</v>
      </c>
      <c r="B82" s="10"/>
      <c r="C82" s="10"/>
    </row>
    <row r="83" spans="1:3" x14ac:dyDescent="0.3">
      <c r="A83" s="10" t="s">
        <v>208</v>
      </c>
      <c r="B83" s="10" t="s">
        <v>48</v>
      </c>
      <c r="C83" s="10"/>
    </row>
    <row r="84" spans="1:3" x14ac:dyDescent="0.3">
      <c r="A84" s="10" t="s">
        <v>209</v>
      </c>
      <c r="B84" s="10" t="s">
        <v>49</v>
      </c>
      <c r="C84" s="10"/>
    </row>
    <row r="85" spans="1:3" x14ac:dyDescent="0.3">
      <c r="A85" s="10" t="s">
        <v>210</v>
      </c>
      <c r="B85" s="10" t="s">
        <v>50</v>
      </c>
      <c r="C85" s="10"/>
    </row>
    <row r="86" spans="1:3" x14ac:dyDescent="0.3">
      <c r="A86" s="10" t="s">
        <v>211</v>
      </c>
      <c r="B86" s="10" t="s">
        <v>51</v>
      </c>
      <c r="C86" s="10"/>
    </row>
    <row r="87" spans="1:3" x14ac:dyDescent="0.3">
      <c r="A87" s="10" t="s">
        <v>212</v>
      </c>
      <c r="B87" s="10" t="s">
        <v>52</v>
      </c>
      <c r="C87" s="10"/>
    </row>
    <row r="88" spans="1:3" x14ac:dyDescent="0.3">
      <c r="A88" s="10" t="s">
        <v>213</v>
      </c>
      <c r="B88" s="10" t="s">
        <v>53</v>
      </c>
      <c r="C88" s="10"/>
    </row>
    <row r="89" spans="1:3" x14ac:dyDescent="0.3">
      <c r="A89" s="10" t="s">
        <v>214</v>
      </c>
      <c r="B89" s="10" t="s">
        <v>54</v>
      </c>
      <c r="C89" s="10"/>
    </row>
    <row r="90" spans="1:3" x14ac:dyDescent="0.3">
      <c r="A90" s="10" t="s">
        <v>215</v>
      </c>
      <c r="B90" s="10" t="s">
        <v>55</v>
      </c>
      <c r="C90" s="10"/>
    </row>
    <row r="91" spans="1:3" x14ac:dyDescent="0.3">
      <c r="A91" s="10" t="s">
        <v>216</v>
      </c>
      <c r="B91" s="10" t="s">
        <v>56</v>
      </c>
      <c r="C91" s="10"/>
    </row>
    <row r="92" spans="1:3" x14ac:dyDescent="0.3">
      <c r="A92" s="10" t="s">
        <v>217</v>
      </c>
      <c r="B92" s="10" t="s">
        <v>57</v>
      </c>
      <c r="C92" s="10"/>
    </row>
    <row r="93" spans="1:3" x14ac:dyDescent="0.3">
      <c r="A93" s="10" t="s">
        <v>218</v>
      </c>
      <c r="B93" s="10" t="s">
        <v>58</v>
      </c>
      <c r="C93" s="10"/>
    </row>
    <row r="94" spans="1:3" x14ac:dyDescent="0.3">
      <c r="A94" s="10" t="s">
        <v>219</v>
      </c>
      <c r="B94" s="10" t="s">
        <v>59</v>
      </c>
      <c r="C94" s="10"/>
    </row>
    <row r="95" spans="1:3" x14ac:dyDescent="0.3">
      <c r="A95" s="10" t="s">
        <v>220</v>
      </c>
      <c r="B95" s="10" t="s">
        <v>60</v>
      </c>
      <c r="C95" s="10"/>
    </row>
    <row r="96" spans="1:3" x14ac:dyDescent="0.3">
      <c r="A96" s="10" t="s">
        <v>221</v>
      </c>
      <c r="B96" s="10" t="s">
        <v>61</v>
      </c>
      <c r="C96" s="10"/>
    </row>
    <row r="97" spans="1:3" x14ac:dyDescent="0.3">
      <c r="A97" s="10" t="s">
        <v>222</v>
      </c>
      <c r="B97" s="10" t="s">
        <v>62</v>
      </c>
      <c r="C97" s="10"/>
    </row>
    <row r="98" spans="1:3" x14ac:dyDescent="0.3">
      <c r="A98" s="10" t="s">
        <v>223</v>
      </c>
      <c r="B98" s="10" t="s">
        <v>63</v>
      </c>
      <c r="C98" s="10"/>
    </row>
    <row r="99" spans="1:3" x14ac:dyDescent="0.3">
      <c r="A99" s="10" t="s">
        <v>224</v>
      </c>
      <c r="B99" s="10" t="s">
        <v>64</v>
      </c>
      <c r="C99" s="10"/>
    </row>
    <row r="100" spans="1:3" x14ac:dyDescent="0.3">
      <c r="A100" s="10" t="s">
        <v>225</v>
      </c>
      <c r="B100" s="10" t="s">
        <v>65</v>
      </c>
      <c r="C100" s="10"/>
    </row>
    <row r="101" spans="1:3" x14ac:dyDescent="0.3">
      <c r="A101" s="10" t="s">
        <v>182</v>
      </c>
      <c r="B101" s="10" t="s">
        <v>66</v>
      </c>
      <c r="C101" s="10"/>
    </row>
    <row r="102" spans="1:3" x14ac:dyDescent="0.3">
      <c r="A102" s="10" t="s">
        <v>182</v>
      </c>
      <c r="B102" s="10" t="s">
        <v>67</v>
      </c>
      <c r="C102" s="10"/>
    </row>
    <row r="103" spans="1:3" x14ac:dyDescent="0.3">
      <c r="A103" s="10" t="s">
        <v>182</v>
      </c>
      <c r="B103" s="10" t="s">
        <v>68</v>
      </c>
      <c r="C103" s="10"/>
    </row>
    <row r="104" spans="1:3" x14ac:dyDescent="0.3">
      <c r="A104" s="10" t="s">
        <v>182</v>
      </c>
      <c r="B104" s="10" t="s">
        <v>69</v>
      </c>
      <c r="C104" s="10"/>
    </row>
    <row r="105" spans="1:3" x14ac:dyDescent="0.3">
      <c r="A105" s="10" t="s">
        <v>182</v>
      </c>
      <c r="B105" s="10" t="s">
        <v>70</v>
      </c>
      <c r="C105" s="10"/>
    </row>
    <row r="106" spans="1:3" x14ac:dyDescent="0.3">
      <c r="A106" s="10" t="s">
        <v>182</v>
      </c>
      <c r="B106" s="10" t="s">
        <v>71</v>
      </c>
      <c r="C106" s="10"/>
    </row>
    <row r="107" spans="1:3" x14ac:dyDescent="0.3">
      <c r="A107" s="10" t="s">
        <v>182</v>
      </c>
      <c r="B107" s="10" t="s">
        <v>72</v>
      </c>
      <c r="C107" s="10"/>
    </row>
    <row r="108" spans="1:3" x14ac:dyDescent="0.3">
      <c r="A108" s="10" t="s">
        <v>182</v>
      </c>
      <c r="B108" s="10" t="s">
        <v>73</v>
      </c>
      <c r="C108" s="10"/>
    </row>
    <row r="109" spans="1:3" x14ac:dyDescent="0.3">
      <c r="A109" s="10" t="s">
        <v>182</v>
      </c>
      <c r="B109" s="10" t="s">
        <v>74</v>
      </c>
      <c r="C109" s="10"/>
    </row>
    <row r="110" spans="1:3" x14ac:dyDescent="0.3">
      <c r="A110" s="10" t="s">
        <v>182</v>
      </c>
      <c r="B110" s="10" t="s">
        <v>75</v>
      </c>
      <c r="C110" s="10"/>
    </row>
    <row r="111" spans="1:3" x14ac:dyDescent="0.3">
      <c r="A111" s="10" t="s">
        <v>182</v>
      </c>
      <c r="B111" s="10" t="s">
        <v>76</v>
      </c>
      <c r="C111" s="10"/>
    </row>
    <row r="112" spans="1:3" x14ac:dyDescent="0.3">
      <c r="A112" s="10" t="s">
        <v>182</v>
      </c>
      <c r="B112" s="10" t="s">
        <v>77</v>
      </c>
      <c r="C112" s="10"/>
    </row>
    <row r="113" spans="1:3" x14ac:dyDescent="0.3">
      <c r="A113" s="10" t="s">
        <v>182</v>
      </c>
      <c r="B113" s="10" t="s">
        <v>78</v>
      </c>
      <c r="C113" s="10"/>
    </row>
    <row r="114" spans="1:3" x14ac:dyDescent="0.3">
      <c r="A114" s="10" t="s">
        <v>182</v>
      </c>
      <c r="B114" s="10" t="s">
        <v>79</v>
      </c>
      <c r="C114" s="10"/>
    </row>
    <row r="115" spans="1:3" x14ac:dyDescent="0.3">
      <c r="A115" s="10" t="s">
        <v>207</v>
      </c>
      <c r="B115" s="10"/>
      <c r="C115" s="10"/>
    </row>
    <row r="116" spans="1:3" x14ac:dyDescent="0.3">
      <c r="A116" s="10" t="s">
        <v>226</v>
      </c>
      <c r="B116" s="10" t="s">
        <v>80</v>
      </c>
      <c r="C116" s="10"/>
    </row>
    <row r="117" spans="1:3" x14ac:dyDescent="0.3">
      <c r="A117" s="10" t="s">
        <v>227</v>
      </c>
      <c r="B117" s="10" t="s">
        <v>81</v>
      </c>
      <c r="C117" s="10"/>
    </row>
    <row r="118" spans="1:3" x14ac:dyDescent="0.3">
      <c r="A118" s="10" t="s">
        <v>228</v>
      </c>
      <c r="B118" s="10" t="s">
        <v>82</v>
      </c>
      <c r="C118" s="10"/>
    </row>
    <row r="119" spans="1:3" x14ac:dyDescent="0.3">
      <c r="A119" s="10" t="s">
        <v>229</v>
      </c>
      <c r="B119" s="10" t="s">
        <v>83</v>
      </c>
      <c r="C119" s="10"/>
    </row>
    <row r="120" spans="1:3" x14ac:dyDescent="0.3">
      <c r="A120" s="10" t="s">
        <v>230</v>
      </c>
      <c r="B120" s="10" t="s">
        <v>84</v>
      </c>
      <c r="C120" s="10"/>
    </row>
    <row r="121" spans="1:3" x14ac:dyDescent="0.3">
      <c r="A121" s="10" t="s">
        <v>231</v>
      </c>
      <c r="B121" s="10" t="s">
        <v>85</v>
      </c>
      <c r="C121" s="10"/>
    </row>
    <row r="122" spans="1:3" x14ac:dyDescent="0.3">
      <c r="A122" s="10" t="s">
        <v>182</v>
      </c>
      <c r="B122" s="10" t="s">
        <v>86</v>
      </c>
      <c r="C122" s="10"/>
    </row>
    <row r="123" spans="1:3" x14ac:dyDescent="0.3">
      <c r="A123" s="10" t="s">
        <v>182</v>
      </c>
      <c r="B123" s="10" t="s">
        <v>87</v>
      </c>
      <c r="C123" s="10"/>
    </row>
    <row r="124" spans="1:3" x14ac:dyDescent="0.3">
      <c r="A124" s="10" t="s">
        <v>207</v>
      </c>
      <c r="B124" s="10"/>
      <c r="C124" s="10"/>
    </row>
    <row r="125" spans="1:3" x14ac:dyDescent="0.3">
      <c r="A125" s="10" t="s">
        <v>232</v>
      </c>
      <c r="B125" s="10" t="s">
        <v>88</v>
      </c>
      <c r="C125" s="10"/>
    </row>
    <row r="126" spans="1:3" x14ac:dyDescent="0.3">
      <c r="A126" s="10" t="s">
        <v>233</v>
      </c>
      <c r="B126" s="10" t="s">
        <v>89</v>
      </c>
      <c r="C126" s="10"/>
    </row>
    <row r="127" spans="1:3" x14ac:dyDescent="0.3">
      <c r="A127" s="10" t="s">
        <v>234</v>
      </c>
      <c r="B127" s="10" t="s">
        <v>90</v>
      </c>
      <c r="C127" s="10"/>
    </row>
    <row r="128" spans="1:3" x14ac:dyDescent="0.3">
      <c r="A128" s="10" t="s">
        <v>235</v>
      </c>
      <c r="B128" s="10" t="s">
        <v>91</v>
      </c>
      <c r="C128" s="10"/>
    </row>
    <row r="129" spans="1:3" x14ac:dyDescent="0.3">
      <c r="A129" s="10" t="s">
        <v>236</v>
      </c>
      <c r="B129" s="10" t="s">
        <v>92</v>
      </c>
      <c r="C129" s="10"/>
    </row>
    <row r="130" spans="1:3" x14ac:dyDescent="0.3">
      <c r="A130" s="10" t="s">
        <v>237</v>
      </c>
      <c r="B130" s="10" t="s">
        <v>93</v>
      </c>
      <c r="C130" s="10"/>
    </row>
    <row r="131" spans="1:3" x14ac:dyDescent="0.3">
      <c r="A131" s="10" t="s">
        <v>238</v>
      </c>
      <c r="B131" s="10" t="s">
        <v>94</v>
      </c>
      <c r="C131" s="10"/>
    </row>
    <row r="132" spans="1:3" x14ac:dyDescent="0.3">
      <c r="A132" s="10" t="s">
        <v>239</v>
      </c>
      <c r="B132" s="10" t="s">
        <v>95</v>
      </c>
      <c r="C132" s="10"/>
    </row>
    <row r="133" spans="1:3" x14ac:dyDescent="0.3">
      <c r="A133" s="10" t="s">
        <v>240</v>
      </c>
      <c r="B133" s="10" t="s">
        <v>96</v>
      </c>
      <c r="C133" s="10"/>
    </row>
    <row r="134" spans="1:3" x14ac:dyDescent="0.3">
      <c r="A134" s="10" t="s">
        <v>241</v>
      </c>
      <c r="B134" s="10" t="s">
        <v>97</v>
      </c>
      <c r="C134" s="10"/>
    </row>
    <row r="135" spans="1:3" x14ac:dyDescent="0.3">
      <c r="A135" s="10" t="s">
        <v>242</v>
      </c>
      <c r="B135" s="10" t="s">
        <v>98</v>
      </c>
      <c r="C135" s="10"/>
    </row>
    <row r="136" spans="1:3" x14ac:dyDescent="0.3">
      <c r="A136" s="10" t="s">
        <v>243</v>
      </c>
      <c r="B136" s="10" t="s">
        <v>99</v>
      </c>
      <c r="C136" s="10"/>
    </row>
    <row r="137" spans="1:3" x14ac:dyDescent="0.3">
      <c r="A137" s="10" t="s">
        <v>244</v>
      </c>
      <c r="B137" s="10" t="s">
        <v>100</v>
      </c>
      <c r="C137" s="10"/>
    </row>
    <row r="138" spans="1:3" x14ac:dyDescent="0.3">
      <c r="A138" s="10" t="s">
        <v>245</v>
      </c>
      <c r="B138" s="10" t="s">
        <v>101</v>
      </c>
      <c r="C138" s="10"/>
    </row>
    <row r="139" spans="1:3" x14ac:dyDescent="0.3">
      <c r="A139" s="10" t="s">
        <v>246</v>
      </c>
      <c r="B139" s="10" t="s">
        <v>102</v>
      </c>
      <c r="C139" s="10"/>
    </row>
    <row r="140" spans="1:3" x14ac:dyDescent="0.3">
      <c r="A140" s="10" t="s">
        <v>182</v>
      </c>
      <c r="B140" s="10" t="s">
        <v>103</v>
      </c>
      <c r="C140" s="10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A9F3-61D1-4803-B682-878C4856B048}">
  <dimension ref="K1:P13"/>
  <sheetViews>
    <sheetView topLeftCell="K1" workbookViewId="0">
      <selection activeCell="N21" sqref="N21"/>
    </sheetView>
  </sheetViews>
  <sheetFormatPr defaultRowHeight="14.4" x14ac:dyDescent="0.3"/>
  <cols>
    <col min="11" max="11" width="11.33203125" bestFit="1" customWidth="1"/>
    <col min="12" max="12" width="36.33203125" bestFit="1" customWidth="1"/>
    <col min="13" max="13" width="13.33203125" bestFit="1" customWidth="1"/>
    <col min="14" max="14" width="27" bestFit="1" customWidth="1"/>
    <col min="15" max="15" width="33.109375" bestFit="1" customWidth="1"/>
    <col min="16" max="16" width="100.6640625" customWidth="1"/>
  </cols>
  <sheetData>
    <row r="1" spans="11:16" x14ac:dyDescent="0.3"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</row>
    <row r="2" spans="11:16" x14ac:dyDescent="0.3">
      <c r="K2" s="10"/>
      <c r="L2" s="10"/>
      <c r="M2" s="10"/>
      <c r="N2" s="10"/>
      <c r="O2" s="10" t="s">
        <v>355</v>
      </c>
      <c r="P2" s="10" t="s">
        <v>354</v>
      </c>
    </row>
    <row r="3" spans="11:16" x14ac:dyDescent="0.3">
      <c r="K3" s="10"/>
      <c r="L3" s="10"/>
      <c r="M3" s="10"/>
      <c r="N3" s="10"/>
      <c r="O3" s="10"/>
      <c r="P3" s="10"/>
    </row>
    <row r="4" spans="11:16" x14ac:dyDescent="0.3">
      <c r="K4" s="10"/>
      <c r="L4" s="10"/>
      <c r="M4" s="10"/>
      <c r="N4" s="10"/>
      <c r="O4" s="10"/>
      <c r="P4" s="10"/>
    </row>
    <row r="5" spans="11:16" x14ac:dyDescent="0.3">
      <c r="K5" s="10"/>
      <c r="L5" s="10"/>
      <c r="M5" s="10"/>
      <c r="N5" s="10"/>
      <c r="O5" s="10"/>
      <c r="P5" s="10"/>
    </row>
    <row r="6" spans="11:16" x14ac:dyDescent="0.3">
      <c r="K6" s="10"/>
      <c r="L6" s="10"/>
      <c r="M6" s="10"/>
      <c r="N6" s="10"/>
      <c r="O6" s="10"/>
      <c r="P6" s="10"/>
    </row>
    <row r="7" spans="11:16" x14ac:dyDescent="0.3">
      <c r="K7" s="10"/>
      <c r="L7" s="10"/>
      <c r="M7" s="10"/>
      <c r="N7" s="10"/>
      <c r="O7" s="10"/>
      <c r="P7" s="10"/>
    </row>
    <row r="8" spans="11:16" x14ac:dyDescent="0.3">
      <c r="K8" s="10"/>
      <c r="L8" s="10"/>
      <c r="M8" s="10"/>
      <c r="N8" s="10"/>
      <c r="O8" s="10"/>
      <c r="P8" s="10"/>
    </row>
    <row r="9" spans="11:16" x14ac:dyDescent="0.3">
      <c r="K9" s="10"/>
      <c r="L9" s="10"/>
      <c r="M9" s="10"/>
      <c r="N9" s="10"/>
      <c r="O9" s="10"/>
      <c r="P9" s="10"/>
    </row>
    <row r="10" spans="11:16" x14ac:dyDescent="0.3">
      <c r="K10" s="10"/>
      <c r="L10" s="10"/>
      <c r="M10" s="10"/>
      <c r="N10" s="10"/>
      <c r="O10" s="10"/>
      <c r="P10" s="10"/>
    </row>
    <row r="11" spans="11:16" x14ac:dyDescent="0.3">
      <c r="K11" s="10"/>
      <c r="L11" s="10"/>
      <c r="M11" s="10"/>
      <c r="N11" s="10"/>
      <c r="O11" s="10"/>
      <c r="P11" s="10"/>
    </row>
    <row r="12" spans="11:16" x14ac:dyDescent="0.3">
      <c r="K12" s="10"/>
      <c r="L12" s="10"/>
      <c r="M12" s="10"/>
      <c r="N12" s="10"/>
      <c r="O12" s="10"/>
      <c r="P12" s="10"/>
    </row>
    <row r="13" spans="11:16" x14ac:dyDescent="0.3">
      <c r="K13" s="10"/>
      <c r="L13" s="10"/>
      <c r="M13" s="10"/>
      <c r="N13" s="10"/>
      <c r="O13" s="10"/>
      <c r="P1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7268-CC2D-40DF-BD75-F6740DFB255D}">
  <dimension ref="A1:G24"/>
  <sheetViews>
    <sheetView topLeftCell="A8" zoomScale="160" zoomScaleNormal="160" workbookViewId="0">
      <selection activeCell="B25" sqref="B25"/>
    </sheetView>
  </sheetViews>
  <sheetFormatPr defaultRowHeight="14.4" x14ac:dyDescent="0.3"/>
  <cols>
    <col min="1" max="1" width="11.33203125" bestFit="1" customWidth="1"/>
    <col min="2" max="2" width="44.109375" style="19" bestFit="1" customWidth="1"/>
    <col min="3" max="3" width="13.33203125" bestFit="1" customWidth="1"/>
    <col min="4" max="4" width="27" bestFit="1" customWidth="1"/>
    <col min="5" max="5" width="27" customWidth="1"/>
    <col min="6" max="6" width="33.109375" bestFit="1" customWidth="1"/>
    <col min="7" max="7" width="100.6640625" customWidth="1"/>
  </cols>
  <sheetData>
    <row r="1" spans="1:7" x14ac:dyDescent="0.3">
      <c r="A1" s="10" t="s">
        <v>32</v>
      </c>
      <c r="B1" s="11" t="s">
        <v>33</v>
      </c>
      <c r="C1" s="10" t="s">
        <v>34</v>
      </c>
      <c r="D1" s="10" t="s">
        <v>35</v>
      </c>
      <c r="E1" s="10" t="s">
        <v>317</v>
      </c>
      <c r="F1" s="10" t="s">
        <v>318</v>
      </c>
      <c r="G1" s="10" t="s">
        <v>37</v>
      </c>
    </row>
    <row r="2" spans="1:7" x14ac:dyDescent="0.3">
      <c r="A2" s="10" t="s">
        <v>312</v>
      </c>
      <c r="B2" s="11" t="s">
        <v>310</v>
      </c>
      <c r="C2" s="10" t="s">
        <v>38</v>
      </c>
      <c r="D2" s="10" t="s">
        <v>314</v>
      </c>
      <c r="E2" s="10"/>
      <c r="F2" s="10"/>
      <c r="G2" s="10"/>
    </row>
    <row r="3" spans="1:7" x14ac:dyDescent="0.3">
      <c r="A3" s="10" t="s">
        <v>313</v>
      </c>
      <c r="B3" s="11" t="s">
        <v>311</v>
      </c>
      <c r="C3" s="10" t="s">
        <v>38</v>
      </c>
      <c r="D3" s="10" t="s">
        <v>314</v>
      </c>
      <c r="E3" s="10"/>
      <c r="F3" s="10"/>
      <c r="G3" s="10"/>
    </row>
    <row r="4" spans="1:7" x14ac:dyDescent="0.3">
      <c r="A4" s="10" t="s">
        <v>39</v>
      </c>
      <c r="B4" s="11" t="s">
        <v>315</v>
      </c>
      <c r="C4" s="10" t="s">
        <v>38</v>
      </c>
      <c r="D4" s="10" t="s">
        <v>316</v>
      </c>
      <c r="E4" s="10"/>
      <c r="F4" s="10"/>
      <c r="G4" s="10"/>
    </row>
    <row r="5" spans="1:7" x14ac:dyDescent="0.3">
      <c r="A5" s="10" t="s">
        <v>40</v>
      </c>
      <c r="B5" s="11" t="s">
        <v>277</v>
      </c>
      <c r="C5" s="10" t="s">
        <v>38</v>
      </c>
      <c r="D5" s="10" t="s">
        <v>319</v>
      </c>
      <c r="E5" s="10"/>
      <c r="F5" s="10"/>
      <c r="G5" s="10"/>
    </row>
    <row r="6" spans="1:7" ht="28.8" x14ac:dyDescent="0.3">
      <c r="A6" s="10" t="s">
        <v>41</v>
      </c>
      <c r="B6" s="11" t="s">
        <v>320</v>
      </c>
      <c r="C6" s="10" t="s">
        <v>38</v>
      </c>
      <c r="D6" s="10" t="s">
        <v>321</v>
      </c>
      <c r="E6" s="10"/>
      <c r="F6" s="10"/>
      <c r="G6" s="10"/>
    </row>
    <row r="7" spans="1:7" ht="28.8" x14ac:dyDescent="0.3">
      <c r="A7" s="10" t="s">
        <v>42</v>
      </c>
      <c r="B7" s="11" t="s">
        <v>322</v>
      </c>
      <c r="C7" s="10" t="s">
        <v>38</v>
      </c>
      <c r="D7" s="10" t="s">
        <v>321</v>
      </c>
      <c r="E7" s="10"/>
      <c r="F7" s="10"/>
      <c r="G7" s="10"/>
    </row>
    <row r="8" spans="1:7" ht="28.8" x14ac:dyDescent="0.3">
      <c r="A8" s="10" t="s">
        <v>43</v>
      </c>
      <c r="B8" s="11" t="s">
        <v>323</v>
      </c>
      <c r="C8" s="10" t="s">
        <v>38</v>
      </c>
      <c r="D8" s="10" t="s">
        <v>321</v>
      </c>
      <c r="E8" s="10"/>
      <c r="F8" s="10"/>
      <c r="G8" s="10"/>
    </row>
    <row r="9" spans="1:7" ht="28.8" x14ac:dyDescent="0.3">
      <c r="A9" s="10" t="s">
        <v>44</v>
      </c>
      <c r="B9" s="11" t="s">
        <v>337</v>
      </c>
      <c r="C9" s="10" t="s">
        <v>38</v>
      </c>
      <c r="D9" s="10" t="s">
        <v>324</v>
      </c>
      <c r="E9" s="10"/>
      <c r="F9" s="10"/>
      <c r="G9" s="10"/>
    </row>
    <row r="10" spans="1:7" ht="28.8" x14ac:dyDescent="0.3">
      <c r="A10" s="10" t="s">
        <v>45</v>
      </c>
      <c r="B10" s="11" t="s">
        <v>337</v>
      </c>
      <c r="C10" s="10" t="s">
        <v>38</v>
      </c>
      <c r="D10" s="10" t="s">
        <v>324</v>
      </c>
      <c r="E10" s="10"/>
      <c r="F10" s="10"/>
      <c r="G10" s="10"/>
    </row>
    <row r="11" spans="1:7" ht="28.8" x14ac:dyDescent="0.3">
      <c r="A11" s="10" t="s">
        <v>46</v>
      </c>
      <c r="B11" s="11" t="s">
        <v>338</v>
      </c>
      <c r="C11" s="10" t="s">
        <v>38</v>
      </c>
      <c r="D11" s="10" t="s">
        <v>324</v>
      </c>
      <c r="E11" s="10"/>
      <c r="F11" s="10"/>
      <c r="G11" s="10"/>
    </row>
    <row r="12" spans="1:7" ht="28.8" x14ac:dyDescent="0.3">
      <c r="A12" s="10" t="s">
        <v>47</v>
      </c>
      <c r="B12" s="11" t="s">
        <v>339</v>
      </c>
      <c r="C12" s="10" t="s">
        <v>38</v>
      </c>
      <c r="D12" s="10" t="s">
        <v>324</v>
      </c>
      <c r="E12" s="10"/>
      <c r="F12" s="10"/>
      <c r="G12" s="10"/>
    </row>
    <row r="13" spans="1:7" x14ac:dyDescent="0.3">
      <c r="A13" s="10" t="s">
        <v>325</v>
      </c>
      <c r="B13" s="11" t="s">
        <v>340</v>
      </c>
      <c r="C13" s="10" t="s">
        <v>38</v>
      </c>
      <c r="D13" s="10" t="s">
        <v>324</v>
      </c>
      <c r="E13" s="10"/>
      <c r="F13" s="10"/>
      <c r="G13" s="10"/>
    </row>
    <row r="14" spans="1:7" x14ac:dyDescent="0.3">
      <c r="A14" s="10" t="s">
        <v>326</v>
      </c>
      <c r="B14" s="11" t="s">
        <v>182</v>
      </c>
      <c r="C14" s="10" t="s">
        <v>38</v>
      </c>
      <c r="D14" s="10" t="s">
        <v>341</v>
      </c>
      <c r="E14" s="10"/>
      <c r="F14" s="10"/>
      <c r="G14" s="10"/>
    </row>
    <row r="15" spans="1:7" ht="28.8" x14ac:dyDescent="0.3">
      <c r="A15" s="10" t="s">
        <v>327</v>
      </c>
      <c r="B15" s="11" t="s">
        <v>344</v>
      </c>
      <c r="C15" s="10" t="s">
        <v>342</v>
      </c>
      <c r="D15" s="10" t="s">
        <v>255</v>
      </c>
      <c r="E15" s="10"/>
      <c r="F15" s="10"/>
      <c r="G15" s="10"/>
    </row>
    <row r="16" spans="1:7" ht="28.8" x14ac:dyDescent="0.3">
      <c r="A16" s="10" t="s">
        <v>328</v>
      </c>
      <c r="B16" s="11" t="s">
        <v>345</v>
      </c>
      <c r="C16" s="10" t="s">
        <v>342</v>
      </c>
      <c r="D16" s="10" t="s">
        <v>255</v>
      </c>
      <c r="E16" s="10"/>
      <c r="F16" s="10"/>
      <c r="G16" s="10"/>
    </row>
    <row r="17" spans="1:7" x14ac:dyDescent="0.3">
      <c r="A17" s="10" t="s">
        <v>329</v>
      </c>
      <c r="B17" s="11" t="s">
        <v>346</v>
      </c>
      <c r="C17" s="10" t="s">
        <v>342</v>
      </c>
      <c r="D17" s="10" t="s">
        <v>255</v>
      </c>
      <c r="E17" s="10"/>
      <c r="F17" s="10"/>
      <c r="G17" s="10"/>
    </row>
    <row r="18" spans="1:7" ht="28.8" x14ac:dyDescent="0.3">
      <c r="A18" s="10" t="s">
        <v>330</v>
      </c>
      <c r="B18" s="11" t="s">
        <v>347</v>
      </c>
      <c r="C18" s="10" t="s">
        <v>342</v>
      </c>
      <c r="D18" s="10" t="s">
        <v>255</v>
      </c>
      <c r="E18" s="10"/>
      <c r="F18" s="10"/>
      <c r="G18" s="10" t="s">
        <v>349</v>
      </c>
    </row>
    <row r="19" spans="1:7" x14ac:dyDescent="0.3">
      <c r="A19" s="10" t="s">
        <v>331</v>
      </c>
      <c r="B19" s="11" t="s">
        <v>348</v>
      </c>
      <c r="C19" s="10" t="s">
        <v>342</v>
      </c>
      <c r="D19" s="10" t="s">
        <v>255</v>
      </c>
      <c r="E19" s="10"/>
      <c r="F19" s="10"/>
      <c r="G19" s="10" t="s">
        <v>350</v>
      </c>
    </row>
    <row r="20" spans="1:7" x14ac:dyDescent="0.3">
      <c r="A20" s="10" t="s">
        <v>332</v>
      </c>
      <c r="B20" s="11" t="s">
        <v>351</v>
      </c>
      <c r="C20" s="10" t="s">
        <v>342</v>
      </c>
      <c r="D20" s="10" t="s">
        <v>255</v>
      </c>
      <c r="E20" s="10"/>
      <c r="F20" s="10"/>
      <c r="G20" s="10"/>
    </row>
    <row r="21" spans="1:7" x14ac:dyDescent="0.3">
      <c r="A21" s="10" t="s">
        <v>333</v>
      </c>
      <c r="B21" s="11" t="s">
        <v>182</v>
      </c>
      <c r="C21" s="10" t="s">
        <v>342</v>
      </c>
      <c r="D21" s="10" t="s">
        <v>255</v>
      </c>
      <c r="E21" s="10"/>
      <c r="F21" s="10"/>
      <c r="G21" s="10"/>
    </row>
    <row r="22" spans="1:7" x14ac:dyDescent="0.3">
      <c r="A22" s="10" t="s">
        <v>334</v>
      </c>
      <c r="B22" s="11" t="s">
        <v>182</v>
      </c>
      <c r="C22" s="10" t="s">
        <v>342</v>
      </c>
      <c r="D22" s="10" t="s">
        <v>255</v>
      </c>
      <c r="E22" s="10"/>
      <c r="F22" s="10"/>
      <c r="G22" s="10"/>
    </row>
    <row r="23" spans="1:7" x14ac:dyDescent="0.3">
      <c r="A23" s="10" t="s">
        <v>335</v>
      </c>
      <c r="B23" s="11" t="s">
        <v>182</v>
      </c>
      <c r="C23" s="10" t="s">
        <v>342</v>
      </c>
      <c r="D23" s="10" t="s">
        <v>255</v>
      </c>
      <c r="E23" s="10"/>
      <c r="F23" s="10"/>
      <c r="G23" s="10"/>
    </row>
    <row r="24" spans="1:7" ht="28.8" x14ac:dyDescent="0.3">
      <c r="A24" s="24" t="s">
        <v>336</v>
      </c>
      <c r="B24" s="11" t="s">
        <v>352</v>
      </c>
      <c r="C24" s="10" t="s">
        <v>343</v>
      </c>
      <c r="D24" s="10" t="s">
        <v>353</v>
      </c>
      <c r="E24" s="10"/>
      <c r="F24" s="10"/>
      <c r="G24" s="10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685B3D-A21C-4F46-B1E3-5F4E57DE4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+Y CDP01 - lista izvoda</vt:lpstr>
      <vt:lpstr>+Y CDP01 - simbol lista</vt:lpstr>
      <vt:lpstr>+Y BJP12 - lista izvoda</vt:lpstr>
      <vt:lpstr>+Y BJP14 - lista izvoda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</dc:creator>
  <cp:lastModifiedBy>Fran Švarc</cp:lastModifiedBy>
  <dcterms:created xsi:type="dcterms:W3CDTF">2015-06-05T18:17:20Z</dcterms:created>
  <dcterms:modified xsi:type="dcterms:W3CDTF">2026-05-29T11:18:51Z</dcterms:modified>
</cp:coreProperties>
</file>