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kabeli\"/>
    </mc:Choice>
  </mc:AlternateContent>
  <xr:revisionPtr revIDLastSave="0" documentId="13_ncr:1_{B35266AC-55C0-46A3-B75C-7ED586104BAD}" xr6:coauthVersionLast="47" xr6:coauthVersionMax="47" xr10:uidLastSave="{00000000-0000-0000-0000-000000000000}"/>
  <bookViews>
    <workbookView xWindow="-120" yWindow="-120" windowWidth="38640" windowHeight="21120" xr2:uid="{70998943-6125-44A3-8664-20CBB2216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 a="1"/>
  <c r="I3" i="1" s="1"/>
  <c r="I18" i="1" l="1"/>
  <c r="I10" i="1"/>
  <c r="I9" i="1"/>
  <c r="I16" i="1"/>
  <c r="I8" i="1"/>
  <c r="I15" i="1"/>
  <c r="I7" i="1"/>
  <c r="I22" i="1"/>
  <c r="I14" i="1"/>
  <c r="I21" i="1"/>
  <c r="I13" i="1"/>
  <c r="I5" i="1"/>
  <c r="I17" i="1"/>
  <c r="I23" i="1"/>
  <c r="I4" i="1"/>
  <c r="I6" i="1"/>
  <c r="I20" i="1"/>
  <c r="I12" i="1"/>
  <c r="I19" i="1"/>
  <c r="I11" i="1"/>
  <c r="H2" i="1"/>
  <c r="I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<sst xmlns="http://schemas.openxmlformats.org/spreadsheetml/2006/main" count="390" uniqueCount="222">
  <si>
    <t>DT</t>
  </si>
  <si>
    <t>SOURCE</t>
  </si>
  <si>
    <t>TARGET</t>
  </si>
  <si>
    <t>KABEL</t>
  </si>
  <si>
    <t>DULJINA</t>
  </si>
  <si>
    <t>DULJINA UKUPNO</t>
  </si>
  <si>
    <t>BBJQ01/W3</t>
  </si>
  <si>
    <t>=+</t>
  </si>
  <si>
    <t>=Y BJP12+Y BJP12-XT1</t>
  </si>
  <si>
    <t>W55</t>
  </si>
  <si>
    <t>=Y BJP12+Y BJP12-X170</t>
  </si>
  <si>
    <t>=Y BJP12+Y BJP12-E55</t>
  </si>
  <si>
    <t>H05VV-F 3x1.5 mm²</t>
  </si>
  <si>
    <t>unutarnje ožičenje ormara Y BJP12</t>
  </si>
  <si>
    <t>W56</t>
  </si>
  <si>
    <t>=Y BJP12+Y BJP12-S55</t>
  </si>
  <si>
    <t>H05VV-F</t>
  </si>
  <si>
    <t>W65</t>
  </si>
  <si>
    <t>=Y BJP12+Y BJP12-S65</t>
  </si>
  <si>
    <t>2x1 mm²</t>
  </si>
  <si>
    <t>W67</t>
  </si>
  <si>
    <t>=Y BJP12+Y BJP12-P65</t>
  </si>
  <si>
    <t>4x1 mm²</t>
  </si>
  <si>
    <t>W1000</t>
  </si>
  <si>
    <t>VW3A1104R10</t>
  </si>
  <si>
    <t>W1001</t>
  </si>
  <si>
    <t>=Y BJP12+Y BJP12-S61</t>
  </si>
  <si>
    <t>W1442</t>
  </si>
  <si>
    <t>=Y BJP12+Y BJP12-A03-X1</t>
  </si>
  <si>
    <t>=Y BJP12+Y BJP12-A01</t>
  </si>
  <si>
    <t>W1470</t>
  </si>
  <si>
    <t>W2090</t>
  </si>
  <si>
    <t>=Y BJP12+Y BJP12-X101</t>
  </si>
  <si>
    <t>=Y BJP12+Y BJP12-A06</t>
  </si>
  <si>
    <t>YBGF04/W004</t>
  </si>
  <si>
    <t>=Y BJP14 Y CDP01+Y BJP14 Y CDP01-X0</t>
  </si>
  <si>
    <t>=Y BFG+Y BFG04-F4</t>
  </si>
  <si>
    <t>YBGF11/W004</t>
  </si>
  <si>
    <t>=Y BFG+Y BFG11-F4</t>
  </si>
  <si>
    <t>YBJP12/W001</t>
  </si>
  <si>
    <t>=Y BJP12+Y BJP12-XT2</t>
  </si>
  <si>
    <t>=?+?-M01</t>
  </si>
  <si>
    <t>YBJP14/W003</t>
  </si>
  <si>
    <t>=Y BJP14 Y CDP01+Y BJP14 Y CDP01-X2</t>
  </si>
  <si>
    <t>=POMOĆNI SUSTAV DOBAVE+POMOĆNI SUSTAV DOBAVE-RDV-1</t>
  </si>
  <si>
    <t>YBJP14/W004</t>
  </si>
  <si>
    <t>=POMOĆNI SUSTAV DOBAVE+POMOĆNI SUSTAV DOBAVE-RV-1</t>
  </si>
  <si>
    <t>YBJP14/W005</t>
  </si>
  <si>
    <t>=GLAVNI SUSTAV DOBAVE+GLAVNI SUSTAV DOBAVE-LZ-6</t>
  </si>
  <si>
    <t>YBJP14/W006</t>
  </si>
  <si>
    <t>=BAZEN VODE RASHLADE+BAZEN VODE RASHLADE-FILTAR1</t>
  </si>
  <si>
    <t>YBJP14/W007</t>
  </si>
  <si>
    <t>=BAZEN VODE RASHLADE+BAZEN VODE RASHLADE-FILTAR2</t>
  </si>
  <si>
    <t>YBJP14/W008</t>
  </si>
  <si>
    <t>=BAZEN VODE RASHLADE+BAZEN VODE RASHLADE-FILTAR3</t>
  </si>
  <si>
    <t>YBJP14/W009</t>
  </si>
  <si>
    <t>=GRAVITACIJSKI CJEVOVOD+GRAVITACIJSKI CJEVOVOD-FILTAR4</t>
  </si>
  <si>
    <t>YBJP14/W010</t>
  </si>
  <si>
    <t>=SUSTAV KLIMATIZACIJE+SUSTAV KLIMATIZACIJE-FILTAR5</t>
  </si>
  <si>
    <t>YBJP14/W031</t>
  </si>
  <si>
    <t>=Y BJP14 Y CDP01+Y BJP14 Y CDP01-X3</t>
  </si>
  <si>
    <t>=ODVODNI TUNEL AGREGATA A+ODVODNI TUNEL AGREGATA A-X</t>
  </si>
  <si>
    <t>YBJP14/W032</t>
  </si>
  <si>
    <t>=ODVODNI TUNEL AGREGATA B+ODVODNI TUNEL AGREGATA B-X</t>
  </si>
  <si>
    <t>YBJP14/W033</t>
  </si>
  <si>
    <t>=ODVODNI TUNEL AGREGATA C+ODVODNI TUNEL AGREGATA C-X</t>
  </si>
  <si>
    <t>YBJP14/W034</t>
  </si>
  <si>
    <t>=Y BJP14 GH001+Y BJP14 GH001-X1</t>
  </si>
  <si>
    <t>YBJP14/W035</t>
  </si>
  <si>
    <t>=Y CDD01+Y CDD01-X?</t>
  </si>
  <si>
    <t>nije konačna duljina</t>
  </si>
  <si>
    <t>YBJP14/W036</t>
  </si>
  <si>
    <t>=Y BJP11+Y BJP11-X200</t>
  </si>
  <si>
    <t>YBJP14/W037</t>
  </si>
  <si>
    <t>=Y BJP12+Y BJP12-X200</t>
  </si>
  <si>
    <t>YBJP14/W038</t>
  </si>
  <si>
    <t>=Y BJP13+Y BJP13-X200</t>
  </si>
  <si>
    <t>YBJP14GH001/W201</t>
  </si>
  <si>
    <t>=Y BJP14 GH001+Y BJP14 GH001-X100</t>
  </si>
  <si>
    <t>HSLCH 3x1.5 mm²</t>
  </si>
  <si>
    <t>YBJP14GH001/W202</t>
  </si>
  <si>
    <t>YBJP14GH001/W203</t>
  </si>
  <si>
    <t>YBJP14GH001/W204</t>
  </si>
  <si>
    <t>YBJP14GH001/W301</t>
  </si>
  <si>
    <t>=Y BJP14 GH001+Y BJP14 GH001-X200</t>
  </si>
  <si>
    <t>=BAZEN VODE RASHLADE+BAZEN VODE RASHLADE-B111</t>
  </si>
  <si>
    <t>HSLCH-JZ 3x1.5 mm²</t>
  </si>
  <si>
    <t>YBJP14GH001/W302</t>
  </si>
  <si>
    <t>=BAZEN VODE RASHLADE+BAZEN VODE RASHLADE-B112</t>
  </si>
  <si>
    <t>YBJP14GH001/W401</t>
  </si>
  <si>
    <t>YBJP14GH001/W402</t>
  </si>
  <si>
    <t>YBJP14WGND</t>
  </si>
  <si>
    <t>=Y BJP14 Y CDP01+Y BJP14 Y CDP01-PE</t>
  </si>
  <si>
    <t>NYY-J 1x25 mm²</t>
  </si>
  <si>
    <t>YBUA51/W136</t>
  </si>
  <si>
    <t>=Y BUA51+Y BUA51-X?</t>
  </si>
  <si>
    <t>=Y BJP14 Y CDP01+Y BJP14 Y CDP01-X100</t>
  </si>
  <si>
    <t>YBUA52/W136</t>
  </si>
  <si>
    <t>=Y BUA52+Y BUA52-X?</t>
  </si>
  <si>
    <t>YCDP01/W201</t>
  </si>
  <si>
    <t>=Y BJP14 Y CDP01+Y BJP14 Y CDP01-X104</t>
  </si>
  <si>
    <t>=POMOĆNI SUSTAV DOBAVE+POMOĆNI SUSTAV DOBAVE-X?</t>
  </si>
  <si>
    <t>HSLCH-JZ 5x1.5 mm²</t>
  </si>
  <si>
    <t>YCDP01/W202</t>
  </si>
  <si>
    <t>YCDP01/W203</t>
  </si>
  <si>
    <t>=Y BJP14 Y CDP01+Y BJP14 Y CDP01-X103</t>
  </si>
  <si>
    <t>YCDP01/W204</t>
  </si>
  <si>
    <t>=GLAVNI SUSTAV DOBAVE+GLAVNI SUSTAV DOBAVE-X?</t>
  </si>
  <si>
    <t>YCDP01/W205</t>
  </si>
  <si>
    <t>=ZASUN NA OTCJEPU+ZASUN NA OTCJEPU-X?</t>
  </si>
  <si>
    <t>YCDP01/W206</t>
  </si>
  <si>
    <t>=VENTIL RASHLADE KUĆNA MAŠINA+VENTIL RASHLADE KUĆNA MAŠINA-X?</t>
  </si>
  <si>
    <t>YCDP01/W207</t>
  </si>
  <si>
    <t>=YCND01+YCND01-X?</t>
  </si>
  <si>
    <t>HSLCH-JZ 7x1.5 mm²</t>
  </si>
  <si>
    <t>YCDP01/W208</t>
  </si>
  <si>
    <t>HSLCH 5x1.5 mm²</t>
  </si>
  <si>
    <t>YCDP01/W209</t>
  </si>
  <si>
    <t>=KUCNI AGREGAT+KUCNI AGREGAT-X?</t>
  </si>
  <si>
    <t>YCDP01/W301</t>
  </si>
  <si>
    <t>=Y BJP14 Y CDP01+Y BJP14 Y CDP01-X202.1</t>
  </si>
  <si>
    <t>YCDP01/W302</t>
  </si>
  <si>
    <t>=Y BJP14 Y CDP01+Y BJP14 Y CDP01-X202.5</t>
  </si>
  <si>
    <t>=POMOĆNI SUSTAV DOBAVE+POMOĆNI SUSTAV DOBAVE-X</t>
  </si>
  <si>
    <t>YCDP01/W303</t>
  </si>
  <si>
    <t>=Y BJP11+Y BJP11-X300</t>
  </si>
  <si>
    <t>=Y BJP14 Y CDP01+Y BJP14 Y CDP01-X202.2</t>
  </si>
  <si>
    <t>YCDP01/W304</t>
  </si>
  <si>
    <t>=Y BJP12+Y BJP12-X300</t>
  </si>
  <si>
    <t>=Y BJP14 Y CDP01+Y BJP14 Y CDP01-X202.3</t>
  </si>
  <si>
    <t>YCDP01/W305</t>
  </si>
  <si>
    <t>=Y BJP13+Y BJP13-X300</t>
  </si>
  <si>
    <t>=Y BJP14 Y CDP01+Y BJP14 Y CDP01-X202.4</t>
  </si>
  <si>
    <t>YCDP01/W306</t>
  </si>
  <si>
    <t>=Y BJP14 Y CDP01+Y BJP14 Y CDP01-X201.7</t>
  </si>
  <si>
    <t>HSLCH-JZ 12x1.5 mm²</t>
  </si>
  <si>
    <t>YCDP01/W307</t>
  </si>
  <si>
    <t>=Y BJP11+Y BJP11-X205</t>
  </si>
  <si>
    <t>=Y BJP14 Y CDP01+Y BJP14 Y CDP01-X302</t>
  </si>
  <si>
    <t>YCDP01/W308</t>
  </si>
  <si>
    <t>YCDP01/W309</t>
  </si>
  <si>
    <t>=Y BJP12+Y BJP12-X205</t>
  </si>
  <si>
    <t>YCDP01/W310</t>
  </si>
  <si>
    <t>YCDP01/W311</t>
  </si>
  <si>
    <t>=Y BJP13+Y BJP13-X205</t>
  </si>
  <si>
    <t>YCDP01/W312</t>
  </si>
  <si>
    <t>=Y BJP14 Y CDP01+Y BJP14 Y CDP01-X202.6</t>
  </si>
  <si>
    <t>=SUSTAV KLIMATIZACIJE+SUSTAV KLIMATIZACIJE-BF1</t>
  </si>
  <si>
    <t>YCDP01/W313</t>
  </si>
  <si>
    <t>=POMOĆNI SUSTAV DOBAVE+POMOĆNI SUSTAV DOBAVE-BF1</t>
  </si>
  <si>
    <t>YCDP01/W401</t>
  </si>
  <si>
    <t>=Y BJP14 Y CDP01+Y BJP14 Y CDP01-X201.5</t>
  </si>
  <si>
    <t>HSLCH 7x1.5 mm²</t>
  </si>
  <si>
    <t>YCDP01/W402</t>
  </si>
  <si>
    <t>=ODVODNI TUNEL AGREGATA A+ODVODNI TUNEL AGREGATA A-BF1</t>
  </si>
  <si>
    <t>YCDP01/W403</t>
  </si>
  <si>
    <t>=ODVODNI TUNEL AGREGATA B+ODVODNI TUNEL AGREGATA B-BF1</t>
  </si>
  <si>
    <t>YCDP01/W404</t>
  </si>
  <si>
    <t>=ODVODNI TUNEL AGREGATA C+ODVODNI TUNEL AGREGATA C-BF1</t>
  </si>
  <si>
    <t>YCDP01/W405</t>
  </si>
  <si>
    <t>=POMOĆNI SUSTAV DOBAVE+POMOĆNI SUSTAV DOBAVE-B111</t>
  </si>
  <si>
    <t>YCDP01/W406</t>
  </si>
  <si>
    <t>YCDP01/W407</t>
  </si>
  <si>
    <t>=POMOĆNI SUSTAV DOBAVE+POMOĆNI SUSTAV DOBAVE-BS1</t>
  </si>
  <si>
    <t>YCDP01/W408</t>
  </si>
  <si>
    <t>=POMOĆNI SUSTAV DOBAVE+POMOĆNI SUSTAV DOBAVE-BS2</t>
  </si>
  <si>
    <t>YCDP01/W409</t>
  </si>
  <si>
    <t>=POMOĆNI SUSTAV DOBAVE+POMOĆNI SUSTAV DOBAVE-BS3</t>
  </si>
  <si>
    <t>YCDP01/W413</t>
  </si>
  <si>
    <t>YCDP01/W441</t>
  </si>
  <si>
    <t>=A MKF01+A MKF01 GH001-PTL1</t>
  </si>
  <si>
    <t>YCDP01/W442</t>
  </si>
  <si>
    <t>=A MKF01+A MKF01 GH001-PTDE</t>
  </si>
  <si>
    <t>HSLCH-OZ 3x1.5 mm²</t>
  </si>
  <si>
    <t>YCDP01/W443</t>
  </si>
  <si>
    <t>=A MKF01+A MKF01 GH001-PTNDE</t>
  </si>
  <si>
    <t>YCDP01/W444</t>
  </si>
  <si>
    <t>=A MKF01+A MKF01 GH001-PTH1</t>
  </si>
  <si>
    <t>YCDP01/W445</t>
  </si>
  <si>
    <t>=B MKF01+B MKF01 GH001-PTL1</t>
  </si>
  <si>
    <t>YCDP01/W446</t>
  </si>
  <si>
    <t>=B MKF01+B MKF01 GH001-PTDE</t>
  </si>
  <si>
    <t>YCDP01/W447</t>
  </si>
  <si>
    <t>=B MKF01+B MKF01 GH001-PTNDE</t>
  </si>
  <si>
    <t>YCDP01/W448</t>
  </si>
  <si>
    <t>=B MKF01+B MKF01 GH001-PTH1</t>
  </si>
  <si>
    <t>YCDP01/W449</t>
  </si>
  <si>
    <t>=C MKF01+C MKF01 GH001-PTL1</t>
  </si>
  <si>
    <t>YCDP01/W450</t>
  </si>
  <si>
    <t>=C MKF01+C MKF01 GH001-PTDE</t>
  </si>
  <si>
    <t>YCDP01/W451</t>
  </si>
  <si>
    <t>=C MKF01+C MKF01 GH001-PTNDE</t>
  </si>
  <si>
    <t>YCDP01/W452</t>
  </si>
  <si>
    <t>=C MKF01+C MKF01 GH001-PTH1</t>
  </si>
  <si>
    <t>YCDP01/W471</t>
  </si>
  <si>
    <t>YCDP01/W472</t>
  </si>
  <si>
    <t>YCDP01/W473</t>
  </si>
  <si>
    <t>YCDP01/W701</t>
  </si>
  <si>
    <t>=Y BJP14 Y CDP01+Y BJP14 Y CDP01-X301</t>
  </si>
  <si>
    <t>=A CJD01+A CJD01-X</t>
  </si>
  <si>
    <t>YCDP01/W702</t>
  </si>
  <si>
    <t>=B CJD01+B CJD01-X</t>
  </si>
  <si>
    <t>YCDP01/W703</t>
  </si>
  <si>
    <t>=C CJD01+C CJD01-X</t>
  </si>
  <si>
    <t>YCDP01/W704</t>
  </si>
  <si>
    <t>=Y BJP14 Y CDP01+Y BJP14 Y CDP01-X303</t>
  </si>
  <si>
    <t>=KAGR+KAGR+P3-X</t>
  </si>
  <si>
    <t>YCDP01/W901</t>
  </si>
  <si>
    <t>=Y BJP11+Y BJP11-U?</t>
  </si>
  <si>
    <t>=Y BJP14 Y CDP01+Y BJP14 Y CDP01-U111</t>
  </si>
  <si>
    <t>ETHERLINE Y CAT5 2X2XAWG22</t>
  </si>
  <si>
    <t>YCDP01/W902</t>
  </si>
  <si>
    <t>=Y BJP12+Y BJP12-U?</t>
  </si>
  <si>
    <t>YCDP01/W903</t>
  </si>
  <si>
    <t>=Y BJP13+Y BJP13-U?</t>
  </si>
  <si>
    <t>YCDP01/W951</t>
  </si>
  <si>
    <t>OPTIKA</t>
  </si>
  <si>
    <t>N2XCH 4x120/70 mm²</t>
  </si>
  <si>
    <t>N2XCH-J 4x16/16 mm²</t>
  </si>
  <si>
    <t>N2XCH 3x2.5/2.5 mm²</t>
  </si>
  <si>
    <t>N2XCH 2x2.5/2.5 mm²</t>
  </si>
  <si>
    <t>N2XCH 2x10/10 mm²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</si>
</sst>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&quot;m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47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</cellStyleXfs>
  <cellXfs count="37">
    <xf numFmtId="0" fontId="0" fillId="0" borderId="0" xfId="0"/>
    <xf numFmtId="164" fontId="0" fillId="0" borderId="2" xfId="5" applyNumberFormat="1" applyFont="1" applyBorder="1"/>
    <xf numFmtId="164" fontId="1" fillId="0" borderId="2" xfId="5" applyNumberFormat="1" applyBorder="1"/>
    <xf numFmtId="164" fontId="1" fillId="2" borderId="2" xfId="5" applyNumberFormat="1" applyFill="1" applyBorder="1"/>
    <xf numFmtId="164" fontId="1" fillId="3" borderId="2" xfId="5" applyNumberFormat="1" applyFill="1" applyBorder="1"/>
    <xf numFmtId="164" fontId="1" fillId="0" borderId="5" xfId="5" applyNumberFormat="1" applyBorder="1"/>
    <xf numFmtId="0" fontId="0" fillId="0" borderId="0" xfId="0" applyNumberFormat="1"/>
    <xf numFmtId="0" fontId="1" fillId="0" borderId="0" xfId="6" applyNumberFormat="1"/>
    <xf numFmtId="0" fontId="1" fillId="0" borderId="0" xfId="8" applyNumberFormat="1"/>
    <xf numFmtId="0" fontId="0" fillId="0" borderId="1" xfId="1" applyNumberFormat="1" applyFont="1" applyBorder="1"/>
    <xf numFmtId="0" fontId="1" fillId="0" borderId="0" xfId="2" applyNumberFormat="1"/>
    <xf numFmtId="0" fontId="1" fillId="0" borderId="0" xfId="3" applyNumberFormat="1"/>
    <xf numFmtId="0" fontId="1" fillId="0" borderId="0" xfId="4" applyNumberFormat="1"/>
    <xf numFmtId="0" fontId="1" fillId="0" borderId="0" xfId="7" applyNumberFormat="1"/>
    <xf numFmtId="0" fontId="1" fillId="0" borderId="1" xfId="1" applyNumberFormat="1" applyBorder="1"/>
    <xf numFmtId="0" fontId="1" fillId="2" borderId="1" xfId="1" applyNumberFormat="1" applyFill="1" applyBorder="1"/>
    <xf numFmtId="0" fontId="1" fillId="2" borderId="0" xfId="2" applyNumberFormat="1" applyFill="1"/>
    <xf numFmtId="0" fontId="1" fillId="2" borderId="0" xfId="3" applyNumberFormat="1" applyFill="1"/>
    <xf numFmtId="0" fontId="1" fillId="2" borderId="0" xfId="4" applyNumberFormat="1" applyFill="1"/>
    <xf numFmtId="0" fontId="2" fillId="3" borderId="0" xfId="4" applyNumberFormat="1" applyFont="1" applyFill="1"/>
    <xf numFmtId="0" fontId="0" fillId="2" borderId="1" xfId="1" applyNumberFormat="1" applyFont="1" applyFill="1" applyBorder="1"/>
    <xf numFmtId="0" fontId="1" fillId="0" borderId="3" xfId="1" applyNumberFormat="1" applyBorder="1"/>
    <xf numFmtId="0" fontId="1" fillId="0" borderId="4" xfId="2" applyNumberFormat="1" applyBorder="1"/>
    <xf numFmtId="0" fontId="1" fillId="0" borderId="4" xfId="3" applyNumberFormat="1" applyBorder="1"/>
    <xf numFmtId="0" fontId="0" fillId="0" borderId="4" xfId="4" applyNumberFormat="1" applyFont="1" applyBorder="1"/>
    <xf numFmtId="0" fontId="1" fillId="0" borderId="0" xfId="2" applyNumberFormat="1" applyBorder="1"/>
    <xf numFmtId="0" fontId="1" fillId="0" borderId="0" xfId="3" applyNumberFormat="1" applyBorder="1"/>
    <xf numFmtId="0" fontId="1" fillId="0" borderId="0" xfId="4" applyNumberFormat="1" applyBorder="1"/>
    <xf numFmtId="0" fontId="2" fillId="0" borderId="6" xfId="0" applyNumberFormat="1" applyFont="1" applyBorder="1"/>
    <xf numFmtId="0" fontId="2" fillId="0" borderId="7" xfId="0" applyNumberFormat="1" applyFont="1" applyBorder="1"/>
    <xf numFmtId="0" fontId="2" fillId="0" borderId="8" xfId="0" applyNumberFormat="1" applyFont="1" applyBorder="1"/>
    <xf numFmtId="0" fontId="1" fillId="0" borderId="1" xfId="7" applyNumberFormat="1" applyBorder="1"/>
    <xf numFmtId="0" fontId="1" fillId="0" borderId="2" xfId="8" applyNumberFormat="1" applyBorder="1"/>
    <xf numFmtId="164" fontId="1" fillId="0" borderId="1" xfId="7" applyNumberFormat="1" applyBorder="1"/>
    <xf numFmtId="0" fontId="1" fillId="0" borderId="3" xfId="7" applyNumberFormat="1" applyBorder="1"/>
    <xf numFmtId="0" fontId="1" fillId="0" borderId="5" xfId="8" applyNumberFormat="1" applyBorder="1"/>
    <xf numFmtId="0" fontId="0" fillId="0" borderId="1" xfId="7" applyNumberFormat="1" applyFont="1" applyBorder="1"/>
  </cellXfs>
  <cellStyles count="9">
    <cellStyle name="ColStyle1" xfId="1" xr:uid="{B7ADAF5C-D8A7-40D5-996D-FCDEF4E028D4}"/>
    <cellStyle name="ColStyle2" xfId="2" xr:uid="{82784AA1-B395-4062-BF44-742DA8BDA1A8}"/>
    <cellStyle name="ColStyle3" xfId="3" xr:uid="{47695AB7-369C-45AA-AC92-ECED4BFA3E2C}"/>
    <cellStyle name="ColStyle4" xfId="4" xr:uid="{76D7927F-30FB-4A0D-A9FA-7B3080FB9824}"/>
    <cellStyle name="ColStyle5" xfId="5" xr:uid="{36C80A17-7203-466B-9879-4884B9C8E1CB}"/>
    <cellStyle name="ColStyle6" xfId="6" xr:uid="{19602DA8-AA5B-4338-8F9B-92B6A8C6F46F}"/>
    <cellStyle name="ColStyle7" xfId="7" xr:uid="{CAB89A3A-538B-4053-BB3D-4F13759E59BB}"/>
    <cellStyle name="ColStyle8" xfId="8" xr:uid="{0F52370E-3C59-4798-A75F-3697AD8913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CBF8-AC3A-4A4B-81BC-95AC17C4B5FB}">
  <dimension ref="A1:I96"/>
  <sheetViews>
    <sheetView tabSelected="1" workbookViewId="0">
      <selection activeCell="G30" sqref="G30"/>
    </sheetView>
  </sheetViews>
  <sheetFormatPr defaultRowHeight="15" x14ac:dyDescent="0.25"/>
  <cols>
    <col min="1" max="1" width="20.42578125" style="6" customWidth="1"/>
    <col min="2" max="3" width="66.42578125" style="6" customWidth="1"/>
    <col min="4" max="5" width="33.28515625" style="6" customWidth="1"/>
    <col min="6" max="6" width="19.140625" style="6" bestFit="1" customWidth="1"/>
    <col min="7" max="7" width="9.140625" style="6"/>
    <col min="8" max="9" width="28.7109375" style="6" customWidth="1"/>
    <col min="10" max="16384" width="9.140625" style="6"/>
  </cols>
  <sheetData>
    <row r="1" spans="1:9" ht="15.75" thickBot="1" x14ac:dyDescent="0.3">
      <c r="A1" s="28" t="s">
        <v>0</v>
      </c>
      <c r="B1" s="29" t="s">
        <v>1</v>
      </c>
      <c r="C1" s="29" t="s">
        <v>2</v>
      </c>
      <c r="D1" s="29" t="s">
        <v>3</v>
      </c>
      <c r="E1" s="30" t="s">
        <v>4</v>
      </c>
      <c r="H1" s="28" t="s">
        <v>3</v>
      </c>
      <c r="I1" s="30" t="s">
        <v>5</v>
      </c>
    </row>
    <row r="2" spans="1:9" x14ac:dyDescent="0.25">
      <c r="A2" s="14" t="s">
        <v>6</v>
      </c>
      <c r="B2" s="25" t="s">
        <v>7</v>
      </c>
      <c r="C2" s="26" t="s">
        <v>8</v>
      </c>
      <c r="D2" s="27" t="s">
        <v>217</v>
      </c>
      <c r="E2" s="2">
        <v>15</v>
      </c>
      <c r="G2" s="7"/>
      <c r="H2" s="36" t="str" cm="1">
        <f t="array" ref="H2:H23">_xlfn.UNIQUE(D2:D96)</f>
        <v>N2XCH 4x120/70 mm²</v>
      </c>
      <c r="I2" s="32">
        <f>SUMIF($D$2:$D$96,H2,$E$2:$E$96)</f>
        <v>15</v>
      </c>
    </row>
    <row r="3" spans="1:9" x14ac:dyDescent="0.25">
      <c r="A3" s="9" t="s">
        <v>9</v>
      </c>
      <c r="B3" s="10" t="s">
        <v>10</v>
      </c>
      <c r="C3" s="11" t="s">
        <v>11</v>
      </c>
      <c r="D3" s="12" t="s">
        <v>12</v>
      </c>
      <c r="E3" s="1" t="s">
        <v>13</v>
      </c>
      <c r="G3" s="7"/>
      <c r="H3" s="31" t="str">
        <v>H05VV-F 3x1.5 mm²</v>
      </c>
      <c r="I3" s="32">
        <f t="shared" ref="I3:I23" si="0">SUMIF($D$2:$D$96,H3,$E$2:$E$96)</f>
        <v>0</v>
      </c>
    </row>
    <row r="4" spans="1:9" x14ac:dyDescent="0.25">
      <c r="A4" s="14" t="s">
        <v>14</v>
      </c>
      <c r="B4" s="10" t="s">
        <v>10</v>
      </c>
      <c r="C4" s="11" t="s">
        <v>15</v>
      </c>
      <c r="D4" s="12" t="s">
        <v>16</v>
      </c>
      <c r="E4" s="2" t="s">
        <v>13</v>
      </c>
      <c r="G4" s="7"/>
      <c r="H4" s="31" t="str">
        <v>H05VV-F</v>
      </c>
      <c r="I4" s="32">
        <f t="shared" si="0"/>
        <v>0</v>
      </c>
    </row>
    <row r="5" spans="1:9" x14ac:dyDescent="0.25">
      <c r="A5" s="14" t="s">
        <v>17</v>
      </c>
      <c r="B5" s="10" t="s">
        <v>10</v>
      </c>
      <c r="C5" s="11" t="s">
        <v>18</v>
      </c>
      <c r="D5" s="12" t="s">
        <v>19</v>
      </c>
      <c r="E5" s="2" t="s">
        <v>13</v>
      </c>
      <c r="G5" s="7"/>
      <c r="H5" s="31" t="str">
        <v>2x1 mm²</v>
      </c>
      <c r="I5" s="32">
        <f t="shared" si="0"/>
        <v>0</v>
      </c>
    </row>
    <row r="6" spans="1:9" x14ac:dyDescent="0.25">
      <c r="A6" s="14" t="s">
        <v>20</v>
      </c>
      <c r="B6" s="10" t="s">
        <v>10</v>
      </c>
      <c r="C6" s="11" t="s">
        <v>21</v>
      </c>
      <c r="D6" s="12" t="s">
        <v>22</v>
      </c>
      <c r="E6" s="2" t="s">
        <v>13</v>
      </c>
      <c r="G6" s="7"/>
      <c r="H6" s="31" t="str">
        <v>4x1 mm²</v>
      </c>
      <c r="I6" s="32">
        <f t="shared" si="0"/>
        <v>0</v>
      </c>
    </row>
    <row r="7" spans="1:9" x14ac:dyDescent="0.25">
      <c r="A7" s="14" t="s">
        <v>23</v>
      </c>
      <c r="B7" s="10"/>
      <c r="C7" s="11"/>
      <c r="D7" s="12" t="s">
        <v>24</v>
      </c>
      <c r="E7" s="2" t="s">
        <v>13</v>
      </c>
      <c r="G7" s="7"/>
      <c r="H7" s="31" t="str">
        <v>VW3A1104R10</v>
      </c>
      <c r="I7" s="32">
        <f t="shared" si="0"/>
        <v>0</v>
      </c>
    </row>
    <row r="8" spans="1:9" x14ac:dyDescent="0.25">
      <c r="A8" s="9" t="s">
        <v>25</v>
      </c>
      <c r="B8" s="10" t="s">
        <v>10</v>
      </c>
      <c r="C8" s="11" t="s">
        <v>26</v>
      </c>
      <c r="D8" s="12" t="s">
        <v>19</v>
      </c>
      <c r="E8" s="2" t="s">
        <v>13</v>
      </c>
      <c r="G8" s="7"/>
      <c r="H8" s="31">
        <v>0</v>
      </c>
      <c r="I8" s="32">
        <f t="shared" si="0"/>
        <v>0</v>
      </c>
    </row>
    <row r="9" spans="1:9" x14ac:dyDescent="0.25">
      <c r="A9" s="9" t="s">
        <v>27</v>
      </c>
      <c r="B9" s="10" t="s">
        <v>28</v>
      </c>
      <c r="C9" s="11" t="s">
        <v>29</v>
      </c>
      <c r="D9" s="12"/>
      <c r="E9" s="2" t="s">
        <v>13</v>
      </c>
      <c r="G9" s="7"/>
      <c r="H9" s="31" t="str">
        <v>N2XCH-J 4x16/16 mm²</v>
      </c>
      <c r="I9" s="32">
        <f t="shared" si="0"/>
        <v>200</v>
      </c>
    </row>
    <row r="10" spans="1:9" x14ac:dyDescent="0.25">
      <c r="A10" s="9" t="s">
        <v>30</v>
      </c>
      <c r="B10" s="10"/>
      <c r="C10" s="11"/>
      <c r="D10" s="12"/>
      <c r="E10" s="2" t="s">
        <v>13</v>
      </c>
      <c r="G10" s="7"/>
      <c r="H10" s="31" t="str">
        <v>N2XCH 3x2.5/2.5 mm²</v>
      </c>
      <c r="I10" s="32">
        <f t="shared" si="0"/>
        <v>405</v>
      </c>
    </row>
    <row r="11" spans="1:9" x14ac:dyDescent="0.25">
      <c r="A11" s="9" t="s">
        <v>31</v>
      </c>
      <c r="B11" s="10" t="s">
        <v>32</v>
      </c>
      <c r="C11" s="11" t="s">
        <v>33</v>
      </c>
      <c r="D11" s="12"/>
      <c r="E11" s="2" t="s">
        <v>13</v>
      </c>
      <c r="G11" s="7"/>
      <c r="H11" s="33" t="str">
        <v>N2XCH 2x2.5/2.5 mm²</v>
      </c>
      <c r="I11" s="32">
        <f t="shared" si="0"/>
        <v>680</v>
      </c>
    </row>
    <row r="12" spans="1:9" x14ac:dyDescent="0.25">
      <c r="A12" s="14" t="s">
        <v>34</v>
      </c>
      <c r="B12" s="10" t="s">
        <v>35</v>
      </c>
      <c r="C12" s="11" t="s">
        <v>36</v>
      </c>
      <c r="D12" s="12" t="s">
        <v>218</v>
      </c>
      <c r="E12" s="2">
        <v>95</v>
      </c>
      <c r="G12" s="7"/>
      <c r="H12" s="31" t="str">
        <v>HSLCH 3x1.5 mm²</v>
      </c>
      <c r="I12" s="32">
        <f t="shared" si="0"/>
        <v>45</v>
      </c>
    </row>
    <row r="13" spans="1:9" x14ac:dyDescent="0.25">
      <c r="A13" s="14" t="s">
        <v>37</v>
      </c>
      <c r="B13" s="10" t="s">
        <v>35</v>
      </c>
      <c r="C13" s="11" t="s">
        <v>38</v>
      </c>
      <c r="D13" s="12" t="s">
        <v>218</v>
      </c>
      <c r="E13" s="2">
        <v>105</v>
      </c>
      <c r="G13" s="7"/>
      <c r="H13" s="31" t="str">
        <v>HSLCH-JZ 3x1.5 mm²</v>
      </c>
      <c r="I13" s="32">
        <f t="shared" si="0"/>
        <v>475</v>
      </c>
    </row>
    <row r="14" spans="1:9" x14ac:dyDescent="0.25">
      <c r="A14" s="15" t="s">
        <v>39</v>
      </c>
      <c r="B14" s="16" t="s">
        <v>40</v>
      </c>
      <c r="C14" s="17" t="s">
        <v>41</v>
      </c>
      <c r="D14" s="18" t="s">
        <v>217</v>
      </c>
      <c r="E14" s="3"/>
      <c r="G14" s="7"/>
      <c r="H14" s="31" t="str">
        <v>NYY-J 1x25 mm²</v>
      </c>
      <c r="I14" s="32">
        <f t="shared" si="0"/>
        <v>0</v>
      </c>
    </row>
    <row r="15" spans="1:9" x14ac:dyDescent="0.25">
      <c r="A15" s="14" t="s">
        <v>42</v>
      </c>
      <c r="B15" s="10" t="s">
        <v>43</v>
      </c>
      <c r="C15" s="11" t="s">
        <v>44</v>
      </c>
      <c r="D15" s="12" t="s">
        <v>219</v>
      </c>
      <c r="E15" s="2">
        <v>40</v>
      </c>
      <c r="G15" s="7"/>
      <c r="H15" s="31" t="str">
        <v>N2XCH 2x10/10 mm²</v>
      </c>
      <c r="I15" s="32">
        <f t="shared" si="0"/>
        <v>299</v>
      </c>
    </row>
    <row r="16" spans="1:9" x14ac:dyDescent="0.25">
      <c r="A16" s="9" t="s">
        <v>45</v>
      </c>
      <c r="B16" s="10" t="s">
        <v>43</v>
      </c>
      <c r="C16" s="11" t="s">
        <v>46</v>
      </c>
      <c r="D16" s="12" t="s">
        <v>219</v>
      </c>
      <c r="E16" s="2">
        <v>35</v>
      </c>
      <c r="G16" s="7"/>
      <c r="H16" s="31" t="str">
        <v>HSLCH-JZ 5x1.5 mm²</v>
      </c>
      <c r="I16" s="32">
        <f t="shared" si="0"/>
        <v>140</v>
      </c>
    </row>
    <row r="17" spans="1:9" x14ac:dyDescent="0.25">
      <c r="A17" s="14" t="s">
        <v>47</v>
      </c>
      <c r="B17" s="10" t="s">
        <v>43</v>
      </c>
      <c r="C17" s="11" t="s">
        <v>48</v>
      </c>
      <c r="D17" s="12" t="s">
        <v>219</v>
      </c>
      <c r="E17" s="2">
        <v>65</v>
      </c>
      <c r="G17" s="7"/>
      <c r="H17" s="31" t="str">
        <v>HSLCH-JZ 7x1.5 mm²</v>
      </c>
      <c r="I17" s="32">
        <f t="shared" si="0"/>
        <v>90</v>
      </c>
    </row>
    <row r="18" spans="1:9" x14ac:dyDescent="0.25">
      <c r="A18" s="14" t="s">
        <v>49</v>
      </c>
      <c r="B18" s="10" t="s">
        <v>43</v>
      </c>
      <c r="C18" s="11" t="s">
        <v>50</v>
      </c>
      <c r="D18" s="12" t="s">
        <v>219</v>
      </c>
      <c r="E18" s="2">
        <v>65</v>
      </c>
      <c r="G18" s="7"/>
      <c r="H18" s="31" t="str">
        <v>HSLCH 5x1.5 mm²</v>
      </c>
      <c r="I18" s="32">
        <f t="shared" si="0"/>
        <v>65</v>
      </c>
    </row>
    <row r="19" spans="1:9" x14ac:dyDescent="0.25">
      <c r="A19" s="14" t="s">
        <v>51</v>
      </c>
      <c r="B19" s="10" t="s">
        <v>43</v>
      </c>
      <c r="C19" s="11" t="s">
        <v>52</v>
      </c>
      <c r="D19" s="12" t="s">
        <v>219</v>
      </c>
      <c r="E19" s="2">
        <v>65</v>
      </c>
      <c r="G19" s="7"/>
      <c r="H19" s="31" t="str">
        <v>HSLCH-JZ 12x1.5 mm²</v>
      </c>
      <c r="I19" s="32">
        <f t="shared" si="0"/>
        <v>240</v>
      </c>
    </row>
    <row r="20" spans="1:9" x14ac:dyDescent="0.25">
      <c r="A20" s="14" t="s">
        <v>53</v>
      </c>
      <c r="B20" s="10" t="s">
        <v>43</v>
      </c>
      <c r="C20" s="11" t="s">
        <v>54</v>
      </c>
      <c r="D20" s="12" t="s">
        <v>219</v>
      </c>
      <c r="E20" s="2">
        <v>65</v>
      </c>
      <c r="G20" s="7"/>
      <c r="H20" s="31" t="str">
        <v>HSLCH 7x1.5 mm²</v>
      </c>
      <c r="I20" s="32">
        <f t="shared" si="0"/>
        <v>65</v>
      </c>
    </row>
    <row r="21" spans="1:9" x14ac:dyDescent="0.25">
      <c r="A21" s="14" t="s">
        <v>55</v>
      </c>
      <c r="B21" s="10" t="s">
        <v>43</v>
      </c>
      <c r="C21" s="11" t="s">
        <v>56</v>
      </c>
      <c r="D21" s="12" t="s">
        <v>219</v>
      </c>
      <c r="E21" s="2">
        <v>35</v>
      </c>
      <c r="G21" s="7"/>
      <c r="H21" s="31" t="str">
        <v>HSLCH-OZ 3x1.5 mm²</v>
      </c>
      <c r="I21" s="32">
        <f t="shared" si="0"/>
        <v>0</v>
      </c>
    </row>
    <row r="22" spans="1:9" x14ac:dyDescent="0.25">
      <c r="A22" s="14" t="s">
        <v>57</v>
      </c>
      <c r="B22" s="10" t="s">
        <v>43</v>
      </c>
      <c r="C22" s="11" t="s">
        <v>58</v>
      </c>
      <c r="D22" s="12" t="s">
        <v>219</v>
      </c>
      <c r="E22" s="2">
        <v>35</v>
      </c>
      <c r="G22" s="7"/>
      <c r="H22" s="31" t="str">
        <v>ETHERLINE Y CAT5 2X2XAWG22</v>
      </c>
      <c r="I22" s="32">
        <f t="shared" si="0"/>
        <v>120</v>
      </c>
    </row>
    <row r="23" spans="1:9" x14ac:dyDescent="0.25">
      <c r="A23" s="14" t="s">
        <v>59</v>
      </c>
      <c r="B23" s="10" t="s">
        <v>60</v>
      </c>
      <c r="C23" s="11" t="s">
        <v>61</v>
      </c>
      <c r="D23" s="12" t="s">
        <v>220</v>
      </c>
      <c r="E23" s="1">
        <v>50</v>
      </c>
      <c r="G23" s="7"/>
      <c r="H23" s="34" t="str">
        <v>OPTIKA</v>
      </c>
      <c r="I23" s="35">
        <f t="shared" si="0"/>
        <v>90</v>
      </c>
    </row>
    <row r="24" spans="1:9" x14ac:dyDescent="0.25">
      <c r="A24" s="14" t="s">
        <v>62</v>
      </c>
      <c r="B24" s="10" t="s">
        <v>60</v>
      </c>
      <c r="C24" s="11" t="s">
        <v>63</v>
      </c>
      <c r="D24" s="12" t="s">
        <v>220</v>
      </c>
      <c r="E24" s="1">
        <v>40</v>
      </c>
      <c r="G24" s="7"/>
      <c r="H24" s="13"/>
      <c r="I24" s="8"/>
    </row>
    <row r="25" spans="1:9" x14ac:dyDescent="0.25">
      <c r="A25" s="14" t="s">
        <v>64</v>
      </c>
      <c r="B25" s="10" t="s">
        <v>60</v>
      </c>
      <c r="C25" s="11" t="s">
        <v>65</v>
      </c>
      <c r="D25" s="12" t="s">
        <v>220</v>
      </c>
      <c r="E25" s="1">
        <v>30</v>
      </c>
      <c r="G25" s="7"/>
      <c r="H25" s="13"/>
      <c r="I25" s="8"/>
    </row>
    <row r="26" spans="1:9" x14ac:dyDescent="0.25">
      <c r="A26" s="14" t="s">
        <v>66</v>
      </c>
      <c r="B26" s="10" t="s">
        <v>60</v>
      </c>
      <c r="C26" s="11" t="s">
        <v>67</v>
      </c>
      <c r="D26" s="12" t="s">
        <v>220</v>
      </c>
      <c r="E26" s="1">
        <v>65</v>
      </c>
      <c r="G26" s="7"/>
      <c r="H26" s="13"/>
      <c r="I26" s="8"/>
    </row>
    <row r="27" spans="1:9" x14ac:dyDescent="0.25">
      <c r="A27" s="14" t="s">
        <v>68</v>
      </c>
      <c r="B27" s="10" t="s">
        <v>60</v>
      </c>
      <c r="C27" s="11" t="s">
        <v>69</v>
      </c>
      <c r="D27" s="12" t="s">
        <v>220</v>
      </c>
      <c r="E27" s="4">
        <v>10</v>
      </c>
      <c r="F27" s="19" t="s">
        <v>70</v>
      </c>
      <c r="G27" s="7"/>
      <c r="H27" s="13"/>
      <c r="I27" s="8"/>
    </row>
    <row r="28" spans="1:9" x14ac:dyDescent="0.25">
      <c r="A28" s="14" t="s">
        <v>71</v>
      </c>
      <c r="B28" s="10" t="s">
        <v>72</v>
      </c>
      <c r="C28" s="11" t="s">
        <v>60</v>
      </c>
      <c r="D28" s="12" t="s">
        <v>220</v>
      </c>
      <c r="E28" s="2">
        <v>50</v>
      </c>
      <c r="G28" s="7"/>
      <c r="H28" s="13"/>
      <c r="I28" s="8"/>
    </row>
    <row r="29" spans="1:9" x14ac:dyDescent="0.25">
      <c r="A29" s="14" t="s">
        <v>73</v>
      </c>
      <c r="B29" s="10" t="s">
        <v>74</v>
      </c>
      <c r="C29" s="11" t="s">
        <v>60</v>
      </c>
      <c r="D29" s="12" t="s">
        <v>220</v>
      </c>
      <c r="E29" s="2">
        <v>40</v>
      </c>
      <c r="G29" s="7"/>
      <c r="H29" s="13"/>
      <c r="I29" s="8"/>
    </row>
    <row r="30" spans="1:9" x14ac:dyDescent="0.25">
      <c r="A30" s="14" t="s">
        <v>75</v>
      </c>
      <c r="B30" s="10" t="s">
        <v>76</v>
      </c>
      <c r="C30" s="11" t="s">
        <v>60</v>
      </c>
      <c r="D30" s="12" t="s">
        <v>220</v>
      </c>
      <c r="E30" s="2">
        <v>30</v>
      </c>
      <c r="G30" s="7"/>
      <c r="H30" s="13"/>
      <c r="I30" s="8"/>
    </row>
    <row r="31" spans="1:9" x14ac:dyDescent="0.25">
      <c r="A31" s="14" t="s">
        <v>77</v>
      </c>
      <c r="B31" s="10" t="s">
        <v>78</v>
      </c>
      <c r="C31" s="11" t="s">
        <v>7</v>
      </c>
      <c r="D31" s="12" t="s">
        <v>79</v>
      </c>
      <c r="E31" s="2">
        <v>10</v>
      </c>
      <c r="G31" s="7"/>
      <c r="H31" s="13"/>
      <c r="I31" s="8"/>
    </row>
    <row r="32" spans="1:9" x14ac:dyDescent="0.25">
      <c r="A32" s="14" t="s">
        <v>80</v>
      </c>
      <c r="B32" s="10" t="s">
        <v>78</v>
      </c>
      <c r="C32" s="11" t="s">
        <v>7</v>
      </c>
      <c r="D32" s="12" t="s">
        <v>79</v>
      </c>
      <c r="E32" s="2">
        <v>10</v>
      </c>
      <c r="G32" s="7"/>
      <c r="H32" s="13"/>
      <c r="I32" s="8"/>
    </row>
    <row r="33" spans="1:9" x14ac:dyDescent="0.25">
      <c r="A33" s="14" t="s">
        <v>81</v>
      </c>
      <c r="B33" s="10" t="s">
        <v>78</v>
      </c>
      <c r="C33" s="11" t="s">
        <v>7</v>
      </c>
      <c r="D33" s="12" t="s">
        <v>79</v>
      </c>
      <c r="E33" s="2">
        <v>15</v>
      </c>
      <c r="G33" s="7"/>
      <c r="H33" s="13"/>
      <c r="I33" s="8"/>
    </row>
    <row r="34" spans="1:9" x14ac:dyDescent="0.25">
      <c r="A34" s="14" t="s">
        <v>82</v>
      </c>
      <c r="B34" s="10" t="s">
        <v>78</v>
      </c>
      <c r="C34" s="11" t="s">
        <v>7</v>
      </c>
      <c r="D34" s="12" t="s">
        <v>79</v>
      </c>
      <c r="E34" s="2">
        <v>10</v>
      </c>
      <c r="G34" s="7"/>
      <c r="H34" s="13"/>
      <c r="I34" s="8"/>
    </row>
    <row r="35" spans="1:9" x14ac:dyDescent="0.25">
      <c r="A35" s="15" t="s">
        <v>83</v>
      </c>
      <c r="B35" s="16" t="s">
        <v>84</v>
      </c>
      <c r="C35" s="17" t="s">
        <v>85</v>
      </c>
      <c r="D35" s="18" t="s">
        <v>86</v>
      </c>
      <c r="E35" s="3"/>
      <c r="G35" s="7"/>
      <c r="H35" s="13"/>
      <c r="I35" s="8"/>
    </row>
    <row r="36" spans="1:9" x14ac:dyDescent="0.25">
      <c r="A36" s="15" t="s">
        <v>87</v>
      </c>
      <c r="B36" s="16" t="s">
        <v>84</v>
      </c>
      <c r="C36" s="17" t="s">
        <v>88</v>
      </c>
      <c r="D36" s="18" t="s">
        <v>86</v>
      </c>
      <c r="E36" s="3"/>
      <c r="G36" s="7"/>
      <c r="H36" s="13"/>
      <c r="I36" s="8"/>
    </row>
    <row r="37" spans="1:9" x14ac:dyDescent="0.25">
      <c r="A37" s="15" t="s">
        <v>89</v>
      </c>
      <c r="B37" s="16" t="s">
        <v>84</v>
      </c>
      <c r="C37" s="17" t="s">
        <v>85</v>
      </c>
      <c r="D37" s="18" t="s">
        <v>86</v>
      </c>
      <c r="E37" s="3"/>
      <c r="G37" s="7"/>
      <c r="H37" s="13"/>
      <c r="I37" s="8"/>
    </row>
    <row r="38" spans="1:9" x14ac:dyDescent="0.25">
      <c r="A38" s="15" t="s">
        <v>90</v>
      </c>
      <c r="B38" s="16" t="s">
        <v>84</v>
      </c>
      <c r="C38" s="17" t="s">
        <v>88</v>
      </c>
      <c r="D38" s="18" t="s">
        <v>86</v>
      </c>
      <c r="E38" s="3"/>
      <c r="G38" s="7"/>
      <c r="H38" s="13"/>
      <c r="I38" s="8"/>
    </row>
    <row r="39" spans="1:9" x14ac:dyDescent="0.25">
      <c r="A39" s="15" t="s">
        <v>91</v>
      </c>
      <c r="B39" s="16" t="s">
        <v>92</v>
      </c>
      <c r="C39" s="17" t="s">
        <v>92</v>
      </c>
      <c r="D39" s="18" t="s">
        <v>93</v>
      </c>
      <c r="E39" s="3"/>
      <c r="G39" s="7"/>
      <c r="H39" s="13"/>
      <c r="I39" s="8"/>
    </row>
    <row r="40" spans="1:9" x14ac:dyDescent="0.25">
      <c r="A40" s="14" t="s">
        <v>94</v>
      </c>
      <c r="B40" s="10" t="s">
        <v>95</v>
      </c>
      <c r="C40" s="11" t="s">
        <v>96</v>
      </c>
      <c r="D40" s="12" t="s">
        <v>221</v>
      </c>
      <c r="E40" s="1">
        <v>147</v>
      </c>
      <c r="G40" s="7"/>
      <c r="H40" s="13"/>
      <c r="I40" s="8"/>
    </row>
    <row r="41" spans="1:9" x14ac:dyDescent="0.25">
      <c r="A41" s="14" t="s">
        <v>97</v>
      </c>
      <c r="B41" s="10" t="s">
        <v>98</v>
      </c>
      <c r="C41" s="11" t="s">
        <v>96</v>
      </c>
      <c r="D41" s="12" t="s">
        <v>221</v>
      </c>
      <c r="E41" s="1">
        <v>152</v>
      </c>
      <c r="G41" s="7"/>
      <c r="H41" s="13"/>
      <c r="I41" s="8"/>
    </row>
    <row r="42" spans="1:9" x14ac:dyDescent="0.25">
      <c r="A42" s="14" t="s">
        <v>99</v>
      </c>
      <c r="B42" s="10" t="s">
        <v>100</v>
      </c>
      <c r="C42" s="11" t="s">
        <v>101</v>
      </c>
      <c r="D42" s="12" t="s">
        <v>102</v>
      </c>
      <c r="E42" s="2">
        <v>35</v>
      </c>
      <c r="G42" s="7"/>
      <c r="H42" s="13"/>
      <c r="I42" s="8"/>
    </row>
    <row r="43" spans="1:9" x14ac:dyDescent="0.25">
      <c r="A43" s="14" t="s">
        <v>103</v>
      </c>
      <c r="B43" s="10" t="s">
        <v>100</v>
      </c>
      <c r="C43" s="11" t="s">
        <v>101</v>
      </c>
      <c r="D43" s="12" t="s">
        <v>102</v>
      </c>
      <c r="E43" s="2">
        <v>40</v>
      </c>
      <c r="G43" s="7"/>
      <c r="H43" s="13"/>
      <c r="I43" s="8"/>
    </row>
    <row r="44" spans="1:9" x14ac:dyDescent="0.25">
      <c r="A44" s="9" t="s">
        <v>104</v>
      </c>
      <c r="B44" s="10" t="s">
        <v>105</v>
      </c>
      <c r="C44" s="11" t="s">
        <v>78</v>
      </c>
      <c r="D44" s="12" t="s">
        <v>220</v>
      </c>
      <c r="E44" s="2">
        <v>65</v>
      </c>
      <c r="G44" s="7"/>
      <c r="H44" s="13"/>
      <c r="I44" s="8"/>
    </row>
    <row r="45" spans="1:9" x14ac:dyDescent="0.25">
      <c r="A45" s="9" t="s">
        <v>106</v>
      </c>
      <c r="B45" s="10" t="s">
        <v>100</v>
      </c>
      <c r="C45" s="11" t="s">
        <v>107</v>
      </c>
      <c r="D45" s="12" t="s">
        <v>102</v>
      </c>
      <c r="E45" s="2">
        <v>65</v>
      </c>
      <c r="G45" s="7"/>
      <c r="H45" s="13"/>
      <c r="I45" s="8"/>
    </row>
    <row r="46" spans="1:9" x14ac:dyDescent="0.25">
      <c r="A46" s="15" t="s">
        <v>108</v>
      </c>
      <c r="B46" s="16" t="s">
        <v>100</v>
      </c>
      <c r="C46" s="17" t="s">
        <v>109</v>
      </c>
      <c r="D46" s="18" t="s">
        <v>102</v>
      </c>
      <c r="E46" s="3"/>
      <c r="G46" s="7"/>
      <c r="H46" s="13"/>
      <c r="I46" s="8"/>
    </row>
    <row r="47" spans="1:9" x14ac:dyDescent="0.25">
      <c r="A47" s="15" t="s">
        <v>110</v>
      </c>
      <c r="B47" s="16" t="s">
        <v>100</v>
      </c>
      <c r="C47" s="17" t="s">
        <v>111</v>
      </c>
      <c r="D47" s="18" t="s">
        <v>102</v>
      </c>
      <c r="E47" s="3"/>
      <c r="G47" s="7"/>
      <c r="H47" s="13"/>
      <c r="I47" s="8"/>
    </row>
    <row r="48" spans="1:9" x14ac:dyDescent="0.25">
      <c r="A48" s="14" t="s">
        <v>112</v>
      </c>
      <c r="B48" s="10" t="s">
        <v>100</v>
      </c>
      <c r="C48" s="11" t="s">
        <v>113</v>
      </c>
      <c r="D48" s="12" t="s">
        <v>114</v>
      </c>
      <c r="E48" s="2">
        <v>90</v>
      </c>
      <c r="G48" s="7"/>
      <c r="H48" s="13"/>
      <c r="I48" s="8"/>
    </row>
    <row r="49" spans="1:9" x14ac:dyDescent="0.25">
      <c r="A49" s="14" t="s">
        <v>115</v>
      </c>
      <c r="B49" s="10" t="s">
        <v>105</v>
      </c>
      <c r="C49" s="11" t="s">
        <v>78</v>
      </c>
      <c r="D49" s="12" t="s">
        <v>116</v>
      </c>
      <c r="E49" s="2">
        <v>65</v>
      </c>
      <c r="G49" s="7"/>
      <c r="H49" s="13"/>
      <c r="I49" s="8"/>
    </row>
    <row r="50" spans="1:9" x14ac:dyDescent="0.25">
      <c r="A50" s="15" t="s">
        <v>117</v>
      </c>
      <c r="B50" s="16" t="s">
        <v>100</v>
      </c>
      <c r="C50" s="17" t="s">
        <v>118</v>
      </c>
      <c r="D50" s="18" t="s">
        <v>86</v>
      </c>
      <c r="E50" s="3"/>
      <c r="G50" s="7"/>
      <c r="H50" s="13"/>
      <c r="I50" s="8"/>
    </row>
    <row r="51" spans="1:9" x14ac:dyDescent="0.25">
      <c r="A51" s="14" t="s">
        <v>119</v>
      </c>
      <c r="B51" s="10" t="s">
        <v>120</v>
      </c>
      <c r="C51" s="11" t="s">
        <v>84</v>
      </c>
      <c r="D51" s="12" t="s">
        <v>220</v>
      </c>
      <c r="E51" s="2">
        <v>65</v>
      </c>
      <c r="G51" s="7"/>
      <c r="H51" s="13"/>
      <c r="I51" s="8"/>
    </row>
    <row r="52" spans="1:9" x14ac:dyDescent="0.25">
      <c r="A52" s="14" t="s">
        <v>121</v>
      </c>
      <c r="B52" s="10" t="s">
        <v>122</v>
      </c>
      <c r="C52" s="11" t="s">
        <v>123</v>
      </c>
      <c r="D52" s="12" t="s">
        <v>220</v>
      </c>
      <c r="E52" s="2">
        <v>40</v>
      </c>
      <c r="G52" s="7"/>
      <c r="H52" s="13"/>
      <c r="I52" s="8"/>
    </row>
    <row r="53" spans="1:9" x14ac:dyDescent="0.25">
      <c r="A53" s="14" t="s">
        <v>124</v>
      </c>
      <c r="B53" s="10" t="s">
        <v>125</v>
      </c>
      <c r="C53" s="11" t="s">
        <v>126</v>
      </c>
      <c r="D53" s="12" t="s">
        <v>220</v>
      </c>
      <c r="E53" s="2">
        <v>50</v>
      </c>
      <c r="G53" s="7"/>
      <c r="H53" s="13"/>
      <c r="I53" s="8"/>
    </row>
    <row r="54" spans="1:9" x14ac:dyDescent="0.25">
      <c r="A54" s="14" t="s">
        <v>127</v>
      </c>
      <c r="B54" s="10" t="s">
        <v>128</v>
      </c>
      <c r="C54" s="11" t="s">
        <v>129</v>
      </c>
      <c r="D54" s="12" t="s">
        <v>220</v>
      </c>
      <c r="E54" s="2">
        <v>40</v>
      </c>
      <c r="G54" s="7"/>
      <c r="H54" s="13"/>
      <c r="I54" s="8"/>
    </row>
    <row r="55" spans="1:9" x14ac:dyDescent="0.25">
      <c r="A55" s="14" t="s">
        <v>130</v>
      </c>
      <c r="B55" s="10" t="s">
        <v>131</v>
      </c>
      <c r="C55" s="11" t="s">
        <v>132</v>
      </c>
      <c r="D55" s="12" t="s">
        <v>220</v>
      </c>
      <c r="E55" s="2">
        <v>30</v>
      </c>
      <c r="G55" s="7"/>
      <c r="H55" s="13"/>
      <c r="I55" s="8"/>
    </row>
    <row r="56" spans="1:9" x14ac:dyDescent="0.25">
      <c r="A56" s="14" t="s">
        <v>133</v>
      </c>
      <c r="B56" s="10" t="s">
        <v>125</v>
      </c>
      <c r="C56" s="11" t="s">
        <v>134</v>
      </c>
      <c r="D56" s="12" t="s">
        <v>135</v>
      </c>
      <c r="E56" s="2">
        <v>50</v>
      </c>
      <c r="G56" s="7"/>
      <c r="H56" s="13"/>
      <c r="I56" s="8"/>
    </row>
    <row r="57" spans="1:9" x14ac:dyDescent="0.25">
      <c r="A57" s="14" t="s">
        <v>136</v>
      </c>
      <c r="B57" s="10" t="s">
        <v>137</v>
      </c>
      <c r="C57" s="11" t="s">
        <v>138</v>
      </c>
      <c r="D57" s="12" t="s">
        <v>135</v>
      </c>
      <c r="E57" s="2">
        <v>50</v>
      </c>
      <c r="G57" s="7"/>
      <c r="H57" s="13"/>
      <c r="I57" s="8"/>
    </row>
    <row r="58" spans="1:9" x14ac:dyDescent="0.25">
      <c r="A58" s="14" t="s">
        <v>139</v>
      </c>
      <c r="B58" s="10" t="s">
        <v>128</v>
      </c>
      <c r="C58" s="11" t="s">
        <v>134</v>
      </c>
      <c r="D58" s="12" t="s">
        <v>135</v>
      </c>
      <c r="E58" s="2">
        <v>40</v>
      </c>
      <c r="G58" s="7"/>
      <c r="H58" s="13"/>
      <c r="I58" s="8"/>
    </row>
    <row r="59" spans="1:9" x14ac:dyDescent="0.25">
      <c r="A59" s="14" t="s">
        <v>140</v>
      </c>
      <c r="B59" s="10" t="s">
        <v>141</v>
      </c>
      <c r="C59" s="11" t="s">
        <v>138</v>
      </c>
      <c r="D59" s="12" t="s">
        <v>135</v>
      </c>
      <c r="E59" s="2">
        <v>40</v>
      </c>
      <c r="G59" s="7"/>
      <c r="H59" s="13"/>
      <c r="I59" s="8"/>
    </row>
    <row r="60" spans="1:9" x14ac:dyDescent="0.25">
      <c r="A60" s="14" t="s">
        <v>142</v>
      </c>
      <c r="B60" s="10" t="s">
        <v>131</v>
      </c>
      <c r="C60" s="11" t="s">
        <v>134</v>
      </c>
      <c r="D60" s="12" t="s">
        <v>135</v>
      </c>
      <c r="E60" s="2">
        <v>30</v>
      </c>
      <c r="G60" s="7"/>
      <c r="H60" s="13"/>
      <c r="I60" s="8"/>
    </row>
    <row r="61" spans="1:9" x14ac:dyDescent="0.25">
      <c r="A61" s="14" t="s">
        <v>143</v>
      </c>
      <c r="B61" s="10" t="s">
        <v>144</v>
      </c>
      <c r="C61" s="11" t="s">
        <v>138</v>
      </c>
      <c r="D61" s="12" t="s">
        <v>135</v>
      </c>
      <c r="E61" s="2">
        <v>30</v>
      </c>
      <c r="G61" s="7"/>
      <c r="H61" s="13"/>
      <c r="I61" s="8"/>
    </row>
    <row r="62" spans="1:9" x14ac:dyDescent="0.25">
      <c r="A62" s="14" t="s">
        <v>145</v>
      </c>
      <c r="B62" s="10" t="s">
        <v>146</v>
      </c>
      <c r="C62" s="11" t="s">
        <v>147</v>
      </c>
      <c r="D62" s="12" t="s">
        <v>220</v>
      </c>
      <c r="E62" s="2">
        <v>35</v>
      </c>
      <c r="G62" s="7"/>
      <c r="H62" s="13"/>
      <c r="I62" s="8"/>
    </row>
    <row r="63" spans="1:9" x14ac:dyDescent="0.25">
      <c r="A63" s="14" t="s">
        <v>148</v>
      </c>
      <c r="B63" s="10" t="s">
        <v>146</v>
      </c>
      <c r="C63" s="11" t="s">
        <v>149</v>
      </c>
      <c r="D63" s="12" t="s">
        <v>220</v>
      </c>
      <c r="E63" s="2">
        <v>40</v>
      </c>
      <c r="G63" s="7"/>
      <c r="H63" s="13"/>
      <c r="I63" s="8"/>
    </row>
    <row r="64" spans="1:9" x14ac:dyDescent="0.25">
      <c r="A64" s="14" t="s">
        <v>150</v>
      </c>
      <c r="B64" s="10" t="s">
        <v>151</v>
      </c>
      <c r="C64" s="11" t="s">
        <v>84</v>
      </c>
      <c r="D64" s="12" t="s">
        <v>152</v>
      </c>
      <c r="E64" s="2">
        <v>65</v>
      </c>
      <c r="G64" s="7"/>
      <c r="H64" s="13"/>
      <c r="I64" s="8"/>
    </row>
    <row r="65" spans="1:9" x14ac:dyDescent="0.25">
      <c r="A65" s="14" t="s">
        <v>153</v>
      </c>
      <c r="B65" s="10" t="s">
        <v>151</v>
      </c>
      <c r="C65" s="11" t="s">
        <v>154</v>
      </c>
      <c r="D65" s="12" t="s">
        <v>86</v>
      </c>
      <c r="E65" s="2">
        <v>50</v>
      </c>
      <c r="G65" s="7"/>
      <c r="H65" s="13"/>
      <c r="I65" s="8"/>
    </row>
    <row r="66" spans="1:9" x14ac:dyDescent="0.25">
      <c r="A66" s="14" t="s">
        <v>155</v>
      </c>
      <c r="B66" s="10" t="s">
        <v>151</v>
      </c>
      <c r="C66" s="11" t="s">
        <v>156</v>
      </c>
      <c r="D66" s="12" t="s">
        <v>86</v>
      </c>
      <c r="E66" s="2">
        <v>40</v>
      </c>
      <c r="G66" s="7"/>
      <c r="H66" s="13"/>
      <c r="I66" s="8"/>
    </row>
    <row r="67" spans="1:9" x14ac:dyDescent="0.25">
      <c r="A67" s="14" t="s">
        <v>157</v>
      </c>
      <c r="B67" s="10" t="s">
        <v>151</v>
      </c>
      <c r="C67" s="11" t="s">
        <v>158</v>
      </c>
      <c r="D67" s="12" t="s">
        <v>86</v>
      </c>
      <c r="E67" s="2">
        <v>30</v>
      </c>
      <c r="G67" s="7"/>
      <c r="H67" s="13"/>
      <c r="I67" s="8"/>
    </row>
    <row r="68" spans="1:9" x14ac:dyDescent="0.25">
      <c r="A68" s="14" t="s">
        <v>159</v>
      </c>
      <c r="B68" s="10" t="s">
        <v>151</v>
      </c>
      <c r="C68" s="11" t="s">
        <v>160</v>
      </c>
      <c r="D68" s="12" t="s">
        <v>86</v>
      </c>
      <c r="E68" s="2">
        <v>40</v>
      </c>
      <c r="G68" s="7"/>
      <c r="H68" s="13"/>
      <c r="I68" s="8"/>
    </row>
    <row r="69" spans="1:9" x14ac:dyDescent="0.25">
      <c r="A69" s="14" t="s">
        <v>161</v>
      </c>
      <c r="B69" s="10" t="s">
        <v>151</v>
      </c>
      <c r="C69" s="11" t="s">
        <v>147</v>
      </c>
      <c r="D69" s="12" t="s">
        <v>86</v>
      </c>
      <c r="E69" s="2">
        <v>35</v>
      </c>
      <c r="G69" s="7"/>
      <c r="H69" s="13"/>
      <c r="I69" s="8"/>
    </row>
    <row r="70" spans="1:9" x14ac:dyDescent="0.25">
      <c r="A70" s="14" t="s">
        <v>162</v>
      </c>
      <c r="B70" s="10" t="s">
        <v>151</v>
      </c>
      <c r="C70" s="11" t="s">
        <v>163</v>
      </c>
      <c r="D70" s="12" t="s">
        <v>86</v>
      </c>
      <c r="E70" s="2">
        <v>40</v>
      </c>
      <c r="G70" s="7"/>
      <c r="H70" s="13"/>
      <c r="I70" s="8"/>
    </row>
    <row r="71" spans="1:9" x14ac:dyDescent="0.25">
      <c r="A71" s="14" t="s">
        <v>164</v>
      </c>
      <c r="B71" s="10" t="s">
        <v>151</v>
      </c>
      <c r="C71" s="11" t="s">
        <v>165</v>
      </c>
      <c r="D71" s="12" t="s">
        <v>86</v>
      </c>
      <c r="E71" s="2">
        <v>40</v>
      </c>
      <c r="G71" s="7"/>
      <c r="H71" s="13"/>
      <c r="I71" s="8"/>
    </row>
    <row r="72" spans="1:9" x14ac:dyDescent="0.25">
      <c r="A72" s="14" t="s">
        <v>166</v>
      </c>
      <c r="B72" s="10" t="s">
        <v>151</v>
      </c>
      <c r="C72" s="11" t="s">
        <v>167</v>
      </c>
      <c r="D72" s="12" t="s">
        <v>86</v>
      </c>
      <c r="E72" s="2">
        <v>40</v>
      </c>
      <c r="G72" s="7"/>
      <c r="H72" s="13"/>
      <c r="I72" s="8"/>
    </row>
    <row r="73" spans="1:9" x14ac:dyDescent="0.25">
      <c r="A73" s="14" t="s">
        <v>168</v>
      </c>
      <c r="B73" s="10" t="s">
        <v>151</v>
      </c>
      <c r="C73" s="11" t="s">
        <v>149</v>
      </c>
      <c r="D73" s="12" t="s">
        <v>86</v>
      </c>
      <c r="E73" s="2">
        <v>40</v>
      </c>
      <c r="G73" s="7"/>
      <c r="H73" s="13"/>
      <c r="I73" s="8"/>
    </row>
    <row r="74" spans="1:9" x14ac:dyDescent="0.25">
      <c r="A74" s="15" t="s">
        <v>169</v>
      </c>
      <c r="B74" s="16" t="s">
        <v>151</v>
      </c>
      <c r="C74" s="17" t="s">
        <v>170</v>
      </c>
      <c r="D74" s="18" t="s">
        <v>135</v>
      </c>
      <c r="E74" s="3"/>
      <c r="G74" s="7"/>
      <c r="H74" s="13"/>
      <c r="I74" s="8"/>
    </row>
    <row r="75" spans="1:9" x14ac:dyDescent="0.25">
      <c r="A75" s="15" t="s">
        <v>171</v>
      </c>
      <c r="B75" s="16" t="s">
        <v>151</v>
      </c>
      <c r="C75" s="17" t="s">
        <v>172</v>
      </c>
      <c r="D75" s="18" t="s">
        <v>173</v>
      </c>
      <c r="E75" s="3"/>
      <c r="G75" s="7"/>
      <c r="H75" s="13"/>
      <c r="I75" s="8"/>
    </row>
    <row r="76" spans="1:9" x14ac:dyDescent="0.25">
      <c r="A76" s="15" t="s">
        <v>174</v>
      </c>
      <c r="B76" s="16" t="s">
        <v>151</v>
      </c>
      <c r="C76" s="17" t="s">
        <v>175</v>
      </c>
      <c r="D76" s="18" t="s">
        <v>86</v>
      </c>
      <c r="E76" s="3"/>
      <c r="G76" s="7"/>
      <c r="H76" s="13"/>
      <c r="I76" s="8"/>
    </row>
    <row r="77" spans="1:9" x14ac:dyDescent="0.25">
      <c r="A77" s="15" t="s">
        <v>176</v>
      </c>
      <c r="B77" s="16" t="s">
        <v>151</v>
      </c>
      <c r="C77" s="17" t="s">
        <v>177</v>
      </c>
      <c r="D77" s="18" t="s">
        <v>114</v>
      </c>
      <c r="E77" s="3"/>
      <c r="G77" s="7"/>
      <c r="H77" s="13"/>
      <c r="I77" s="8"/>
    </row>
    <row r="78" spans="1:9" x14ac:dyDescent="0.25">
      <c r="A78" s="15" t="s">
        <v>178</v>
      </c>
      <c r="B78" s="16" t="s">
        <v>151</v>
      </c>
      <c r="C78" s="17" t="s">
        <v>179</v>
      </c>
      <c r="D78" s="18" t="s">
        <v>135</v>
      </c>
      <c r="E78" s="3"/>
      <c r="G78" s="7"/>
      <c r="H78" s="13"/>
      <c r="I78" s="8"/>
    </row>
    <row r="79" spans="1:9" x14ac:dyDescent="0.25">
      <c r="A79" s="15" t="s">
        <v>180</v>
      </c>
      <c r="B79" s="16" t="s">
        <v>151</v>
      </c>
      <c r="C79" s="17" t="s">
        <v>181</v>
      </c>
      <c r="D79" s="18" t="s">
        <v>173</v>
      </c>
      <c r="E79" s="3"/>
      <c r="G79" s="7"/>
      <c r="H79" s="13"/>
      <c r="I79" s="8"/>
    </row>
    <row r="80" spans="1:9" x14ac:dyDescent="0.25">
      <c r="A80" s="15" t="s">
        <v>182</v>
      </c>
      <c r="B80" s="16" t="s">
        <v>151</v>
      </c>
      <c r="C80" s="17" t="s">
        <v>183</v>
      </c>
      <c r="D80" s="18" t="s">
        <v>173</v>
      </c>
      <c r="E80" s="3"/>
      <c r="G80" s="7"/>
      <c r="H80" s="13"/>
      <c r="I80" s="8"/>
    </row>
    <row r="81" spans="1:9" x14ac:dyDescent="0.25">
      <c r="A81" s="15" t="s">
        <v>184</v>
      </c>
      <c r="B81" s="16" t="s">
        <v>151</v>
      </c>
      <c r="C81" s="17" t="s">
        <v>185</v>
      </c>
      <c r="D81" s="18" t="s">
        <v>114</v>
      </c>
      <c r="E81" s="3"/>
      <c r="G81" s="7"/>
      <c r="H81" s="13"/>
      <c r="I81" s="8"/>
    </row>
    <row r="82" spans="1:9" x14ac:dyDescent="0.25">
      <c r="A82" s="15" t="s">
        <v>186</v>
      </c>
      <c r="B82" s="16" t="s">
        <v>151</v>
      </c>
      <c r="C82" s="17" t="s">
        <v>187</v>
      </c>
      <c r="D82" s="18" t="s">
        <v>135</v>
      </c>
      <c r="E82" s="3"/>
      <c r="G82" s="7"/>
      <c r="H82" s="13"/>
      <c r="I82" s="8"/>
    </row>
    <row r="83" spans="1:9" x14ac:dyDescent="0.25">
      <c r="A83" s="15" t="s">
        <v>188</v>
      </c>
      <c r="B83" s="16" t="s">
        <v>151</v>
      </c>
      <c r="C83" s="17" t="s">
        <v>189</v>
      </c>
      <c r="D83" s="18" t="s">
        <v>173</v>
      </c>
      <c r="E83" s="3"/>
      <c r="G83" s="7"/>
      <c r="H83" s="13"/>
      <c r="I83" s="8"/>
    </row>
    <row r="84" spans="1:9" x14ac:dyDescent="0.25">
      <c r="A84" s="15" t="s">
        <v>190</v>
      </c>
      <c r="B84" s="16" t="s">
        <v>151</v>
      </c>
      <c r="C84" s="17" t="s">
        <v>191</v>
      </c>
      <c r="D84" s="18" t="s">
        <v>173</v>
      </c>
      <c r="E84" s="3"/>
      <c r="G84" s="7"/>
      <c r="H84" s="13"/>
      <c r="I84" s="8"/>
    </row>
    <row r="85" spans="1:9" x14ac:dyDescent="0.25">
      <c r="A85" s="15" t="s">
        <v>192</v>
      </c>
      <c r="B85" s="16" t="s">
        <v>151</v>
      </c>
      <c r="C85" s="17" t="s">
        <v>193</v>
      </c>
      <c r="D85" s="18" t="s">
        <v>114</v>
      </c>
      <c r="E85" s="3"/>
      <c r="G85" s="7"/>
      <c r="H85" s="13"/>
      <c r="I85" s="8"/>
    </row>
    <row r="86" spans="1:9" x14ac:dyDescent="0.25">
      <c r="A86" s="14" t="s">
        <v>194</v>
      </c>
      <c r="B86" s="10" t="s">
        <v>125</v>
      </c>
      <c r="C86" s="11" t="s">
        <v>151</v>
      </c>
      <c r="D86" s="12" t="s">
        <v>86</v>
      </c>
      <c r="E86" s="2">
        <v>50</v>
      </c>
      <c r="G86" s="7"/>
      <c r="H86" s="13"/>
      <c r="I86" s="8"/>
    </row>
    <row r="87" spans="1:9" x14ac:dyDescent="0.25">
      <c r="A87" s="14" t="s">
        <v>195</v>
      </c>
      <c r="B87" s="10" t="s">
        <v>128</v>
      </c>
      <c r="C87" s="11" t="s">
        <v>151</v>
      </c>
      <c r="D87" s="12" t="s">
        <v>86</v>
      </c>
      <c r="E87" s="2">
        <v>40</v>
      </c>
      <c r="G87" s="7"/>
      <c r="H87" s="13"/>
      <c r="I87" s="8"/>
    </row>
    <row r="88" spans="1:9" x14ac:dyDescent="0.25">
      <c r="A88" s="14" t="s">
        <v>196</v>
      </c>
      <c r="B88" s="10" t="s">
        <v>131</v>
      </c>
      <c r="C88" s="11" t="s">
        <v>151</v>
      </c>
      <c r="D88" s="12" t="s">
        <v>86</v>
      </c>
      <c r="E88" s="2">
        <v>30</v>
      </c>
      <c r="G88" s="7"/>
      <c r="H88" s="13"/>
      <c r="I88" s="8"/>
    </row>
    <row r="89" spans="1:9" x14ac:dyDescent="0.25">
      <c r="A89" s="15" t="s">
        <v>197</v>
      </c>
      <c r="B89" s="16" t="s">
        <v>198</v>
      </c>
      <c r="C89" s="17" t="s">
        <v>199</v>
      </c>
      <c r="D89" s="18" t="s">
        <v>86</v>
      </c>
      <c r="E89" s="3"/>
      <c r="G89" s="7"/>
      <c r="H89" s="13"/>
      <c r="I89" s="8"/>
    </row>
    <row r="90" spans="1:9" x14ac:dyDescent="0.25">
      <c r="A90" s="15" t="s">
        <v>200</v>
      </c>
      <c r="B90" s="16" t="s">
        <v>198</v>
      </c>
      <c r="C90" s="17" t="s">
        <v>201</v>
      </c>
      <c r="D90" s="18" t="s">
        <v>86</v>
      </c>
      <c r="E90" s="3"/>
      <c r="G90" s="7"/>
      <c r="H90" s="13"/>
      <c r="I90" s="8"/>
    </row>
    <row r="91" spans="1:9" x14ac:dyDescent="0.25">
      <c r="A91" s="15" t="s">
        <v>202</v>
      </c>
      <c r="B91" s="16" t="s">
        <v>198</v>
      </c>
      <c r="C91" s="17" t="s">
        <v>203</v>
      </c>
      <c r="D91" s="18" t="s">
        <v>86</v>
      </c>
      <c r="E91" s="3"/>
      <c r="G91" s="7"/>
      <c r="H91" s="13"/>
      <c r="I91" s="8"/>
    </row>
    <row r="92" spans="1:9" x14ac:dyDescent="0.25">
      <c r="A92" s="20" t="s">
        <v>204</v>
      </c>
      <c r="B92" s="16" t="s">
        <v>205</v>
      </c>
      <c r="C92" s="17" t="s">
        <v>206</v>
      </c>
      <c r="D92" s="18" t="s">
        <v>86</v>
      </c>
      <c r="E92" s="3"/>
      <c r="G92" s="7"/>
      <c r="H92" s="13"/>
      <c r="I92" s="8"/>
    </row>
    <row r="93" spans="1:9" x14ac:dyDescent="0.25">
      <c r="A93" s="14" t="s">
        <v>207</v>
      </c>
      <c r="B93" s="10" t="s">
        <v>208</v>
      </c>
      <c r="C93" s="11" t="s">
        <v>209</v>
      </c>
      <c r="D93" s="12" t="s">
        <v>210</v>
      </c>
      <c r="E93" s="2">
        <v>50</v>
      </c>
      <c r="G93" s="7"/>
      <c r="H93" s="13"/>
      <c r="I93" s="8"/>
    </row>
    <row r="94" spans="1:9" x14ac:dyDescent="0.25">
      <c r="A94" s="14" t="s">
        <v>211</v>
      </c>
      <c r="B94" s="10" t="s">
        <v>212</v>
      </c>
      <c r="C94" s="11" t="s">
        <v>209</v>
      </c>
      <c r="D94" s="12" t="s">
        <v>210</v>
      </c>
      <c r="E94" s="2">
        <v>40</v>
      </c>
      <c r="G94" s="7"/>
      <c r="H94" s="13"/>
      <c r="I94" s="8"/>
    </row>
    <row r="95" spans="1:9" x14ac:dyDescent="0.25">
      <c r="A95" s="14" t="s">
        <v>213</v>
      </c>
      <c r="B95" s="10" t="s">
        <v>214</v>
      </c>
      <c r="C95" s="11" t="s">
        <v>209</v>
      </c>
      <c r="D95" s="12" t="s">
        <v>210</v>
      </c>
      <c r="E95" s="2">
        <v>30</v>
      </c>
      <c r="G95" s="7"/>
      <c r="H95" s="13"/>
      <c r="I95" s="8"/>
    </row>
    <row r="96" spans="1:9" x14ac:dyDescent="0.25">
      <c r="A96" s="21" t="s">
        <v>215</v>
      </c>
      <c r="B96" s="22" t="s">
        <v>7</v>
      </c>
      <c r="C96" s="23" t="s">
        <v>209</v>
      </c>
      <c r="D96" s="24" t="s">
        <v>216</v>
      </c>
      <c r="E96" s="5">
        <v>90</v>
      </c>
      <c r="G96" s="7"/>
      <c r="H96" s="13"/>
      <c r="I9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2026-08-28T14:29:06Z</dcterms:created>
  <dcterms:modified xsi:type="dcterms:W3CDTF">2026-08-28T14:44:18Z</dcterms:modified>
</cp:coreProperties>
</file>