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kabeli\"/>
    </mc:Choice>
  </mc:AlternateContent>
  <xr:revisionPtr revIDLastSave="0" documentId="13_ncr:1_{AE3D19C7-51AE-469A-B5A3-50708E0FF63F}" xr6:coauthVersionLast="47" xr6:coauthVersionMax="47" xr10:uidLastSave="{00000000-0000-0000-0000-000000000000}"/>
  <bookViews>
    <workbookView xWindow="-120" yWindow="-120" windowWidth="38640" windowHeight="21120" xr2:uid="{B4A100CD-6B3F-4927-B0B7-5812C76B4242}"/>
  </bookViews>
  <sheets>
    <sheet name="kabeli i uvodnice" sheetId="1" r:id="rId1"/>
    <sheet name="rittal uvodn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0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3" i="1"/>
  <c r="I97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3" i="1"/>
</calcChain>
</file>

<file path=xl/sharedStrings.xml><?xml version="1.0" encoding="utf-8"?>
<sst xmlns="http://schemas.openxmlformats.org/spreadsheetml/2006/main" count="493" uniqueCount="247">
  <si>
    <t>Tip</t>
  </si>
  <si>
    <t>KABEL</t>
  </si>
  <si>
    <t>UVODNICA</t>
  </si>
  <si>
    <t>Nar. Br.</t>
  </si>
  <si>
    <t>Navoj</t>
  </si>
  <si>
    <t>N2XCH</t>
  </si>
  <si>
    <t>HSLCH</t>
  </si>
  <si>
    <t>HSLCH-JZ</t>
  </si>
  <si>
    <t>NYY-J</t>
  </si>
  <si>
    <t>HSLCH-OZ</t>
  </si>
  <si>
    <t>H05VV-F</t>
  </si>
  <si>
    <t xml:space="preserve">H05VV-F  </t>
  </si>
  <si>
    <t xml:space="preserve">VW3A1104R10  </t>
  </si>
  <si>
    <t xml:space="preserve">   </t>
  </si>
  <si>
    <t>ETHERLINE Y CAT5</t>
  </si>
  <si>
    <t>2X2XAWG22</t>
  </si>
  <si>
    <t xml:space="preserve">Article no. </t>
  </si>
  <si>
    <t xml:space="preserve">Thread </t>
  </si>
  <si>
    <t xml:space="preserve">Min. cable diameter </t>
  </si>
  <si>
    <t xml:space="preserve">Max. cable diameter </t>
  </si>
  <si>
    <t xml:space="preserve">Thread length </t>
  </si>
  <si>
    <t xml:space="preserve">Width across flats </t>
  </si>
  <si>
    <t>M12 x 1.5</t>
  </si>
  <si>
    <t>M16 x 1.5</t>
  </si>
  <si>
    <t>M20 x 1.5</t>
  </si>
  <si>
    <t>M25 x 1.5</t>
  </si>
  <si>
    <t>M32 x 1.5</t>
  </si>
  <si>
    <t>M40 x 1.5</t>
  </si>
  <si>
    <t>M50 x 1.5</t>
  </si>
  <si>
    <t>M63 x 1.5</t>
  </si>
  <si>
    <t>Vanjski promjer</t>
  </si>
  <si>
    <t>3 G 1,5</t>
  </si>
  <si>
    <t>Žile x Presjek</t>
  </si>
  <si>
    <t>3 x 1.5 mm²</t>
  </si>
  <si>
    <t>2 x 1 mm²</t>
  </si>
  <si>
    <t>4 x 1 mm²</t>
  </si>
  <si>
    <t>4 x 16/16 mm²</t>
  </si>
  <si>
    <t>3 x 2.5/2.5 mm²</t>
  </si>
  <si>
    <t>2 x 2.5/2.5 mm²</t>
  </si>
  <si>
    <t>1 x 25 mm²</t>
  </si>
  <si>
    <t>2 x 10/10 mm²</t>
  </si>
  <si>
    <t>5 x 1.5 mm²</t>
  </si>
  <si>
    <t>7 x 1.5 mm²</t>
  </si>
  <si>
    <t>12 x 1.5 mm²</t>
  </si>
  <si>
    <t>NAPOMENA</t>
  </si>
  <si>
    <t>daljinski kabel</t>
  </si>
  <si>
    <t>BBJQ01/W3</t>
  </si>
  <si>
    <t>W55</t>
  </si>
  <si>
    <t>W56</t>
  </si>
  <si>
    <t>W65</t>
  </si>
  <si>
    <t>W67</t>
  </si>
  <si>
    <t>W1000</t>
  </si>
  <si>
    <t>W1001</t>
  </si>
  <si>
    <t>W1442</t>
  </si>
  <si>
    <t>W1470</t>
  </si>
  <si>
    <t>W2090</t>
  </si>
  <si>
    <t>YBGF04/W004</t>
  </si>
  <si>
    <t>YBGF11/W004</t>
  </si>
  <si>
    <t>YBJP12/W001</t>
  </si>
  <si>
    <t>YBJP14/W003</t>
  </si>
  <si>
    <t>YBJP14/W004</t>
  </si>
  <si>
    <t>YBJP14/W005</t>
  </si>
  <si>
    <t>YBJP14/W006</t>
  </si>
  <si>
    <t>YBJP14/W007</t>
  </si>
  <si>
    <t>YBJP14/W008</t>
  </si>
  <si>
    <t>YBJP14/W009</t>
  </si>
  <si>
    <t>YBJP14/W010</t>
  </si>
  <si>
    <t>YBJP14/W031</t>
  </si>
  <si>
    <t>YBJP14/W032</t>
  </si>
  <si>
    <t>YBJP14/W033</t>
  </si>
  <si>
    <t>YBJP14/W034</t>
  </si>
  <si>
    <t>YBJP14/W035</t>
  </si>
  <si>
    <t>YBJP14/W036</t>
  </si>
  <si>
    <t>YBJP14/W037</t>
  </si>
  <si>
    <t>YBJP14/W038</t>
  </si>
  <si>
    <t>YBJP14GH001/W201</t>
  </si>
  <si>
    <t>YBJP14GH001/W202</t>
  </si>
  <si>
    <t>YBJP14GH001/W203</t>
  </si>
  <si>
    <t>YBJP14GH001/W204</t>
  </si>
  <si>
    <t>YBJP14GH001/W301</t>
  </si>
  <si>
    <t>YBJP14GH001/W302</t>
  </si>
  <si>
    <t>YBJP14GH001/W401</t>
  </si>
  <si>
    <t>YBJP14GH001/W402</t>
  </si>
  <si>
    <t>YBJP14WGND</t>
  </si>
  <si>
    <t>YBUA51/W136</t>
  </si>
  <si>
    <t>YBUA52/W136</t>
  </si>
  <si>
    <t>YCDP01/W201</t>
  </si>
  <si>
    <t>YCDP01/W202</t>
  </si>
  <si>
    <t>YCDP01/W203</t>
  </si>
  <si>
    <t>YCDP01/W204</t>
  </si>
  <si>
    <t>YCDP01/W205</t>
  </si>
  <si>
    <t>YCDP01/W206</t>
  </si>
  <si>
    <t>YCDP01/W207</t>
  </si>
  <si>
    <t>YCDP01/W208</t>
  </si>
  <si>
    <t>YCDP01/W209</t>
  </si>
  <si>
    <t>YCDP01/W301</t>
  </si>
  <si>
    <t>YCDP01/W302</t>
  </si>
  <si>
    <t>YCDP01/W303</t>
  </si>
  <si>
    <t>YCDP01/W304</t>
  </si>
  <si>
    <t>YCDP01/W305</t>
  </si>
  <si>
    <t>YCDP01/W306</t>
  </si>
  <si>
    <t>YCDP01/W307</t>
  </si>
  <si>
    <t>YCDP01/W308</t>
  </si>
  <si>
    <t>YCDP01/W309</t>
  </si>
  <si>
    <t>YCDP01/W310</t>
  </si>
  <si>
    <t>YCDP01/W311</t>
  </si>
  <si>
    <t>YCDP01/W312</t>
  </si>
  <si>
    <t>YCDP01/W313</t>
  </si>
  <si>
    <t>YCDP01/W401</t>
  </si>
  <si>
    <t>YCDP01/W402</t>
  </si>
  <si>
    <t>YCDP01/W403</t>
  </si>
  <si>
    <t>YCDP01/W404</t>
  </si>
  <si>
    <t>YCDP01/W405</t>
  </si>
  <si>
    <t>YCDP01/W406</t>
  </si>
  <si>
    <t>YCDP01/W407</t>
  </si>
  <si>
    <t>YCDP01/W408</t>
  </si>
  <si>
    <t>YCDP01/W409</t>
  </si>
  <si>
    <t>YCDP01/W413</t>
  </si>
  <si>
    <t>YCDP01/W441</t>
  </si>
  <si>
    <t>YCDP01/W442</t>
  </si>
  <si>
    <t>YCDP01/W443</t>
  </si>
  <si>
    <t>YCDP01/W444</t>
  </si>
  <si>
    <t>YCDP01/W445</t>
  </si>
  <si>
    <t>YCDP01/W446</t>
  </si>
  <si>
    <t>YCDP01/W447</t>
  </si>
  <si>
    <t>YCDP01/W448</t>
  </si>
  <si>
    <t>YCDP01/W449</t>
  </si>
  <si>
    <t>YCDP01/W450</t>
  </si>
  <si>
    <t>YCDP01/W451</t>
  </si>
  <si>
    <t>YCDP01/W452</t>
  </si>
  <si>
    <t>YCDP01/W471</t>
  </si>
  <si>
    <t>YCDP01/W472</t>
  </si>
  <si>
    <t>YCDP01/W473</t>
  </si>
  <si>
    <t>YCDP01/W701</t>
  </si>
  <si>
    <t>YCDP01/W702</t>
  </si>
  <si>
    <t>YCDP01/W703</t>
  </si>
  <si>
    <t>YCDP01/W704</t>
  </si>
  <si>
    <t>YCDP01/W901</t>
  </si>
  <si>
    <t>YCDP01/W902</t>
  </si>
  <si>
    <t>YCDP01/W903</t>
  </si>
  <si>
    <t>YCDP01/W951</t>
  </si>
  <si>
    <t>DT</t>
  </si>
  <si>
    <t>4 x 120/70 mm²</t>
  </si>
  <si>
    <t>N2XCH-J</t>
  </si>
  <si>
    <t>bio 120/120</t>
  </si>
  <si>
    <t>bio N2XH-J</t>
  </si>
  <si>
    <t>=+</t>
  </si>
  <si>
    <t>=Y BJP12+Y BJP12-XT1</t>
  </si>
  <si>
    <t>=Y BJP12+Y BJP12-X170</t>
  </si>
  <si>
    <t>=Y BJP12+Y BJP12-E55</t>
  </si>
  <si>
    <t>=Y BJP12+Y BJP12-S55</t>
  </si>
  <si>
    <t>=Y BJP12+Y BJP12-S65</t>
  </si>
  <si>
    <t>=Y BJP12+Y BJP12-P65</t>
  </si>
  <si>
    <t>=Y BJP12+Y BJP12-S61</t>
  </si>
  <si>
    <t>=Y BJP12+Y BJP12-A03-X1</t>
  </si>
  <si>
    <t>=Y BJP12+Y BJP12-A01</t>
  </si>
  <si>
    <t>=Y BJP12+Y BJP12-X101</t>
  </si>
  <si>
    <t>=Y BJP12+Y BJP12-A06</t>
  </si>
  <si>
    <t>=Y BJP14 Y CDP01+Y BJP14 Y CDP01-X0</t>
  </si>
  <si>
    <t>=Y BFG+Y BFG04-F4</t>
  </si>
  <si>
    <t>=Y BFG+Y BFG11-F4</t>
  </si>
  <si>
    <t>=Y BJP12+Y BJP12-XT2</t>
  </si>
  <si>
    <t>=?+?-M01</t>
  </si>
  <si>
    <t>=Y BJP14 Y CDP01+Y BJP14 Y CDP01-X2</t>
  </si>
  <si>
    <t>=POMOĆNI SUSTAV DOBAVE+POMOĆNI SUSTAV DOBAVE-RDV-1</t>
  </si>
  <si>
    <t>=POMOĆNI SUSTAV DOBAVE+POMOĆNI SUSTAV DOBAVE-RV-1</t>
  </si>
  <si>
    <t>=GLAVNI SUSTAV DOBAVE+GLAVNI SUSTAV DOBAVE-LZ-6</t>
  </si>
  <si>
    <t>=BAZEN VODE RASHLADE+BAZEN VODE RASHLADE-FILTAR1</t>
  </si>
  <si>
    <t>=BAZEN VODE RASHLADE+BAZEN VODE RASHLADE-FILTAR2</t>
  </si>
  <si>
    <t>=BAZEN VODE RASHLADE+BAZEN VODE RASHLADE-FILTAR3</t>
  </si>
  <si>
    <t>=GRAVITACIJSKI CJEVOVOD+GRAVITACIJSKI CJEVOVOD-FILTAR4</t>
  </si>
  <si>
    <t>=SUSTAV KLIMATIZACIJE+SUSTAV KLIMATIZACIJE-FILTAR5</t>
  </si>
  <si>
    <t>=Y BJP14 Y CDP01+Y BJP14 Y CDP01-X3</t>
  </si>
  <si>
    <t>=ODVODNI TUNEL AGREGATA A+ODVODNI TUNEL AGREGATA A-X</t>
  </si>
  <si>
    <t>=ODVODNI TUNEL AGREGATA B+ODVODNI TUNEL AGREGATA B-X</t>
  </si>
  <si>
    <t>=ODVODNI TUNEL AGREGATA C+ODVODNI TUNEL AGREGATA C-X</t>
  </si>
  <si>
    <t>=Y BJP14 GH001+Y BJP14 GH001-X1</t>
  </si>
  <si>
    <t>=Y CDD01+Y CDD01-X?</t>
  </si>
  <si>
    <t>=Y BJP11+Y BJP11-X200</t>
  </si>
  <si>
    <t>=Y BJP12+Y BJP12-X200</t>
  </si>
  <si>
    <t>=Y BJP13+Y BJP13-X200</t>
  </si>
  <si>
    <t>=Y BJP14 GH001+Y BJP14 GH001-X100</t>
  </si>
  <si>
    <t>=Y BJP14 GH001+Y BJP14 GH001-X200</t>
  </si>
  <si>
    <t>=BAZEN VODE RASHLADE+BAZEN VODE RASHLADE-B111</t>
  </si>
  <si>
    <t>=BAZEN VODE RASHLADE+BAZEN VODE RASHLADE-B112</t>
  </si>
  <si>
    <t>=Y BJP14 Y CDP01+Y BJP14 Y CDP01-PE</t>
  </si>
  <si>
    <t>=Y BUA51+Y BUA51-X?</t>
  </si>
  <si>
    <t>=Y BJP14 Y CDP01+Y BJP14 Y CDP01-X100</t>
  </si>
  <si>
    <t>=Y BUA52+Y BUA52-X?</t>
  </si>
  <si>
    <t>=Y BJP14 Y CDP01+Y BJP14 Y CDP01-X104</t>
  </si>
  <si>
    <t>=POMOĆNI SUSTAV DOBAVE+POMOĆNI SUSTAV DOBAVE-X?</t>
  </si>
  <si>
    <t>=Y BJP14 Y CDP01+Y BJP14 Y CDP01-X103</t>
  </si>
  <si>
    <t>=GLAVNI SUSTAV DOBAVE+GLAVNI SUSTAV DOBAVE-X?</t>
  </si>
  <si>
    <t>=ZASUN NA OTCJEPU+ZASUN NA OTCJEPU-X?</t>
  </si>
  <si>
    <t>=VENTIL RASHLADE KUĆNA MAŠINA+VENTIL RASHLADE KUĆNA MAŠINA-X?</t>
  </si>
  <si>
    <t>=YCND01+YCND01-X?</t>
  </si>
  <si>
    <t>=KUCNI AGREGAT+KUCNI AGREGAT-X?</t>
  </si>
  <si>
    <t>=Y BJP14 Y CDP01+Y BJP14 Y CDP01-X202.1</t>
  </si>
  <si>
    <t>=Y BJP14 Y CDP01+Y BJP14 Y CDP01-X202.5</t>
  </si>
  <si>
    <t>=POMOĆNI SUSTAV DOBAVE+POMOĆNI SUSTAV DOBAVE-X</t>
  </si>
  <si>
    <t>=Y BJP11+Y BJP11-X300</t>
  </si>
  <si>
    <t>=Y BJP14 Y CDP01+Y BJP14 Y CDP01-X202.2</t>
  </si>
  <si>
    <t>=Y BJP12+Y BJP12-X300</t>
  </si>
  <si>
    <t>=Y BJP14 Y CDP01+Y BJP14 Y CDP01-X202.3</t>
  </si>
  <si>
    <t>=Y BJP13+Y BJP13-X300</t>
  </si>
  <si>
    <t>=Y BJP14 Y CDP01+Y BJP14 Y CDP01-X202.4</t>
  </si>
  <si>
    <t>=Y BJP14 Y CDP01+Y BJP14 Y CDP01-X201.7</t>
  </si>
  <si>
    <t>=Y BJP11+Y BJP11-X205</t>
  </si>
  <si>
    <t>=Y BJP14 Y CDP01+Y BJP14 Y CDP01-X302</t>
  </si>
  <si>
    <t>=Y BJP12+Y BJP12-X205</t>
  </si>
  <si>
    <t>=Y BJP13+Y BJP13-X205</t>
  </si>
  <si>
    <t>=Y BJP14 Y CDP01+Y BJP14 Y CDP01-X202.6</t>
  </si>
  <si>
    <t>=SUSTAV KLIMATIZACIJE+SUSTAV KLIMATIZACIJE-BF1</t>
  </si>
  <si>
    <t>=POMOĆNI SUSTAV DOBAVE+POMOĆNI SUSTAV DOBAVE-BF1</t>
  </si>
  <si>
    <t>=Y BJP14 Y CDP01+Y BJP14 Y CDP01-X201.5</t>
  </si>
  <si>
    <t>=ODVODNI TUNEL AGREGATA A+ODVODNI TUNEL AGREGATA A-BF1</t>
  </si>
  <si>
    <t>=ODVODNI TUNEL AGREGATA B+ODVODNI TUNEL AGREGATA B-BF1</t>
  </si>
  <si>
    <t>=ODVODNI TUNEL AGREGATA C+ODVODNI TUNEL AGREGATA C-BF1</t>
  </si>
  <si>
    <t>=POMOĆNI SUSTAV DOBAVE+POMOĆNI SUSTAV DOBAVE-B111</t>
  </si>
  <si>
    <t>=POMOĆNI SUSTAV DOBAVE+POMOĆNI SUSTAV DOBAVE-BS1</t>
  </si>
  <si>
    <t>=POMOĆNI SUSTAV DOBAVE+POMOĆNI SUSTAV DOBAVE-BS2</t>
  </si>
  <si>
    <t>=POMOĆNI SUSTAV DOBAVE+POMOĆNI SUSTAV DOBAVE-BS3</t>
  </si>
  <si>
    <t>=A MKF01+A MKF01 GH001-PTL1</t>
  </si>
  <si>
    <t>=A MKF01+A MKF01 GH001-PTDE</t>
  </si>
  <si>
    <t>=A MKF01+A MKF01 GH001-PTNDE</t>
  </si>
  <si>
    <t>=A MKF01+A MKF01 GH001-PTH1</t>
  </si>
  <si>
    <t>=B MKF01+B MKF01 GH001-PTL1</t>
  </si>
  <si>
    <t>=B MKF01+B MKF01 GH001-PTDE</t>
  </si>
  <si>
    <t>=B MKF01+B MKF01 GH001-PTNDE</t>
  </si>
  <si>
    <t>=B MKF01+B MKF01 GH001-PTH1</t>
  </si>
  <si>
    <t>=C MKF01+C MKF01 GH001-PTL1</t>
  </si>
  <si>
    <t>=C MKF01+C MKF01 GH001-PTDE</t>
  </si>
  <si>
    <t>=C MKF01+C MKF01 GH001-PTNDE</t>
  </si>
  <si>
    <t>=C MKF01+C MKF01 GH001-PTH1</t>
  </si>
  <si>
    <t>=Y BJP14 Y CDP01+Y BJP14 Y CDP01-X301</t>
  </si>
  <si>
    <t>=A CJD01+A CJD01-X</t>
  </si>
  <si>
    <t>=B CJD01+B CJD01-X</t>
  </si>
  <si>
    <t>=C CJD01+C CJD01-X</t>
  </si>
  <si>
    <t>=Y BJP14 Y CDP01+Y BJP14 Y CDP01-X303</t>
  </si>
  <si>
    <t>=KAGR+KAGR+P3-X</t>
  </si>
  <si>
    <t>=Y BJP11+Y BJP11-U?</t>
  </si>
  <si>
    <t>=Y BJP14 Y CDP01+Y BJP14 Y CDP01-U111</t>
  </si>
  <si>
    <t>=Y BJP12+Y BJP12-U?</t>
  </si>
  <si>
    <t>=Y BJP13+Y BJP13-U?</t>
  </si>
  <si>
    <t>Duljina između lokacija</t>
  </si>
  <si>
    <t>Lokacija 1</t>
  </si>
  <si>
    <t>Lokacija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</si>
</sst>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m&quot;"/>
    <numFmt numFmtId="165" formatCode="General\ &quot;m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49" fontId="4" fillId="0" borderId="7" xfId="0" applyNumberFormat="1" applyFont="1" applyBorder="1"/>
    <xf numFmtId="49" fontId="4" fillId="0" borderId="9" xfId="0" applyNumberFormat="1" applyFont="1" applyBorder="1"/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ttal.com/com-en/products/PG20231215ZUB101/PG20240405ZUB003/PG20240405ZUB006/PRO68835?variantId=2411871" TargetMode="External"/><Relationship Id="rId3" Type="http://schemas.openxmlformats.org/officeDocument/2006/relationships/hyperlink" Target="https://www.rittal.com/com-en/products/PG20231215ZUB101/PG20240405ZUB003/PG20240405ZUB006/PRO68835?variantId=2411821" TargetMode="External"/><Relationship Id="rId7" Type="http://schemas.openxmlformats.org/officeDocument/2006/relationships/hyperlink" Target="https://www.rittal.com/com-en/products/PG20231215ZUB101/PG20240405ZUB003/PG20240405ZUB006/PRO68835?variantId=2411861" TargetMode="External"/><Relationship Id="rId2" Type="http://schemas.openxmlformats.org/officeDocument/2006/relationships/hyperlink" Target="https://www.rittal.com/com-en/products/PG20231215ZUB101/PG20240405ZUB003/PG20240405ZUB006/PRO68835?variantId=2411811" TargetMode="External"/><Relationship Id="rId1" Type="http://schemas.openxmlformats.org/officeDocument/2006/relationships/hyperlink" Target="https://www.rittal.com/com-en/products/PG20231215ZUB101/PG20240405ZUB003/PG20240405ZUB006/PRO68835?variantId=2411801" TargetMode="External"/><Relationship Id="rId6" Type="http://schemas.openxmlformats.org/officeDocument/2006/relationships/hyperlink" Target="https://www.rittal.com/com-en/products/PG20231215ZUB101/PG20240405ZUB003/PG20240405ZUB006/PRO68835?variantId=2411851" TargetMode="External"/><Relationship Id="rId5" Type="http://schemas.openxmlformats.org/officeDocument/2006/relationships/hyperlink" Target="https://www.rittal.com/com-en/products/PG20231215ZUB101/PG20240405ZUB003/PG20240405ZUB006/PRO68835?variantId=2411841" TargetMode="External"/><Relationship Id="rId4" Type="http://schemas.openxmlformats.org/officeDocument/2006/relationships/hyperlink" Target="https://www.rittal.com/com-en/products/PG20231215ZUB101/PG20240405ZUB003/PG20240405ZUB006/PRO68835?variantId=24118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4382-4C3A-4F64-BE2A-0AE06AC29AE7}">
  <dimension ref="A1:M97"/>
  <sheetViews>
    <sheetView tabSelected="1" topLeftCell="B48" zoomScale="96" zoomScaleNormal="96" workbookViewId="0">
      <selection activeCell="K69" sqref="K69"/>
    </sheetView>
  </sheetViews>
  <sheetFormatPr defaultRowHeight="15" x14ac:dyDescent="0.25"/>
  <cols>
    <col min="1" max="1" width="21.28515625" style="2" customWidth="1"/>
    <col min="2" max="3" width="68.42578125" style="2" customWidth="1"/>
    <col min="4" max="4" width="28.42578125" style="2" customWidth="1"/>
    <col min="5" max="5" width="20.28515625" style="11" customWidth="1"/>
    <col min="6" max="6" width="20.28515625" style="10" customWidth="1"/>
    <col min="7" max="7" width="17.28515625" style="10" customWidth="1"/>
    <col min="8" max="8" width="9.140625" style="2"/>
    <col min="9" max="9" width="21.5703125" style="2" customWidth="1"/>
    <col min="10" max="10" width="21.5703125" style="11" customWidth="1"/>
    <col min="11" max="11" width="9.140625" style="2"/>
    <col min="12" max="12" width="33.42578125" style="2" customWidth="1"/>
    <col min="13" max="16384" width="9.140625" style="2"/>
  </cols>
  <sheetData>
    <row r="1" spans="1:12" x14ac:dyDescent="0.25">
      <c r="A1" s="36" t="s">
        <v>1</v>
      </c>
      <c r="B1" s="32"/>
      <c r="C1" s="32"/>
      <c r="D1" s="32"/>
      <c r="E1" s="32"/>
      <c r="F1" s="32"/>
      <c r="G1" s="33"/>
      <c r="H1" s="24"/>
      <c r="I1" s="32" t="s">
        <v>2</v>
      </c>
      <c r="J1" s="33"/>
      <c r="K1" s="15"/>
      <c r="L1" s="34" t="s">
        <v>44</v>
      </c>
    </row>
    <row r="2" spans="1:12" ht="15.75" thickBot="1" x14ac:dyDescent="0.3">
      <c r="A2" s="3" t="s">
        <v>141</v>
      </c>
      <c r="B2" s="18" t="s">
        <v>245</v>
      </c>
      <c r="C2" s="18" t="s">
        <v>246</v>
      </c>
      <c r="D2" s="18" t="s">
        <v>244</v>
      </c>
      <c r="E2" s="18" t="s">
        <v>0</v>
      </c>
      <c r="F2" s="18" t="s">
        <v>32</v>
      </c>
      <c r="G2" s="19" t="s">
        <v>30</v>
      </c>
      <c r="H2" s="25"/>
      <c r="I2" s="18" t="s">
        <v>3</v>
      </c>
      <c r="J2" s="19" t="s">
        <v>4</v>
      </c>
      <c r="K2" s="8"/>
      <c r="L2" s="35"/>
    </row>
    <row r="3" spans="1:12" x14ac:dyDescent="0.25">
      <c r="A3" s="22" t="s">
        <v>46</v>
      </c>
      <c r="B3" s="26" t="s">
        <v>146</v>
      </c>
      <c r="C3" s="26" t="s">
        <v>147</v>
      </c>
      <c r="D3" s="30"/>
      <c r="E3" s="2" t="s">
        <v>5</v>
      </c>
      <c r="F3" s="2" t="s">
        <v>142</v>
      </c>
      <c r="G3" s="28">
        <v>47</v>
      </c>
      <c r="H3" s="20"/>
      <c r="I3" s="2" t="str">
        <f>IF(ISBLANK('kabeli i uvodnice'!G3),"",
IF('kabeli i uvodnice'!G3&lt;'rittal uvodnice'!$C$2,"PREMALEN",
IF('kabeli i uvodnice'!G3&lt;'rittal uvodnice'!$D$2,'rittal uvodnice'!$A$2,
IF('kabeli i uvodnice'!G3&lt;'rittal uvodnice'!$D$3,'rittal uvodnice'!$A$3,
IF('kabeli i uvodnice'!G3&lt;'rittal uvodnice'!$D$4,'rittal uvodnice'!$A$4,
IF('kabeli i uvodnice'!G3&lt;'rittal uvodnice'!$D$5,'rittal uvodnice'!$A$5,
IF('kabeli i uvodnice'!G3&lt;'rittal uvodnice'!$D$6,'rittal uvodnice'!$A$6,
IF('kabeli i uvodnice'!G3&lt;'rittal uvodnice'!$D$7,'rittal uvodnice'!$A$7,
IF('kabeli i uvodnice'!G3&lt;'rittal uvodnice'!$D$8,'rittal uvodnice'!$A$8,
IF('kabeli i uvodnice'!G3&lt;'rittal uvodnice'!$D$9,'rittal uvodnice'!$A$9,
"PREVELIK"))))))))))</f>
        <v>PREVELIK</v>
      </c>
      <c r="J3" s="13" t="str">
        <f>IF(ISBLANK('kabeli i uvodnice'!G3),"",
IF('kabeli i uvodnice'!G3&lt;'rittal uvodnice'!$C$2,"PREMALEN",
IF('kabeli i uvodnice'!G3&lt;'rittal uvodnice'!$D$2,'rittal uvodnice'!$B$2,
IF('kabeli i uvodnice'!G3&lt;'rittal uvodnice'!$D$3,'rittal uvodnice'!$B$3,
IF('kabeli i uvodnice'!G3&lt;'rittal uvodnice'!$D$4,'rittal uvodnice'!$B$4,
IF('kabeli i uvodnice'!G3&lt;'rittal uvodnice'!$D$5,'rittal uvodnice'!$B$5,
IF('kabeli i uvodnice'!G3&lt;'rittal uvodnice'!$D$6,'rittal uvodnice'!$B$6,
IF('kabeli i uvodnice'!G3&lt;'rittal uvodnice'!$D$7,'rittal uvodnice'!$B$7,
IF('kabeli i uvodnice'!G3&lt;'rittal uvodnice'!$D$8,'rittal uvodnice'!$B$8,
IF('kabeli i uvodnice'!G3&lt;'rittal uvodnice'!$D$9,'rittal uvodnice'!$B$9,
"PREVELIK"))))))))))</f>
        <v>PREVELIK</v>
      </c>
      <c r="L3" s="16" t="s">
        <v>144</v>
      </c>
    </row>
    <row r="4" spans="1:12" x14ac:dyDescent="0.25">
      <c r="A4" s="22" t="s">
        <v>47</v>
      </c>
      <c r="B4" s="26" t="s">
        <v>148</v>
      </c>
      <c r="C4" s="26" t="s">
        <v>149</v>
      </c>
      <c r="D4" s="30"/>
      <c r="E4" s="2" t="s">
        <v>10</v>
      </c>
      <c r="F4" s="2" t="s">
        <v>33</v>
      </c>
      <c r="G4" s="28">
        <v>9.4</v>
      </c>
      <c r="H4" s="20"/>
      <c r="I4" s="2">
        <f>IF(ISBLANK('kabeli i uvodnice'!G4),"",
IF('kabeli i uvodnice'!G4&lt;'rittal uvodnice'!$C$2,"PREMALEN",
IF('kabeli i uvodnice'!G4&lt;'rittal uvodnice'!$D$2,'rittal uvodnice'!$A$2,
IF('kabeli i uvodnice'!G4&lt;'rittal uvodnice'!$D$3,'rittal uvodnice'!$A$3,
IF('kabeli i uvodnice'!G4&lt;'rittal uvodnice'!$D$4,'rittal uvodnice'!$A$4,
IF('kabeli i uvodnice'!G4&lt;'rittal uvodnice'!$D$5,'rittal uvodnice'!$A$5,
IF('kabeli i uvodnice'!G4&lt;'rittal uvodnice'!$D$6,'rittal uvodnice'!$A$6,
IF('kabeli i uvodnice'!G4&lt;'rittal uvodnice'!$D$7,'rittal uvodnice'!$A$7,
IF('kabeli i uvodnice'!G4&lt;'rittal uvodnice'!$D$8,'rittal uvodnice'!$A$8,
IF('kabeli i uvodnice'!G4&lt;'rittal uvodnice'!$D$9,'rittal uvodnice'!$A$9,
"PREVELIK"))))))))))</f>
        <v>2411811</v>
      </c>
      <c r="J4" s="13" t="str">
        <f>IF(ISBLANK('kabeli i uvodnice'!G4),"",
IF('kabeli i uvodnice'!G4&lt;'rittal uvodnice'!$C$2,"PREMALEN",
IF('kabeli i uvodnice'!G4&lt;'rittal uvodnice'!$D$2,'rittal uvodnice'!$B$2,
IF('kabeli i uvodnice'!G4&lt;'rittal uvodnice'!$D$3,'rittal uvodnice'!$B$3,
IF('kabeli i uvodnice'!G4&lt;'rittal uvodnice'!$D$4,'rittal uvodnice'!$B$4,
IF('kabeli i uvodnice'!G4&lt;'rittal uvodnice'!$D$5,'rittal uvodnice'!$B$5,
IF('kabeli i uvodnice'!G4&lt;'rittal uvodnice'!$D$6,'rittal uvodnice'!$B$6,
IF('kabeli i uvodnice'!G4&lt;'rittal uvodnice'!$D$7,'rittal uvodnice'!$B$7,
IF('kabeli i uvodnice'!G4&lt;'rittal uvodnice'!$D$8,'rittal uvodnice'!$B$8,
IF('kabeli i uvodnice'!G4&lt;'rittal uvodnice'!$D$9,'rittal uvodnice'!$B$9,
"PREVELIK"))))))))))</f>
        <v>M16 x 1.5</v>
      </c>
      <c r="L4" s="17" t="s">
        <v>31</v>
      </c>
    </row>
    <row r="5" spans="1:12" x14ac:dyDescent="0.25">
      <c r="A5" s="22" t="s">
        <v>48</v>
      </c>
      <c r="B5" s="26" t="s">
        <v>148</v>
      </c>
      <c r="C5" s="26" t="s">
        <v>150</v>
      </c>
      <c r="D5" s="30"/>
      <c r="E5" s="2" t="s">
        <v>11</v>
      </c>
      <c r="F5" s="2"/>
      <c r="G5" s="28"/>
      <c r="H5" s="20"/>
      <c r="I5" s="2" t="str">
        <f>IF(ISBLANK('kabeli i uvodnice'!G5),"",
IF('kabeli i uvodnice'!G5&lt;'rittal uvodnice'!$C$2,"PREMALEN",
IF('kabeli i uvodnice'!G5&lt;'rittal uvodnice'!$D$2,'rittal uvodnice'!$A$2,
IF('kabeli i uvodnice'!G5&lt;'rittal uvodnice'!$D$3,'rittal uvodnice'!$A$3,
IF('kabeli i uvodnice'!G5&lt;'rittal uvodnice'!$D$4,'rittal uvodnice'!$A$4,
IF('kabeli i uvodnice'!G5&lt;'rittal uvodnice'!$D$5,'rittal uvodnice'!$A$5,
IF('kabeli i uvodnice'!G5&lt;'rittal uvodnice'!$D$6,'rittal uvodnice'!$A$6,
IF('kabeli i uvodnice'!G5&lt;'rittal uvodnice'!$D$7,'rittal uvodnice'!$A$7,
IF('kabeli i uvodnice'!G5&lt;'rittal uvodnice'!$D$8,'rittal uvodnice'!$A$8,
IF('kabeli i uvodnice'!G5&lt;'rittal uvodnice'!$D$9,'rittal uvodnice'!$A$9,
"PREVELIK"))))))))))</f>
        <v/>
      </c>
      <c r="J5" s="13" t="str">
        <f>IF(ISBLANK('kabeli i uvodnice'!G5),"",
IF('kabeli i uvodnice'!G5&lt;'rittal uvodnice'!$C$2,"PREMALEN",
IF('kabeli i uvodnice'!G5&lt;'rittal uvodnice'!$D$2,'rittal uvodnice'!$B$2,
IF('kabeli i uvodnice'!G5&lt;'rittal uvodnice'!$D$3,'rittal uvodnice'!$B$3,
IF('kabeli i uvodnice'!G5&lt;'rittal uvodnice'!$D$4,'rittal uvodnice'!$B$4,
IF('kabeli i uvodnice'!G5&lt;'rittal uvodnice'!$D$5,'rittal uvodnice'!$B$5,
IF('kabeli i uvodnice'!G5&lt;'rittal uvodnice'!$D$6,'rittal uvodnice'!$B$6,
IF('kabeli i uvodnice'!G5&lt;'rittal uvodnice'!$D$7,'rittal uvodnice'!$B$7,
IF('kabeli i uvodnice'!G5&lt;'rittal uvodnice'!$D$8,'rittal uvodnice'!$B$8,
IF('kabeli i uvodnice'!G5&lt;'rittal uvodnice'!$D$9,'rittal uvodnice'!$B$9,
"PREVELIK"))))))))))</f>
        <v/>
      </c>
      <c r="L5" s="6"/>
    </row>
    <row r="6" spans="1:12" x14ac:dyDescent="0.25">
      <c r="A6" s="22" t="s">
        <v>49</v>
      </c>
      <c r="B6" s="26" t="s">
        <v>148</v>
      </c>
      <c r="C6" s="26" t="s">
        <v>151</v>
      </c>
      <c r="D6" s="30"/>
      <c r="E6" s="2"/>
      <c r="F6" s="2" t="s">
        <v>34</v>
      </c>
      <c r="G6" s="28"/>
      <c r="H6" s="20"/>
      <c r="I6" s="2" t="str">
        <f>IF(ISBLANK('kabeli i uvodnice'!G6),"",
IF('kabeli i uvodnice'!G6&lt;'rittal uvodnice'!$C$2,"PREMALEN",
IF('kabeli i uvodnice'!G6&lt;'rittal uvodnice'!$D$2,'rittal uvodnice'!$A$2,
IF('kabeli i uvodnice'!G6&lt;'rittal uvodnice'!$D$3,'rittal uvodnice'!$A$3,
IF('kabeli i uvodnice'!G6&lt;'rittal uvodnice'!$D$4,'rittal uvodnice'!$A$4,
IF('kabeli i uvodnice'!G6&lt;'rittal uvodnice'!$D$5,'rittal uvodnice'!$A$5,
IF('kabeli i uvodnice'!G6&lt;'rittal uvodnice'!$D$6,'rittal uvodnice'!$A$6,
IF('kabeli i uvodnice'!G6&lt;'rittal uvodnice'!$D$7,'rittal uvodnice'!$A$7,
IF('kabeli i uvodnice'!G6&lt;'rittal uvodnice'!$D$8,'rittal uvodnice'!$A$8,
IF('kabeli i uvodnice'!G6&lt;'rittal uvodnice'!$D$9,'rittal uvodnice'!$A$9,
"PREVELIK"))))))))))</f>
        <v/>
      </c>
      <c r="J6" s="13" t="str">
        <f>IF(ISBLANK('kabeli i uvodnice'!G6),"",
IF('kabeli i uvodnice'!G6&lt;'rittal uvodnice'!$C$2,"PREMALEN",
IF('kabeli i uvodnice'!G6&lt;'rittal uvodnice'!$D$2,'rittal uvodnice'!$B$2,
IF('kabeli i uvodnice'!G6&lt;'rittal uvodnice'!$D$3,'rittal uvodnice'!$B$3,
IF('kabeli i uvodnice'!G6&lt;'rittal uvodnice'!$D$4,'rittal uvodnice'!$B$4,
IF('kabeli i uvodnice'!G6&lt;'rittal uvodnice'!$D$5,'rittal uvodnice'!$B$5,
IF('kabeli i uvodnice'!G6&lt;'rittal uvodnice'!$D$6,'rittal uvodnice'!$B$6,
IF('kabeli i uvodnice'!G6&lt;'rittal uvodnice'!$D$7,'rittal uvodnice'!$B$7,
IF('kabeli i uvodnice'!G6&lt;'rittal uvodnice'!$D$8,'rittal uvodnice'!$B$8,
IF('kabeli i uvodnice'!G6&lt;'rittal uvodnice'!$D$9,'rittal uvodnice'!$B$9,
"PREVELIK"))))))))))</f>
        <v/>
      </c>
      <c r="L6" s="6"/>
    </row>
    <row r="7" spans="1:12" x14ac:dyDescent="0.25">
      <c r="A7" s="22" t="s">
        <v>50</v>
      </c>
      <c r="B7" s="26" t="s">
        <v>148</v>
      </c>
      <c r="C7" s="26" t="s">
        <v>152</v>
      </c>
      <c r="D7" s="30"/>
      <c r="E7" s="2"/>
      <c r="F7" s="2" t="s">
        <v>35</v>
      </c>
      <c r="G7" s="28"/>
      <c r="H7" s="20"/>
      <c r="I7" s="2" t="str">
        <f>IF(ISBLANK('kabeli i uvodnice'!G7),"",
IF('kabeli i uvodnice'!G7&lt;'rittal uvodnice'!$C$2,"PREMALEN",
IF('kabeli i uvodnice'!G7&lt;'rittal uvodnice'!$D$2,'rittal uvodnice'!$A$2,
IF('kabeli i uvodnice'!G7&lt;'rittal uvodnice'!$D$3,'rittal uvodnice'!$A$3,
IF('kabeli i uvodnice'!G7&lt;'rittal uvodnice'!$D$4,'rittal uvodnice'!$A$4,
IF('kabeli i uvodnice'!G7&lt;'rittal uvodnice'!$D$5,'rittal uvodnice'!$A$5,
IF('kabeli i uvodnice'!G7&lt;'rittal uvodnice'!$D$6,'rittal uvodnice'!$A$6,
IF('kabeli i uvodnice'!G7&lt;'rittal uvodnice'!$D$7,'rittal uvodnice'!$A$7,
IF('kabeli i uvodnice'!G7&lt;'rittal uvodnice'!$D$8,'rittal uvodnice'!$A$8,
IF('kabeli i uvodnice'!G7&lt;'rittal uvodnice'!$D$9,'rittal uvodnice'!$A$9,
"PREVELIK"))))))))))</f>
        <v/>
      </c>
      <c r="J7" s="13" t="str">
        <f>IF(ISBLANK('kabeli i uvodnice'!G7),"",
IF('kabeli i uvodnice'!G7&lt;'rittal uvodnice'!$C$2,"PREMALEN",
IF('kabeli i uvodnice'!G7&lt;'rittal uvodnice'!$D$2,'rittal uvodnice'!$B$2,
IF('kabeli i uvodnice'!G7&lt;'rittal uvodnice'!$D$3,'rittal uvodnice'!$B$3,
IF('kabeli i uvodnice'!G7&lt;'rittal uvodnice'!$D$4,'rittal uvodnice'!$B$4,
IF('kabeli i uvodnice'!G7&lt;'rittal uvodnice'!$D$5,'rittal uvodnice'!$B$5,
IF('kabeli i uvodnice'!G7&lt;'rittal uvodnice'!$D$6,'rittal uvodnice'!$B$6,
IF('kabeli i uvodnice'!G7&lt;'rittal uvodnice'!$D$7,'rittal uvodnice'!$B$7,
IF('kabeli i uvodnice'!G7&lt;'rittal uvodnice'!$D$8,'rittal uvodnice'!$B$8,
IF('kabeli i uvodnice'!G7&lt;'rittal uvodnice'!$D$9,'rittal uvodnice'!$B$9,
"PREVELIK"))))))))))</f>
        <v/>
      </c>
      <c r="L7" s="6"/>
    </row>
    <row r="8" spans="1:12" x14ac:dyDescent="0.25">
      <c r="A8" s="22" t="s">
        <v>51</v>
      </c>
      <c r="B8" s="26"/>
      <c r="C8" s="26"/>
      <c r="D8" s="30"/>
      <c r="E8" s="2" t="s">
        <v>12</v>
      </c>
      <c r="F8" s="2"/>
      <c r="G8" s="28"/>
      <c r="H8" s="20"/>
      <c r="I8" s="2" t="str">
        <f>IF(ISBLANK('kabeli i uvodnice'!G8),"",
IF('kabeli i uvodnice'!G8&lt;'rittal uvodnice'!$C$2,"PREMALEN",
IF('kabeli i uvodnice'!G8&lt;'rittal uvodnice'!$D$2,'rittal uvodnice'!$A$2,
IF('kabeli i uvodnice'!G8&lt;'rittal uvodnice'!$D$3,'rittal uvodnice'!$A$3,
IF('kabeli i uvodnice'!G8&lt;'rittal uvodnice'!$D$4,'rittal uvodnice'!$A$4,
IF('kabeli i uvodnice'!G8&lt;'rittal uvodnice'!$D$5,'rittal uvodnice'!$A$5,
IF('kabeli i uvodnice'!G8&lt;'rittal uvodnice'!$D$6,'rittal uvodnice'!$A$6,
IF('kabeli i uvodnice'!G8&lt;'rittal uvodnice'!$D$7,'rittal uvodnice'!$A$7,
IF('kabeli i uvodnice'!G8&lt;'rittal uvodnice'!$D$8,'rittal uvodnice'!$A$8,
IF('kabeli i uvodnice'!G8&lt;'rittal uvodnice'!$D$9,'rittal uvodnice'!$A$9,
"PREVELIK"))))))))))</f>
        <v/>
      </c>
      <c r="J8" s="13" t="str">
        <f>IF(ISBLANK('kabeli i uvodnice'!G8),"",
IF('kabeli i uvodnice'!G8&lt;'rittal uvodnice'!$C$2,"PREMALEN",
IF('kabeli i uvodnice'!G8&lt;'rittal uvodnice'!$D$2,'rittal uvodnice'!$B$2,
IF('kabeli i uvodnice'!G8&lt;'rittal uvodnice'!$D$3,'rittal uvodnice'!$B$3,
IF('kabeli i uvodnice'!G8&lt;'rittal uvodnice'!$D$4,'rittal uvodnice'!$B$4,
IF('kabeli i uvodnice'!G8&lt;'rittal uvodnice'!$D$5,'rittal uvodnice'!$B$5,
IF('kabeli i uvodnice'!G8&lt;'rittal uvodnice'!$D$6,'rittal uvodnice'!$B$6,
IF('kabeli i uvodnice'!G8&lt;'rittal uvodnice'!$D$7,'rittal uvodnice'!$B$7,
IF('kabeli i uvodnice'!G8&lt;'rittal uvodnice'!$D$8,'rittal uvodnice'!$B$8,
IF('kabeli i uvodnice'!G8&lt;'rittal uvodnice'!$D$9,'rittal uvodnice'!$B$9,
"PREVELIK"))))))))))</f>
        <v/>
      </c>
      <c r="L8" s="16" t="s">
        <v>45</v>
      </c>
    </row>
    <row r="9" spans="1:12" x14ac:dyDescent="0.25">
      <c r="A9" s="22" t="s">
        <v>52</v>
      </c>
      <c r="B9" s="26" t="s">
        <v>148</v>
      </c>
      <c r="C9" s="26" t="s">
        <v>153</v>
      </c>
      <c r="D9" s="30"/>
      <c r="E9" s="2"/>
      <c r="F9" s="2" t="s">
        <v>34</v>
      </c>
      <c r="G9" s="28"/>
      <c r="H9" s="20"/>
      <c r="I9" s="2" t="str">
        <f>IF(ISBLANK('kabeli i uvodnice'!G9),"",
IF('kabeli i uvodnice'!G9&lt;'rittal uvodnice'!$C$2,"PREMALEN",
IF('kabeli i uvodnice'!G9&lt;'rittal uvodnice'!$D$2,'rittal uvodnice'!$A$2,
IF('kabeli i uvodnice'!G9&lt;'rittal uvodnice'!$D$3,'rittal uvodnice'!$A$3,
IF('kabeli i uvodnice'!G9&lt;'rittal uvodnice'!$D$4,'rittal uvodnice'!$A$4,
IF('kabeli i uvodnice'!G9&lt;'rittal uvodnice'!$D$5,'rittal uvodnice'!$A$5,
IF('kabeli i uvodnice'!G9&lt;'rittal uvodnice'!$D$6,'rittal uvodnice'!$A$6,
IF('kabeli i uvodnice'!G9&lt;'rittal uvodnice'!$D$7,'rittal uvodnice'!$A$7,
IF('kabeli i uvodnice'!G9&lt;'rittal uvodnice'!$D$8,'rittal uvodnice'!$A$8,
IF('kabeli i uvodnice'!G9&lt;'rittal uvodnice'!$D$9,'rittal uvodnice'!$A$9,
"PREVELIK"))))))))))</f>
        <v/>
      </c>
      <c r="J9" s="13" t="str">
        <f>IF(ISBLANK('kabeli i uvodnice'!G9),"",
IF('kabeli i uvodnice'!G9&lt;'rittal uvodnice'!$C$2,"PREMALEN",
IF('kabeli i uvodnice'!G9&lt;'rittal uvodnice'!$D$2,'rittal uvodnice'!$B$2,
IF('kabeli i uvodnice'!G9&lt;'rittal uvodnice'!$D$3,'rittal uvodnice'!$B$3,
IF('kabeli i uvodnice'!G9&lt;'rittal uvodnice'!$D$4,'rittal uvodnice'!$B$4,
IF('kabeli i uvodnice'!G9&lt;'rittal uvodnice'!$D$5,'rittal uvodnice'!$B$5,
IF('kabeli i uvodnice'!G9&lt;'rittal uvodnice'!$D$6,'rittal uvodnice'!$B$6,
IF('kabeli i uvodnice'!G9&lt;'rittal uvodnice'!$D$7,'rittal uvodnice'!$B$7,
IF('kabeli i uvodnice'!G9&lt;'rittal uvodnice'!$D$8,'rittal uvodnice'!$B$8,
IF('kabeli i uvodnice'!G9&lt;'rittal uvodnice'!$D$9,'rittal uvodnice'!$B$9,
"PREVELIK"))))))))))</f>
        <v/>
      </c>
      <c r="L9" s="6"/>
    </row>
    <row r="10" spans="1:12" x14ac:dyDescent="0.25">
      <c r="A10" s="22" t="s">
        <v>53</v>
      </c>
      <c r="B10" s="26" t="s">
        <v>154</v>
      </c>
      <c r="C10" s="26" t="s">
        <v>155</v>
      </c>
      <c r="D10" s="30"/>
      <c r="E10" s="2" t="s">
        <v>13</v>
      </c>
      <c r="F10" s="2"/>
      <c r="G10" s="28"/>
      <c r="H10" s="20"/>
      <c r="I10" s="2" t="str">
        <f>IF(ISBLANK('kabeli i uvodnice'!G10),"",
IF('kabeli i uvodnice'!G10&lt;'rittal uvodnice'!$C$2,"PREMALEN",
IF('kabeli i uvodnice'!G10&lt;'rittal uvodnice'!$D$2,'rittal uvodnice'!$A$2,
IF('kabeli i uvodnice'!G10&lt;'rittal uvodnice'!$D$3,'rittal uvodnice'!$A$3,
IF('kabeli i uvodnice'!G10&lt;'rittal uvodnice'!$D$4,'rittal uvodnice'!$A$4,
IF('kabeli i uvodnice'!G10&lt;'rittal uvodnice'!$D$5,'rittal uvodnice'!$A$5,
IF('kabeli i uvodnice'!G10&lt;'rittal uvodnice'!$D$6,'rittal uvodnice'!$A$6,
IF('kabeli i uvodnice'!G10&lt;'rittal uvodnice'!$D$7,'rittal uvodnice'!$A$7,
IF('kabeli i uvodnice'!G10&lt;'rittal uvodnice'!$D$8,'rittal uvodnice'!$A$8,
IF('kabeli i uvodnice'!G10&lt;'rittal uvodnice'!$D$9,'rittal uvodnice'!$A$9,
"PREVELIK"))))))))))</f>
        <v/>
      </c>
      <c r="J10" s="13" t="str">
        <f>IF(ISBLANK('kabeli i uvodnice'!G10),"",
IF('kabeli i uvodnice'!G10&lt;'rittal uvodnice'!$C$2,"PREMALEN",
IF('kabeli i uvodnice'!G10&lt;'rittal uvodnice'!$D$2,'rittal uvodnice'!$B$2,
IF('kabeli i uvodnice'!G10&lt;'rittal uvodnice'!$D$3,'rittal uvodnice'!$B$3,
IF('kabeli i uvodnice'!G10&lt;'rittal uvodnice'!$D$4,'rittal uvodnice'!$B$4,
IF('kabeli i uvodnice'!G10&lt;'rittal uvodnice'!$D$5,'rittal uvodnice'!$B$5,
IF('kabeli i uvodnice'!G10&lt;'rittal uvodnice'!$D$6,'rittal uvodnice'!$B$6,
IF('kabeli i uvodnice'!G10&lt;'rittal uvodnice'!$D$7,'rittal uvodnice'!$B$7,
IF('kabeli i uvodnice'!G10&lt;'rittal uvodnice'!$D$8,'rittal uvodnice'!$B$8,
IF('kabeli i uvodnice'!G10&lt;'rittal uvodnice'!$D$9,'rittal uvodnice'!$B$9,
"PREVELIK"))))))))))</f>
        <v/>
      </c>
      <c r="L10" s="6"/>
    </row>
    <row r="11" spans="1:12" x14ac:dyDescent="0.25">
      <c r="A11" s="22" t="s">
        <v>54</v>
      </c>
      <c r="B11" s="26"/>
      <c r="C11" s="26"/>
      <c r="D11" s="30"/>
      <c r="E11" s="2" t="s">
        <v>13</v>
      </c>
      <c r="F11" s="2"/>
      <c r="G11" s="28"/>
      <c r="H11" s="20"/>
      <c r="I11" s="2" t="str">
        <f>IF(ISBLANK('kabeli i uvodnice'!G11),"",
IF('kabeli i uvodnice'!G11&lt;'rittal uvodnice'!$C$2,"PREMALEN",
IF('kabeli i uvodnice'!G11&lt;'rittal uvodnice'!$D$2,'rittal uvodnice'!$A$2,
IF('kabeli i uvodnice'!G11&lt;'rittal uvodnice'!$D$3,'rittal uvodnice'!$A$3,
IF('kabeli i uvodnice'!G11&lt;'rittal uvodnice'!$D$4,'rittal uvodnice'!$A$4,
IF('kabeli i uvodnice'!G11&lt;'rittal uvodnice'!$D$5,'rittal uvodnice'!$A$5,
IF('kabeli i uvodnice'!G11&lt;'rittal uvodnice'!$D$6,'rittal uvodnice'!$A$6,
IF('kabeli i uvodnice'!G11&lt;'rittal uvodnice'!$D$7,'rittal uvodnice'!$A$7,
IF('kabeli i uvodnice'!G11&lt;'rittal uvodnice'!$D$8,'rittal uvodnice'!$A$8,
IF('kabeli i uvodnice'!G11&lt;'rittal uvodnice'!$D$9,'rittal uvodnice'!$A$9,
"PREVELIK"))))))))))</f>
        <v/>
      </c>
      <c r="J11" s="13" t="str">
        <f>IF(ISBLANK('kabeli i uvodnice'!G11),"",
IF('kabeli i uvodnice'!G11&lt;'rittal uvodnice'!$C$2,"PREMALEN",
IF('kabeli i uvodnice'!G11&lt;'rittal uvodnice'!$D$2,'rittal uvodnice'!$B$2,
IF('kabeli i uvodnice'!G11&lt;'rittal uvodnice'!$D$3,'rittal uvodnice'!$B$3,
IF('kabeli i uvodnice'!G11&lt;'rittal uvodnice'!$D$4,'rittal uvodnice'!$B$4,
IF('kabeli i uvodnice'!G11&lt;'rittal uvodnice'!$D$5,'rittal uvodnice'!$B$5,
IF('kabeli i uvodnice'!G11&lt;'rittal uvodnice'!$D$6,'rittal uvodnice'!$B$6,
IF('kabeli i uvodnice'!G11&lt;'rittal uvodnice'!$D$7,'rittal uvodnice'!$B$7,
IF('kabeli i uvodnice'!G11&lt;'rittal uvodnice'!$D$8,'rittal uvodnice'!$B$8,
IF('kabeli i uvodnice'!G11&lt;'rittal uvodnice'!$D$9,'rittal uvodnice'!$B$9,
"PREVELIK"))))))))))</f>
        <v/>
      </c>
      <c r="L11" s="6"/>
    </row>
    <row r="12" spans="1:12" x14ac:dyDescent="0.25">
      <c r="A12" s="22" t="s">
        <v>55</v>
      </c>
      <c r="B12" s="26" t="s">
        <v>156</v>
      </c>
      <c r="C12" s="26" t="s">
        <v>157</v>
      </c>
      <c r="D12" s="30"/>
      <c r="E12" s="2" t="s">
        <v>13</v>
      </c>
      <c r="F12" s="2"/>
      <c r="G12" s="28"/>
      <c r="H12" s="20"/>
      <c r="I12" s="2" t="str">
        <f>IF(ISBLANK('kabeli i uvodnice'!G12),"",
IF('kabeli i uvodnice'!G12&lt;'rittal uvodnice'!$C$2,"PREMALEN",
IF('kabeli i uvodnice'!G12&lt;'rittal uvodnice'!$D$2,'rittal uvodnice'!$A$2,
IF('kabeli i uvodnice'!G12&lt;'rittal uvodnice'!$D$3,'rittal uvodnice'!$A$3,
IF('kabeli i uvodnice'!G12&lt;'rittal uvodnice'!$D$4,'rittal uvodnice'!$A$4,
IF('kabeli i uvodnice'!G12&lt;'rittal uvodnice'!$D$5,'rittal uvodnice'!$A$5,
IF('kabeli i uvodnice'!G12&lt;'rittal uvodnice'!$D$6,'rittal uvodnice'!$A$6,
IF('kabeli i uvodnice'!G12&lt;'rittal uvodnice'!$D$7,'rittal uvodnice'!$A$7,
IF('kabeli i uvodnice'!G12&lt;'rittal uvodnice'!$D$8,'rittal uvodnice'!$A$8,
IF('kabeli i uvodnice'!G12&lt;'rittal uvodnice'!$D$9,'rittal uvodnice'!$A$9,
"PREVELIK"))))))))))</f>
        <v/>
      </c>
      <c r="J12" s="13" t="str">
        <f>IF(ISBLANK('kabeli i uvodnice'!G12),"",
IF('kabeli i uvodnice'!G12&lt;'rittal uvodnice'!$C$2,"PREMALEN",
IF('kabeli i uvodnice'!G12&lt;'rittal uvodnice'!$D$2,'rittal uvodnice'!$B$2,
IF('kabeli i uvodnice'!G12&lt;'rittal uvodnice'!$D$3,'rittal uvodnice'!$B$3,
IF('kabeli i uvodnice'!G12&lt;'rittal uvodnice'!$D$4,'rittal uvodnice'!$B$4,
IF('kabeli i uvodnice'!G12&lt;'rittal uvodnice'!$D$5,'rittal uvodnice'!$B$5,
IF('kabeli i uvodnice'!G12&lt;'rittal uvodnice'!$D$6,'rittal uvodnice'!$B$6,
IF('kabeli i uvodnice'!G12&lt;'rittal uvodnice'!$D$7,'rittal uvodnice'!$B$7,
IF('kabeli i uvodnice'!G12&lt;'rittal uvodnice'!$D$8,'rittal uvodnice'!$B$8,
IF('kabeli i uvodnice'!G12&lt;'rittal uvodnice'!$D$9,'rittal uvodnice'!$B$9,
"PREVELIK"))))))))))</f>
        <v/>
      </c>
      <c r="L12" s="6"/>
    </row>
    <row r="13" spans="1:12" x14ac:dyDescent="0.25">
      <c r="A13" s="22" t="s">
        <v>56</v>
      </c>
      <c r="B13" s="26" t="s">
        <v>158</v>
      </c>
      <c r="C13" s="26" t="s">
        <v>159</v>
      </c>
      <c r="D13" s="30"/>
      <c r="E13" s="2" t="s">
        <v>143</v>
      </c>
      <c r="F13" s="2" t="s">
        <v>36</v>
      </c>
      <c r="G13" s="28">
        <v>21</v>
      </c>
      <c r="H13" s="20"/>
      <c r="I13" s="2">
        <f>IF(ISBLANK('kabeli i uvodnice'!G13),"",
IF('kabeli i uvodnice'!G13&lt;'rittal uvodnice'!$C$2,"PREMALEN",
IF('kabeli i uvodnice'!G13&lt;'rittal uvodnice'!$D$2,'rittal uvodnice'!$A$2,
IF('kabeli i uvodnice'!G13&lt;'rittal uvodnice'!$D$3,'rittal uvodnice'!$A$3,
IF('kabeli i uvodnice'!G13&lt;'rittal uvodnice'!$D$4,'rittal uvodnice'!$A$4,
IF('kabeli i uvodnice'!G13&lt;'rittal uvodnice'!$D$5,'rittal uvodnice'!$A$5,
IF('kabeli i uvodnice'!G13&lt;'rittal uvodnice'!$D$6,'rittal uvodnice'!$A$6,
IF('kabeli i uvodnice'!G13&lt;'rittal uvodnice'!$D$7,'rittal uvodnice'!$A$7,
IF('kabeli i uvodnice'!G13&lt;'rittal uvodnice'!$D$8,'rittal uvodnice'!$A$8,
IF('kabeli i uvodnice'!G13&lt;'rittal uvodnice'!$D$9,'rittal uvodnice'!$A$9,
"PREVELIK"))))))))))</f>
        <v>2411851</v>
      </c>
      <c r="J13" s="13" t="str">
        <f>IF(ISBLANK('kabeli i uvodnice'!G13),"",
IF('kabeli i uvodnice'!G13&lt;'rittal uvodnice'!$C$2,"PREMALEN",
IF('kabeli i uvodnice'!G13&lt;'rittal uvodnice'!$D$2,'rittal uvodnice'!$B$2,
IF('kabeli i uvodnice'!G13&lt;'rittal uvodnice'!$D$3,'rittal uvodnice'!$B$3,
IF('kabeli i uvodnice'!G13&lt;'rittal uvodnice'!$D$4,'rittal uvodnice'!$B$4,
IF('kabeli i uvodnice'!G13&lt;'rittal uvodnice'!$D$5,'rittal uvodnice'!$B$5,
IF('kabeli i uvodnice'!G13&lt;'rittal uvodnice'!$D$6,'rittal uvodnice'!$B$6,
IF('kabeli i uvodnice'!G13&lt;'rittal uvodnice'!$D$7,'rittal uvodnice'!$B$7,
IF('kabeli i uvodnice'!G13&lt;'rittal uvodnice'!$D$8,'rittal uvodnice'!$B$8,
IF('kabeli i uvodnice'!G13&lt;'rittal uvodnice'!$D$9,'rittal uvodnice'!$B$9,
"PREVELIK"))))))))))</f>
        <v>M40 x 1.5</v>
      </c>
      <c r="L13" s="16" t="s">
        <v>145</v>
      </c>
    </row>
    <row r="14" spans="1:12" x14ac:dyDescent="0.25">
      <c r="A14" s="22" t="s">
        <v>57</v>
      </c>
      <c r="B14" s="26" t="s">
        <v>158</v>
      </c>
      <c r="C14" s="26" t="s">
        <v>160</v>
      </c>
      <c r="D14" s="30"/>
      <c r="E14" s="2" t="s">
        <v>143</v>
      </c>
      <c r="F14" s="2" t="s">
        <v>36</v>
      </c>
      <c r="G14" s="28">
        <v>21</v>
      </c>
      <c r="H14" s="20"/>
      <c r="I14" s="2">
        <f>IF(ISBLANK('kabeli i uvodnice'!G14),"",
IF('kabeli i uvodnice'!G14&lt;'rittal uvodnice'!$C$2,"PREMALEN",
IF('kabeli i uvodnice'!G14&lt;'rittal uvodnice'!$D$2,'rittal uvodnice'!$A$2,
IF('kabeli i uvodnice'!G14&lt;'rittal uvodnice'!$D$3,'rittal uvodnice'!$A$3,
IF('kabeli i uvodnice'!G14&lt;'rittal uvodnice'!$D$4,'rittal uvodnice'!$A$4,
IF('kabeli i uvodnice'!G14&lt;'rittal uvodnice'!$D$5,'rittal uvodnice'!$A$5,
IF('kabeli i uvodnice'!G14&lt;'rittal uvodnice'!$D$6,'rittal uvodnice'!$A$6,
IF('kabeli i uvodnice'!G14&lt;'rittal uvodnice'!$D$7,'rittal uvodnice'!$A$7,
IF('kabeli i uvodnice'!G14&lt;'rittal uvodnice'!$D$8,'rittal uvodnice'!$A$8,
IF('kabeli i uvodnice'!G14&lt;'rittal uvodnice'!$D$9,'rittal uvodnice'!$A$9,
"PREVELIK"))))))))))</f>
        <v>2411851</v>
      </c>
      <c r="J14" s="13" t="str">
        <f>IF(ISBLANK('kabeli i uvodnice'!G14),"",
IF('kabeli i uvodnice'!G14&lt;'rittal uvodnice'!$C$2,"PREMALEN",
IF('kabeli i uvodnice'!G14&lt;'rittal uvodnice'!$D$2,'rittal uvodnice'!$B$2,
IF('kabeli i uvodnice'!G14&lt;'rittal uvodnice'!$D$3,'rittal uvodnice'!$B$3,
IF('kabeli i uvodnice'!G14&lt;'rittal uvodnice'!$D$4,'rittal uvodnice'!$B$4,
IF('kabeli i uvodnice'!G14&lt;'rittal uvodnice'!$D$5,'rittal uvodnice'!$B$5,
IF('kabeli i uvodnice'!G14&lt;'rittal uvodnice'!$D$6,'rittal uvodnice'!$B$6,
IF('kabeli i uvodnice'!G14&lt;'rittal uvodnice'!$D$7,'rittal uvodnice'!$B$7,
IF('kabeli i uvodnice'!G14&lt;'rittal uvodnice'!$D$8,'rittal uvodnice'!$B$8,
IF('kabeli i uvodnice'!G14&lt;'rittal uvodnice'!$D$9,'rittal uvodnice'!$B$9,
"PREVELIK"))))))))))</f>
        <v>M40 x 1.5</v>
      </c>
      <c r="L14" s="16" t="s">
        <v>145</v>
      </c>
    </row>
    <row r="15" spans="1:12" x14ac:dyDescent="0.25">
      <c r="A15" s="22" t="s">
        <v>58</v>
      </c>
      <c r="B15" s="26" t="s">
        <v>161</v>
      </c>
      <c r="C15" s="26" t="s">
        <v>162</v>
      </c>
      <c r="D15" s="30"/>
      <c r="E15" s="2" t="s">
        <v>5</v>
      </c>
      <c r="F15" s="2" t="s">
        <v>142</v>
      </c>
      <c r="G15" s="28">
        <v>47</v>
      </c>
      <c r="H15" s="20"/>
      <c r="I15" s="2" t="str">
        <f>IF(ISBLANK('kabeli i uvodnice'!G15),"",
IF('kabeli i uvodnice'!G15&lt;'rittal uvodnice'!$C$2,"PREMALEN",
IF('kabeli i uvodnice'!G15&lt;'rittal uvodnice'!$D$2,'rittal uvodnice'!$A$2,
IF('kabeli i uvodnice'!G15&lt;'rittal uvodnice'!$D$3,'rittal uvodnice'!$A$3,
IF('kabeli i uvodnice'!G15&lt;'rittal uvodnice'!$D$4,'rittal uvodnice'!$A$4,
IF('kabeli i uvodnice'!G15&lt;'rittal uvodnice'!$D$5,'rittal uvodnice'!$A$5,
IF('kabeli i uvodnice'!G15&lt;'rittal uvodnice'!$D$6,'rittal uvodnice'!$A$6,
IF('kabeli i uvodnice'!G15&lt;'rittal uvodnice'!$D$7,'rittal uvodnice'!$A$7,
IF('kabeli i uvodnice'!G15&lt;'rittal uvodnice'!$D$8,'rittal uvodnice'!$A$8,
IF('kabeli i uvodnice'!G15&lt;'rittal uvodnice'!$D$9,'rittal uvodnice'!$A$9,
"PREVELIK"))))))))))</f>
        <v>PREVELIK</v>
      </c>
      <c r="J15" s="13" t="str">
        <f>IF(ISBLANK('kabeli i uvodnice'!G15),"",
IF('kabeli i uvodnice'!G15&lt;'rittal uvodnice'!$C$2,"PREMALEN",
IF('kabeli i uvodnice'!G15&lt;'rittal uvodnice'!$D$2,'rittal uvodnice'!$B$2,
IF('kabeli i uvodnice'!G15&lt;'rittal uvodnice'!$D$3,'rittal uvodnice'!$B$3,
IF('kabeli i uvodnice'!G15&lt;'rittal uvodnice'!$D$4,'rittal uvodnice'!$B$4,
IF('kabeli i uvodnice'!G15&lt;'rittal uvodnice'!$D$5,'rittal uvodnice'!$B$5,
IF('kabeli i uvodnice'!G15&lt;'rittal uvodnice'!$D$6,'rittal uvodnice'!$B$6,
IF('kabeli i uvodnice'!G15&lt;'rittal uvodnice'!$D$7,'rittal uvodnice'!$B$7,
IF('kabeli i uvodnice'!G15&lt;'rittal uvodnice'!$D$8,'rittal uvodnice'!$B$8,
IF('kabeli i uvodnice'!G15&lt;'rittal uvodnice'!$D$9,'rittal uvodnice'!$B$9,
"PREVELIK"))))))))))</f>
        <v>PREVELIK</v>
      </c>
      <c r="L15" s="16" t="s">
        <v>144</v>
      </c>
    </row>
    <row r="16" spans="1:12" x14ac:dyDescent="0.25">
      <c r="A16" s="22" t="s">
        <v>59</v>
      </c>
      <c r="B16" s="26" t="s">
        <v>163</v>
      </c>
      <c r="C16" s="26" t="s">
        <v>164</v>
      </c>
      <c r="D16" s="30"/>
      <c r="E16" s="2" t="s">
        <v>5</v>
      </c>
      <c r="F16" s="2" t="s">
        <v>37</v>
      </c>
      <c r="G16" s="28">
        <v>12</v>
      </c>
      <c r="H16" s="20"/>
      <c r="I16" s="2">
        <f>IF(ISBLANK('kabeli i uvodnice'!G16),"",
IF('kabeli i uvodnice'!G16&lt;'rittal uvodnice'!$C$2,"PREMALEN",
IF('kabeli i uvodnice'!G16&lt;'rittal uvodnice'!$D$2,'rittal uvodnice'!$A$2,
IF('kabeli i uvodnice'!G16&lt;'rittal uvodnice'!$D$3,'rittal uvodnice'!$A$3,
IF('kabeli i uvodnice'!G16&lt;'rittal uvodnice'!$D$4,'rittal uvodnice'!$A$4,
IF('kabeli i uvodnice'!G16&lt;'rittal uvodnice'!$D$5,'rittal uvodnice'!$A$5,
IF('kabeli i uvodnice'!G16&lt;'rittal uvodnice'!$D$6,'rittal uvodnice'!$A$6,
IF('kabeli i uvodnice'!G16&lt;'rittal uvodnice'!$D$7,'rittal uvodnice'!$A$7,
IF('kabeli i uvodnice'!G16&lt;'rittal uvodnice'!$D$8,'rittal uvodnice'!$A$8,
IF('kabeli i uvodnice'!G16&lt;'rittal uvodnice'!$D$9,'rittal uvodnice'!$A$9,
"PREVELIK"))))))))))</f>
        <v>2411831</v>
      </c>
      <c r="J16" s="13" t="str">
        <f>IF(ISBLANK('kabeli i uvodnice'!G16),"",
IF('kabeli i uvodnice'!G16&lt;'rittal uvodnice'!$C$2,"PREMALEN",
IF('kabeli i uvodnice'!G16&lt;'rittal uvodnice'!$D$2,'rittal uvodnice'!$B$2,
IF('kabeli i uvodnice'!G16&lt;'rittal uvodnice'!$D$3,'rittal uvodnice'!$B$3,
IF('kabeli i uvodnice'!G16&lt;'rittal uvodnice'!$D$4,'rittal uvodnice'!$B$4,
IF('kabeli i uvodnice'!G16&lt;'rittal uvodnice'!$D$5,'rittal uvodnice'!$B$5,
IF('kabeli i uvodnice'!G16&lt;'rittal uvodnice'!$D$6,'rittal uvodnice'!$B$6,
IF('kabeli i uvodnice'!G16&lt;'rittal uvodnice'!$D$7,'rittal uvodnice'!$B$7,
IF('kabeli i uvodnice'!G16&lt;'rittal uvodnice'!$D$8,'rittal uvodnice'!$B$8,
IF('kabeli i uvodnice'!G16&lt;'rittal uvodnice'!$D$9,'rittal uvodnice'!$B$9,
"PREVELIK"))))))))))</f>
        <v>M25 x 1.5</v>
      </c>
      <c r="L16" s="6"/>
    </row>
    <row r="17" spans="1:12" x14ac:dyDescent="0.25">
      <c r="A17" s="22" t="s">
        <v>60</v>
      </c>
      <c r="B17" s="26" t="s">
        <v>163</v>
      </c>
      <c r="C17" s="26" t="s">
        <v>165</v>
      </c>
      <c r="D17" s="30"/>
      <c r="E17" s="2" t="s">
        <v>5</v>
      </c>
      <c r="F17" s="2" t="s">
        <v>37</v>
      </c>
      <c r="G17" s="28">
        <v>12</v>
      </c>
      <c r="H17" s="20"/>
      <c r="I17" s="2">
        <f>IF(ISBLANK('kabeli i uvodnice'!G17),"",
IF('kabeli i uvodnice'!G17&lt;'rittal uvodnice'!$C$2,"PREMALEN",
IF('kabeli i uvodnice'!G17&lt;'rittal uvodnice'!$D$2,'rittal uvodnice'!$A$2,
IF('kabeli i uvodnice'!G17&lt;'rittal uvodnice'!$D$3,'rittal uvodnice'!$A$3,
IF('kabeli i uvodnice'!G17&lt;'rittal uvodnice'!$D$4,'rittal uvodnice'!$A$4,
IF('kabeli i uvodnice'!G17&lt;'rittal uvodnice'!$D$5,'rittal uvodnice'!$A$5,
IF('kabeli i uvodnice'!G17&lt;'rittal uvodnice'!$D$6,'rittal uvodnice'!$A$6,
IF('kabeli i uvodnice'!G17&lt;'rittal uvodnice'!$D$7,'rittal uvodnice'!$A$7,
IF('kabeli i uvodnice'!G17&lt;'rittal uvodnice'!$D$8,'rittal uvodnice'!$A$8,
IF('kabeli i uvodnice'!G17&lt;'rittal uvodnice'!$D$9,'rittal uvodnice'!$A$9,
"PREVELIK"))))))))))</f>
        <v>2411831</v>
      </c>
      <c r="J17" s="13" t="str">
        <f>IF(ISBLANK('kabeli i uvodnice'!G17),"",
IF('kabeli i uvodnice'!G17&lt;'rittal uvodnice'!$C$2,"PREMALEN",
IF('kabeli i uvodnice'!G17&lt;'rittal uvodnice'!$D$2,'rittal uvodnice'!$B$2,
IF('kabeli i uvodnice'!G17&lt;'rittal uvodnice'!$D$3,'rittal uvodnice'!$B$3,
IF('kabeli i uvodnice'!G17&lt;'rittal uvodnice'!$D$4,'rittal uvodnice'!$B$4,
IF('kabeli i uvodnice'!G17&lt;'rittal uvodnice'!$D$5,'rittal uvodnice'!$B$5,
IF('kabeli i uvodnice'!G17&lt;'rittal uvodnice'!$D$6,'rittal uvodnice'!$B$6,
IF('kabeli i uvodnice'!G17&lt;'rittal uvodnice'!$D$7,'rittal uvodnice'!$B$7,
IF('kabeli i uvodnice'!G17&lt;'rittal uvodnice'!$D$8,'rittal uvodnice'!$B$8,
IF('kabeli i uvodnice'!G17&lt;'rittal uvodnice'!$D$9,'rittal uvodnice'!$B$9,
"PREVELIK"))))))))))</f>
        <v>M25 x 1.5</v>
      </c>
      <c r="L17" s="6"/>
    </row>
    <row r="18" spans="1:12" x14ac:dyDescent="0.25">
      <c r="A18" s="22" t="s">
        <v>61</v>
      </c>
      <c r="B18" s="26" t="s">
        <v>163</v>
      </c>
      <c r="C18" s="26" t="s">
        <v>166</v>
      </c>
      <c r="D18" s="30"/>
      <c r="E18" s="2" t="s">
        <v>5</v>
      </c>
      <c r="F18" s="2" t="s">
        <v>37</v>
      </c>
      <c r="G18" s="28">
        <v>12</v>
      </c>
      <c r="H18" s="20"/>
      <c r="I18" s="2">
        <f>IF(ISBLANK('kabeli i uvodnice'!G18),"",
IF('kabeli i uvodnice'!G18&lt;'rittal uvodnice'!$C$2,"PREMALEN",
IF('kabeli i uvodnice'!G18&lt;'rittal uvodnice'!$D$2,'rittal uvodnice'!$A$2,
IF('kabeli i uvodnice'!G18&lt;'rittal uvodnice'!$D$3,'rittal uvodnice'!$A$3,
IF('kabeli i uvodnice'!G18&lt;'rittal uvodnice'!$D$4,'rittal uvodnice'!$A$4,
IF('kabeli i uvodnice'!G18&lt;'rittal uvodnice'!$D$5,'rittal uvodnice'!$A$5,
IF('kabeli i uvodnice'!G18&lt;'rittal uvodnice'!$D$6,'rittal uvodnice'!$A$6,
IF('kabeli i uvodnice'!G18&lt;'rittal uvodnice'!$D$7,'rittal uvodnice'!$A$7,
IF('kabeli i uvodnice'!G18&lt;'rittal uvodnice'!$D$8,'rittal uvodnice'!$A$8,
IF('kabeli i uvodnice'!G18&lt;'rittal uvodnice'!$D$9,'rittal uvodnice'!$A$9,
"PREVELIK"))))))))))</f>
        <v>2411831</v>
      </c>
      <c r="J18" s="13" t="str">
        <f>IF(ISBLANK('kabeli i uvodnice'!G18),"",
IF('kabeli i uvodnice'!G18&lt;'rittal uvodnice'!$C$2,"PREMALEN",
IF('kabeli i uvodnice'!G18&lt;'rittal uvodnice'!$D$2,'rittal uvodnice'!$B$2,
IF('kabeli i uvodnice'!G18&lt;'rittal uvodnice'!$D$3,'rittal uvodnice'!$B$3,
IF('kabeli i uvodnice'!G18&lt;'rittal uvodnice'!$D$4,'rittal uvodnice'!$B$4,
IF('kabeli i uvodnice'!G18&lt;'rittal uvodnice'!$D$5,'rittal uvodnice'!$B$5,
IF('kabeli i uvodnice'!G18&lt;'rittal uvodnice'!$D$6,'rittal uvodnice'!$B$6,
IF('kabeli i uvodnice'!G18&lt;'rittal uvodnice'!$D$7,'rittal uvodnice'!$B$7,
IF('kabeli i uvodnice'!G18&lt;'rittal uvodnice'!$D$8,'rittal uvodnice'!$B$8,
IF('kabeli i uvodnice'!G18&lt;'rittal uvodnice'!$D$9,'rittal uvodnice'!$B$9,
"PREVELIK"))))))))))</f>
        <v>M25 x 1.5</v>
      </c>
      <c r="L18" s="6"/>
    </row>
    <row r="19" spans="1:12" x14ac:dyDescent="0.25">
      <c r="A19" s="22" t="s">
        <v>62</v>
      </c>
      <c r="B19" s="26" t="s">
        <v>163</v>
      </c>
      <c r="C19" s="26" t="s">
        <v>167</v>
      </c>
      <c r="D19" s="30"/>
      <c r="E19" s="2" t="s">
        <v>5</v>
      </c>
      <c r="F19" s="2" t="s">
        <v>37</v>
      </c>
      <c r="G19" s="28">
        <v>12</v>
      </c>
      <c r="H19" s="20"/>
      <c r="I19" s="2">
        <f>IF(ISBLANK('kabeli i uvodnice'!G19),"",
IF('kabeli i uvodnice'!G19&lt;'rittal uvodnice'!$C$2,"PREMALEN",
IF('kabeli i uvodnice'!G19&lt;'rittal uvodnice'!$D$2,'rittal uvodnice'!$A$2,
IF('kabeli i uvodnice'!G19&lt;'rittal uvodnice'!$D$3,'rittal uvodnice'!$A$3,
IF('kabeli i uvodnice'!G19&lt;'rittal uvodnice'!$D$4,'rittal uvodnice'!$A$4,
IF('kabeli i uvodnice'!G19&lt;'rittal uvodnice'!$D$5,'rittal uvodnice'!$A$5,
IF('kabeli i uvodnice'!G19&lt;'rittal uvodnice'!$D$6,'rittal uvodnice'!$A$6,
IF('kabeli i uvodnice'!G19&lt;'rittal uvodnice'!$D$7,'rittal uvodnice'!$A$7,
IF('kabeli i uvodnice'!G19&lt;'rittal uvodnice'!$D$8,'rittal uvodnice'!$A$8,
IF('kabeli i uvodnice'!G19&lt;'rittal uvodnice'!$D$9,'rittal uvodnice'!$A$9,
"PREVELIK"))))))))))</f>
        <v>2411831</v>
      </c>
      <c r="J19" s="13" t="str">
        <f>IF(ISBLANK('kabeli i uvodnice'!G19),"",
IF('kabeli i uvodnice'!G19&lt;'rittal uvodnice'!$C$2,"PREMALEN",
IF('kabeli i uvodnice'!G19&lt;'rittal uvodnice'!$D$2,'rittal uvodnice'!$B$2,
IF('kabeli i uvodnice'!G19&lt;'rittal uvodnice'!$D$3,'rittal uvodnice'!$B$3,
IF('kabeli i uvodnice'!G19&lt;'rittal uvodnice'!$D$4,'rittal uvodnice'!$B$4,
IF('kabeli i uvodnice'!G19&lt;'rittal uvodnice'!$D$5,'rittal uvodnice'!$B$5,
IF('kabeli i uvodnice'!G19&lt;'rittal uvodnice'!$D$6,'rittal uvodnice'!$B$6,
IF('kabeli i uvodnice'!G19&lt;'rittal uvodnice'!$D$7,'rittal uvodnice'!$B$7,
IF('kabeli i uvodnice'!G19&lt;'rittal uvodnice'!$D$8,'rittal uvodnice'!$B$8,
IF('kabeli i uvodnice'!G19&lt;'rittal uvodnice'!$D$9,'rittal uvodnice'!$B$9,
"PREVELIK"))))))))))</f>
        <v>M25 x 1.5</v>
      </c>
      <c r="L19" s="6"/>
    </row>
    <row r="20" spans="1:12" x14ac:dyDescent="0.25">
      <c r="A20" s="22" t="s">
        <v>63</v>
      </c>
      <c r="B20" s="26" t="s">
        <v>163</v>
      </c>
      <c r="C20" s="26" t="s">
        <v>168</v>
      </c>
      <c r="D20" s="30"/>
      <c r="E20" s="2" t="s">
        <v>5</v>
      </c>
      <c r="F20" s="2" t="s">
        <v>37</v>
      </c>
      <c r="G20" s="28">
        <v>12</v>
      </c>
      <c r="H20" s="20"/>
      <c r="I20" s="2">
        <f>IF(ISBLANK('kabeli i uvodnice'!G20),"",
IF('kabeli i uvodnice'!G20&lt;'rittal uvodnice'!$C$2,"PREMALEN",
IF('kabeli i uvodnice'!G20&lt;'rittal uvodnice'!$D$2,'rittal uvodnice'!$A$2,
IF('kabeli i uvodnice'!G20&lt;'rittal uvodnice'!$D$3,'rittal uvodnice'!$A$3,
IF('kabeli i uvodnice'!G20&lt;'rittal uvodnice'!$D$4,'rittal uvodnice'!$A$4,
IF('kabeli i uvodnice'!G20&lt;'rittal uvodnice'!$D$5,'rittal uvodnice'!$A$5,
IF('kabeli i uvodnice'!G20&lt;'rittal uvodnice'!$D$6,'rittal uvodnice'!$A$6,
IF('kabeli i uvodnice'!G20&lt;'rittal uvodnice'!$D$7,'rittal uvodnice'!$A$7,
IF('kabeli i uvodnice'!G20&lt;'rittal uvodnice'!$D$8,'rittal uvodnice'!$A$8,
IF('kabeli i uvodnice'!G20&lt;'rittal uvodnice'!$D$9,'rittal uvodnice'!$A$9,
"PREVELIK"))))))))))</f>
        <v>2411831</v>
      </c>
      <c r="J20" s="13" t="str">
        <f>IF(ISBLANK('kabeli i uvodnice'!G20),"",
IF('kabeli i uvodnice'!G20&lt;'rittal uvodnice'!$C$2,"PREMALEN",
IF('kabeli i uvodnice'!G20&lt;'rittal uvodnice'!$D$2,'rittal uvodnice'!$B$2,
IF('kabeli i uvodnice'!G20&lt;'rittal uvodnice'!$D$3,'rittal uvodnice'!$B$3,
IF('kabeli i uvodnice'!G20&lt;'rittal uvodnice'!$D$4,'rittal uvodnice'!$B$4,
IF('kabeli i uvodnice'!G20&lt;'rittal uvodnice'!$D$5,'rittal uvodnice'!$B$5,
IF('kabeli i uvodnice'!G20&lt;'rittal uvodnice'!$D$6,'rittal uvodnice'!$B$6,
IF('kabeli i uvodnice'!G20&lt;'rittal uvodnice'!$D$7,'rittal uvodnice'!$B$7,
IF('kabeli i uvodnice'!G20&lt;'rittal uvodnice'!$D$8,'rittal uvodnice'!$B$8,
IF('kabeli i uvodnice'!G20&lt;'rittal uvodnice'!$D$9,'rittal uvodnice'!$B$9,
"PREVELIK"))))))))))</f>
        <v>M25 x 1.5</v>
      </c>
      <c r="L20" s="6"/>
    </row>
    <row r="21" spans="1:12" x14ac:dyDescent="0.25">
      <c r="A21" s="22" t="s">
        <v>64</v>
      </c>
      <c r="B21" s="26" t="s">
        <v>163</v>
      </c>
      <c r="C21" s="26" t="s">
        <v>169</v>
      </c>
      <c r="D21" s="30"/>
      <c r="E21" s="2" t="s">
        <v>5</v>
      </c>
      <c r="F21" s="2" t="s">
        <v>37</v>
      </c>
      <c r="G21" s="28">
        <v>12</v>
      </c>
      <c r="H21" s="20"/>
      <c r="I21" s="2">
        <f>IF(ISBLANK('kabeli i uvodnice'!G21),"",
IF('kabeli i uvodnice'!G21&lt;'rittal uvodnice'!$C$2,"PREMALEN",
IF('kabeli i uvodnice'!G21&lt;'rittal uvodnice'!$D$2,'rittal uvodnice'!$A$2,
IF('kabeli i uvodnice'!G21&lt;'rittal uvodnice'!$D$3,'rittal uvodnice'!$A$3,
IF('kabeli i uvodnice'!G21&lt;'rittal uvodnice'!$D$4,'rittal uvodnice'!$A$4,
IF('kabeli i uvodnice'!G21&lt;'rittal uvodnice'!$D$5,'rittal uvodnice'!$A$5,
IF('kabeli i uvodnice'!G21&lt;'rittal uvodnice'!$D$6,'rittal uvodnice'!$A$6,
IF('kabeli i uvodnice'!G21&lt;'rittal uvodnice'!$D$7,'rittal uvodnice'!$A$7,
IF('kabeli i uvodnice'!G21&lt;'rittal uvodnice'!$D$8,'rittal uvodnice'!$A$8,
IF('kabeli i uvodnice'!G21&lt;'rittal uvodnice'!$D$9,'rittal uvodnice'!$A$9,
"PREVELIK"))))))))))</f>
        <v>2411831</v>
      </c>
      <c r="J21" s="13" t="str">
        <f>IF(ISBLANK('kabeli i uvodnice'!G21),"",
IF('kabeli i uvodnice'!G21&lt;'rittal uvodnice'!$C$2,"PREMALEN",
IF('kabeli i uvodnice'!G21&lt;'rittal uvodnice'!$D$2,'rittal uvodnice'!$B$2,
IF('kabeli i uvodnice'!G21&lt;'rittal uvodnice'!$D$3,'rittal uvodnice'!$B$3,
IF('kabeli i uvodnice'!G21&lt;'rittal uvodnice'!$D$4,'rittal uvodnice'!$B$4,
IF('kabeli i uvodnice'!G21&lt;'rittal uvodnice'!$D$5,'rittal uvodnice'!$B$5,
IF('kabeli i uvodnice'!G21&lt;'rittal uvodnice'!$D$6,'rittal uvodnice'!$B$6,
IF('kabeli i uvodnice'!G21&lt;'rittal uvodnice'!$D$7,'rittal uvodnice'!$B$7,
IF('kabeli i uvodnice'!G21&lt;'rittal uvodnice'!$D$8,'rittal uvodnice'!$B$8,
IF('kabeli i uvodnice'!G21&lt;'rittal uvodnice'!$D$9,'rittal uvodnice'!$B$9,
"PREVELIK"))))))))))</f>
        <v>M25 x 1.5</v>
      </c>
      <c r="L21" s="6"/>
    </row>
    <row r="22" spans="1:12" x14ac:dyDescent="0.25">
      <c r="A22" s="22" t="s">
        <v>65</v>
      </c>
      <c r="B22" s="26" t="s">
        <v>163</v>
      </c>
      <c r="C22" s="26" t="s">
        <v>170</v>
      </c>
      <c r="D22" s="30"/>
      <c r="E22" s="2" t="s">
        <v>5</v>
      </c>
      <c r="F22" s="2" t="s">
        <v>37</v>
      </c>
      <c r="G22" s="28">
        <v>12</v>
      </c>
      <c r="H22" s="20"/>
      <c r="I22" s="2">
        <f>IF(ISBLANK('kabeli i uvodnice'!G22),"",
IF('kabeli i uvodnice'!G22&lt;'rittal uvodnice'!$C$2,"PREMALEN",
IF('kabeli i uvodnice'!G22&lt;'rittal uvodnice'!$D$2,'rittal uvodnice'!$A$2,
IF('kabeli i uvodnice'!G22&lt;'rittal uvodnice'!$D$3,'rittal uvodnice'!$A$3,
IF('kabeli i uvodnice'!G22&lt;'rittal uvodnice'!$D$4,'rittal uvodnice'!$A$4,
IF('kabeli i uvodnice'!G22&lt;'rittal uvodnice'!$D$5,'rittal uvodnice'!$A$5,
IF('kabeli i uvodnice'!G22&lt;'rittal uvodnice'!$D$6,'rittal uvodnice'!$A$6,
IF('kabeli i uvodnice'!G22&lt;'rittal uvodnice'!$D$7,'rittal uvodnice'!$A$7,
IF('kabeli i uvodnice'!G22&lt;'rittal uvodnice'!$D$8,'rittal uvodnice'!$A$8,
IF('kabeli i uvodnice'!G22&lt;'rittal uvodnice'!$D$9,'rittal uvodnice'!$A$9,
"PREVELIK"))))))))))</f>
        <v>2411831</v>
      </c>
      <c r="J22" s="13" t="str">
        <f>IF(ISBLANK('kabeli i uvodnice'!G22),"",
IF('kabeli i uvodnice'!G22&lt;'rittal uvodnice'!$C$2,"PREMALEN",
IF('kabeli i uvodnice'!G22&lt;'rittal uvodnice'!$D$2,'rittal uvodnice'!$B$2,
IF('kabeli i uvodnice'!G22&lt;'rittal uvodnice'!$D$3,'rittal uvodnice'!$B$3,
IF('kabeli i uvodnice'!G22&lt;'rittal uvodnice'!$D$4,'rittal uvodnice'!$B$4,
IF('kabeli i uvodnice'!G22&lt;'rittal uvodnice'!$D$5,'rittal uvodnice'!$B$5,
IF('kabeli i uvodnice'!G22&lt;'rittal uvodnice'!$D$6,'rittal uvodnice'!$B$6,
IF('kabeli i uvodnice'!G22&lt;'rittal uvodnice'!$D$7,'rittal uvodnice'!$B$7,
IF('kabeli i uvodnice'!G22&lt;'rittal uvodnice'!$D$8,'rittal uvodnice'!$B$8,
IF('kabeli i uvodnice'!G22&lt;'rittal uvodnice'!$D$9,'rittal uvodnice'!$B$9,
"PREVELIK"))))))))))</f>
        <v>M25 x 1.5</v>
      </c>
      <c r="L22" s="6"/>
    </row>
    <row r="23" spans="1:12" x14ac:dyDescent="0.25">
      <c r="A23" s="22" t="s">
        <v>66</v>
      </c>
      <c r="B23" s="26" t="s">
        <v>163</v>
      </c>
      <c r="C23" s="26" t="s">
        <v>171</v>
      </c>
      <c r="D23" s="30"/>
      <c r="E23" s="2" t="s">
        <v>5</v>
      </c>
      <c r="F23" s="2" t="s">
        <v>37</v>
      </c>
      <c r="G23" s="28">
        <v>12</v>
      </c>
      <c r="H23" s="20"/>
      <c r="I23" s="2">
        <f>IF(ISBLANK('kabeli i uvodnice'!G23),"",
IF('kabeli i uvodnice'!G23&lt;'rittal uvodnice'!$C$2,"PREMALEN",
IF('kabeli i uvodnice'!G23&lt;'rittal uvodnice'!$D$2,'rittal uvodnice'!$A$2,
IF('kabeli i uvodnice'!G23&lt;'rittal uvodnice'!$D$3,'rittal uvodnice'!$A$3,
IF('kabeli i uvodnice'!G23&lt;'rittal uvodnice'!$D$4,'rittal uvodnice'!$A$4,
IF('kabeli i uvodnice'!G23&lt;'rittal uvodnice'!$D$5,'rittal uvodnice'!$A$5,
IF('kabeli i uvodnice'!G23&lt;'rittal uvodnice'!$D$6,'rittal uvodnice'!$A$6,
IF('kabeli i uvodnice'!G23&lt;'rittal uvodnice'!$D$7,'rittal uvodnice'!$A$7,
IF('kabeli i uvodnice'!G23&lt;'rittal uvodnice'!$D$8,'rittal uvodnice'!$A$8,
IF('kabeli i uvodnice'!G23&lt;'rittal uvodnice'!$D$9,'rittal uvodnice'!$A$9,
"PREVELIK"))))))))))</f>
        <v>2411831</v>
      </c>
      <c r="J23" s="13" t="str">
        <f>IF(ISBLANK('kabeli i uvodnice'!G23),"",
IF('kabeli i uvodnice'!G23&lt;'rittal uvodnice'!$C$2,"PREMALEN",
IF('kabeli i uvodnice'!G23&lt;'rittal uvodnice'!$D$2,'rittal uvodnice'!$B$2,
IF('kabeli i uvodnice'!G23&lt;'rittal uvodnice'!$D$3,'rittal uvodnice'!$B$3,
IF('kabeli i uvodnice'!G23&lt;'rittal uvodnice'!$D$4,'rittal uvodnice'!$B$4,
IF('kabeli i uvodnice'!G23&lt;'rittal uvodnice'!$D$5,'rittal uvodnice'!$B$5,
IF('kabeli i uvodnice'!G23&lt;'rittal uvodnice'!$D$6,'rittal uvodnice'!$B$6,
IF('kabeli i uvodnice'!G23&lt;'rittal uvodnice'!$D$7,'rittal uvodnice'!$B$7,
IF('kabeli i uvodnice'!G23&lt;'rittal uvodnice'!$D$8,'rittal uvodnice'!$B$8,
IF('kabeli i uvodnice'!G23&lt;'rittal uvodnice'!$D$9,'rittal uvodnice'!$B$9,
"PREVELIK"))))))))))</f>
        <v>M25 x 1.5</v>
      </c>
      <c r="L23" s="6"/>
    </row>
    <row r="24" spans="1:12" x14ac:dyDescent="0.25">
      <c r="A24" s="22" t="s">
        <v>67</v>
      </c>
      <c r="B24" s="26" t="s">
        <v>172</v>
      </c>
      <c r="C24" s="26" t="s">
        <v>173</v>
      </c>
      <c r="D24" s="30"/>
      <c r="E24" s="2" t="s">
        <v>5</v>
      </c>
      <c r="F24" s="2" t="s">
        <v>38</v>
      </c>
      <c r="G24" s="28">
        <v>12</v>
      </c>
      <c r="H24" s="20"/>
      <c r="I24" s="2">
        <f>IF(ISBLANK('kabeli i uvodnice'!G24),"",
IF('kabeli i uvodnice'!G24&lt;'rittal uvodnice'!$C$2,"PREMALEN",
IF('kabeli i uvodnice'!G24&lt;'rittal uvodnice'!$D$2,'rittal uvodnice'!$A$2,
IF('kabeli i uvodnice'!G24&lt;'rittal uvodnice'!$D$3,'rittal uvodnice'!$A$3,
IF('kabeli i uvodnice'!G24&lt;'rittal uvodnice'!$D$4,'rittal uvodnice'!$A$4,
IF('kabeli i uvodnice'!G24&lt;'rittal uvodnice'!$D$5,'rittal uvodnice'!$A$5,
IF('kabeli i uvodnice'!G24&lt;'rittal uvodnice'!$D$6,'rittal uvodnice'!$A$6,
IF('kabeli i uvodnice'!G24&lt;'rittal uvodnice'!$D$7,'rittal uvodnice'!$A$7,
IF('kabeli i uvodnice'!G24&lt;'rittal uvodnice'!$D$8,'rittal uvodnice'!$A$8,
IF('kabeli i uvodnice'!G24&lt;'rittal uvodnice'!$D$9,'rittal uvodnice'!$A$9,
"PREVELIK"))))))))))</f>
        <v>2411831</v>
      </c>
      <c r="J24" s="13" t="str">
        <f>IF(ISBLANK('kabeli i uvodnice'!G24),"",
IF('kabeli i uvodnice'!G24&lt;'rittal uvodnice'!$C$2,"PREMALEN",
IF('kabeli i uvodnice'!G24&lt;'rittal uvodnice'!$D$2,'rittal uvodnice'!$B$2,
IF('kabeli i uvodnice'!G24&lt;'rittal uvodnice'!$D$3,'rittal uvodnice'!$B$3,
IF('kabeli i uvodnice'!G24&lt;'rittal uvodnice'!$D$4,'rittal uvodnice'!$B$4,
IF('kabeli i uvodnice'!G24&lt;'rittal uvodnice'!$D$5,'rittal uvodnice'!$B$5,
IF('kabeli i uvodnice'!G24&lt;'rittal uvodnice'!$D$6,'rittal uvodnice'!$B$6,
IF('kabeli i uvodnice'!G24&lt;'rittal uvodnice'!$D$7,'rittal uvodnice'!$B$7,
IF('kabeli i uvodnice'!G24&lt;'rittal uvodnice'!$D$8,'rittal uvodnice'!$B$8,
IF('kabeli i uvodnice'!G24&lt;'rittal uvodnice'!$D$9,'rittal uvodnice'!$B$9,
"PREVELIK"))))))))))</f>
        <v>M25 x 1.5</v>
      </c>
      <c r="L24" s="6"/>
    </row>
    <row r="25" spans="1:12" x14ac:dyDescent="0.25">
      <c r="A25" s="22" t="s">
        <v>68</v>
      </c>
      <c r="B25" s="26" t="s">
        <v>172</v>
      </c>
      <c r="C25" s="26" t="s">
        <v>174</v>
      </c>
      <c r="D25" s="30"/>
      <c r="E25" s="2" t="s">
        <v>5</v>
      </c>
      <c r="F25" s="2" t="s">
        <v>38</v>
      </c>
      <c r="G25" s="28">
        <v>12</v>
      </c>
      <c r="H25" s="20"/>
      <c r="I25" s="2">
        <f>IF(ISBLANK('kabeli i uvodnice'!G25),"",
IF('kabeli i uvodnice'!G25&lt;'rittal uvodnice'!$C$2,"PREMALEN",
IF('kabeli i uvodnice'!G25&lt;'rittal uvodnice'!$D$2,'rittal uvodnice'!$A$2,
IF('kabeli i uvodnice'!G25&lt;'rittal uvodnice'!$D$3,'rittal uvodnice'!$A$3,
IF('kabeli i uvodnice'!G25&lt;'rittal uvodnice'!$D$4,'rittal uvodnice'!$A$4,
IF('kabeli i uvodnice'!G25&lt;'rittal uvodnice'!$D$5,'rittal uvodnice'!$A$5,
IF('kabeli i uvodnice'!G25&lt;'rittal uvodnice'!$D$6,'rittal uvodnice'!$A$6,
IF('kabeli i uvodnice'!G25&lt;'rittal uvodnice'!$D$7,'rittal uvodnice'!$A$7,
IF('kabeli i uvodnice'!G25&lt;'rittal uvodnice'!$D$8,'rittal uvodnice'!$A$8,
IF('kabeli i uvodnice'!G25&lt;'rittal uvodnice'!$D$9,'rittal uvodnice'!$A$9,
"PREVELIK"))))))))))</f>
        <v>2411831</v>
      </c>
      <c r="J25" s="13" t="str">
        <f>IF(ISBLANK('kabeli i uvodnice'!G25),"",
IF('kabeli i uvodnice'!G25&lt;'rittal uvodnice'!$C$2,"PREMALEN",
IF('kabeli i uvodnice'!G25&lt;'rittal uvodnice'!$D$2,'rittal uvodnice'!$B$2,
IF('kabeli i uvodnice'!G25&lt;'rittal uvodnice'!$D$3,'rittal uvodnice'!$B$3,
IF('kabeli i uvodnice'!G25&lt;'rittal uvodnice'!$D$4,'rittal uvodnice'!$B$4,
IF('kabeli i uvodnice'!G25&lt;'rittal uvodnice'!$D$5,'rittal uvodnice'!$B$5,
IF('kabeli i uvodnice'!G25&lt;'rittal uvodnice'!$D$6,'rittal uvodnice'!$B$6,
IF('kabeli i uvodnice'!G25&lt;'rittal uvodnice'!$D$7,'rittal uvodnice'!$B$7,
IF('kabeli i uvodnice'!G25&lt;'rittal uvodnice'!$D$8,'rittal uvodnice'!$B$8,
IF('kabeli i uvodnice'!G25&lt;'rittal uvodnice'!$D$9,'rittal uvodnice'!$B$9,
"PREVELIK"))))))))))</f>
        <v>M25 x 1.5</v>
      </c>
      <c r="L25" s="6"/>
    </row>
    <row r="26" spans="1:12" x14ac:dyDescent="0.25">
      <c r="A26" s="22" t="s">
        <v>69</v>
      </c>
      <c r="B26" s="26" t="s">
        <v>172</v>
      </c>
      <c r="C26" s="26" t="s">
        <v>175</v>
      </c>
      <c r="D26" s="30"/>
      <c r="E26" s="2" t="s">
        <v>5</v>
      </c>
      <c r="F26" s="2" t="s">
        <v>38</v>
      </c>
      <c r="G26" s="28">
        <v>12</v>
      </c>
      <c r="H26" s="20"/>
      <c r="I26" s="2">
        <f>IF(ISBLANK('kabeli i uvodnice'!G26),"",
IF('kabeli i uvodnice'!G26&lt;'rittal uvodnice'!$C$2,"PREMALEN",
IF('kabeli i uvodnice'!G26&lt;'rittal uvodnice'!$D$2,'rittal uvodnice'!$A$2,
IF('kabeli i uvodnice'!G26&lt;'rittal uvodnice'!$D$3,'rittal uvodnice'!$A$3,
IF('kabeli i uvodnice'!G26&lt;'rittal uvodnice'!$D$4,'rittal uvodnice'!$A$4,
IF('kabeli i uvodnice'!G26&lt;'rittal uvodnice'!$D$5,'rittal uvodnice'!$A$5,
IF('kabeli i uvodnice'!G26&lt;'rittal uvodnice'!$D$6,'rittal uvodnice'!$A$6,
IF('kabeli i uvodnice'!G26&lt;'rittal uvodnice'!$D$7,'rittal uvodnice'!$A$7,
IF('kabeli i uvodnice'!G26&lt;'rittal uvodnice'!$D$8,'rittal uvodnice'!$A$8,
IF('kabeli i uvodnice'!G26&lt;'rittal uvodnice'!$D$9,'rittal uvodnice'!$A$9,
"PREVELIK"))))))))))</f>
        <v>2411831</v>
      </c>
      <c r="J26" s="13" t="str">
        <f>IF(ISBLANK('kabeli i uvodnice'!G26),"",
IF('kabeli i uvodnice'!G26&lt;'rittal uvodnice'!$C$2,"PREMALEN",
IF('kabeli i uvodnice'!G26&lt;'rittal uvodnice'!$D$2,'rittal uvodnice'!$B$2,
IF('kabeli i uvodnice'!G26&lt;'rittal uvodnice'!$D$3,'rittal uvodnice'!$B$3,
IF('kabeli i uvodnice'!G26&lt;'rittal uvodnice'!$D$4,'rittal uvodnice'!$B$4,
IF('kabeli i uvodnice'!G26&lt;'rittal uvodnice'!$D$5,'rittal uvodnice'!$B$5,
IF('kabeli i uvodnice'!G26&lt;'rittal uvodnice'!$D$6,'rittal uvodnice'!$B$6,
IF('kabeli i uvodnice'!G26&lt;'rittal uvodnice'!$D$7,'rittal uvodnice'!$B$7,
IF('kabeli i uvodnice'!G26&lt;'rittal uvodnice'!$D$8,'rittal uvodnice'!$B$8,
IF('kabeli i uvodnice'!G26&lt;'rittal uvodnice'!$D$9,'rittal uvodnice'!$B$9,
"PREVELIK"))))))))))</f>
        <v>M25 x 1.5</v>
      </c>
      <c r="L26" s="6"/>
    </row>
    <row r="27" spans="1:12" x14ac:dyDescent="0.25">
      <c r="A27" s="22" t="s">
        <v>70</v>
      </c>
      <c r="B27" s="26" t="s">
        <v>172</v>
      </c>
      <c r="C27" s="26" t="s">
        <v>176</v>
      </c>
      <c r="D27" s="30"/>
      <c r="E27" s="2" t="s">
        <v>5</v>
      </c>
      <c r="F27" s="2" t="s">
        <v>38</v>
      </c>
      <c r="G27" s="28">
        <v>12</v>
      </c>
      <c r="H27" s="20"/>
      <c r="I27" s="2">
        <f>IF(ISBLANK('kabeli i uvodnice'!G27),"",
IF('kabeli i uvodnice'!G27&lt;'rittal uvodnice'!$C$2,"PREMALEN",
IF('kabeli i uvodnice'!G27&lt;'rittal uvodnice'!$D$2,'rittal uvodnice'!$A$2,
IF('kabeli i uvodnice'!G27&lt;'rittal uvodnice'!$D$3,'rittal uvodnice'!$A$3,
IF('kabeli i uvodnice'!G27&lt;'rittal uvodnice'!$D$4,'rittal uvodnice'!$A$4,
IF('kabeli i uvodnice'!G27&lt;'rittal uvodnice'!$D$5,'rittal uvodnice'!$A$5,
IF('kabeli i uvodnice'!G27&lt;'rittal uvodnice'!$D$6,'rittal uvodnice'!$A$6,
IF('kabeli i uvodnice'!G27&lt;'rittal uvodnice'!$D$7,'rittal uvodnice'!$A$7,
IF('kabeli i uvodnice'!G27&lt;'rittal uvodnice'!$D$8,'rittal uvodnice'!$A$8,
IF('kabeli i uvodnice'!G27&lt;'rittal uvodnice'!$D$9,'rittal uvodnice'!$A$9,
"PREVELIK"))))))))))</f>
        <v>2411831</v>
      </c>
      <c r="J27" s="13" t="str">
        <f>IF(ISBLANK('kabeli i uvodnice'!G27),"",
IF('kabeli i uvodnice'!G27&lt;'rittal uvodnice'!$C$2,"PREMALEN",
IF('kabeli i uvodnice'!G27&lt;'rittal uvodnice'!$D$2,'rittal uvodnice'!$B$2,
IF('kabeli i uvodnice'!G27&lt;'rittal uvodnice'!$D$3,'rittal uvodnice'!$B$3,
IF('kabeli i uvodnice'!G27&lt;'rittal uvodnice'!$D$4,'rittal uvodnice'!$B$4,
IF('kabeli i uvodnice'!G27&lt;'rittal uvodnice'!$D$5,'rittal uvodnice'!$B$5,
IF('kabeli i uvodnice'!G27&lt;'rittal uvodnice'!$D$6,'rittal uvodnice'!$B$6,
IF('kabeli i uvodnice'!G27&lt;'rittal uvodnice'!$D$7,'rittal uvodnice'!$B$7,
IF('kabeli i uvodnice'!G27&lt;'rittal uvodnice'!$D$8,'rittal uvodnice'!$B$8,
IF('kabeli i uvodnice'!G27&lt;'rittal uvodnice'!$D$9,'rittal uvodnice'!$B$9,
"PREVELIK"))))))))))</f>
        <v>M25 x 1.5</v>
      </c>
      <c r="L27" s="6"/>
    </row>
    <row r="28" spans="1:12" x14ac:dyDescent="0.25">
      <c r="A28" s="22" t="s">
        <v>71</v>
      </c>
      <c r="B28" s="26" t="s">
        <v>172</v>
      </c>
      <c r="C28" s="26" t="s">
        <v>177</v>
      </c>
      <c r="D28" s="30"/>
      <c r="E28" s="2" t="s">
        <v>5</v>
      </c>
      <c r="F28" s="2" t="s">
        <v>38</v>
      </c>
      <c r="G28" s="28">
        <v>12</v>
      </c>
      <c r="H28" s="20"/>
      <c r="I28" s="2">
        <f>IF(ISBLANK('kabeli i uvodnice'!G28),"",
IF('kabeli i uvodnice'!G28&lt;'rittal uvodnice'!$C$2,"PREMALEN",
IF('kabeli i uvodnice'!G28&lt;'rittal uvodnice'!$D$2,'rittal uvodnice'!$A$2,
IF('kabeli i uvodnice'!G28&lt;'rittal uvodnice'!$D$3,'rittal uvodnice'!$A$3,
IF('kabeli i uvodnice'!G28&lt;'rittal uvodnice'!$D$4,'rittal uvodnice'!$A$4,
IF('kabeli i uvodnice'!G28&lt;'rittal uvodnice'!$D$5,'rittal uvodnice'!$A$5,
IF('kabeli i uvodnice'!G28&lt;'rittal uvodnice'!$D$6,'rittal uvodnice'!$A$6,
IF('kabeli i uvodnice'!G28&lt;'rittal uvodnice'!$D$7,'rittal uvodnice'!$A$7,
IF('kabeli i uvodnice'!G28&lt;'rittal uvodnice'!$D$8,'rittal uvodnice'!$A$8,
IF('kabeli i uvodnice'!G28&lt;'rittal uvodnice'!$D$9,'rittal uvodnice'!$A$9,
"PREVELIK"))))))))))</f>
        <v>2411831</v>
      </c>
      <c r="J28" s="13" t="str">
        <f>IF(ISBLANK('kabeli i uvodnice'!G28),"",
IF('kabeli i uvodnice'!G28&lt;'rittal uvodnice'!$C$2,"PREMALEN",
IF('kabeli i uvodnice'!G28&lt;'rittal uvodnice'!$D$2,'rittal uvodnice'!$B$2,
IF('kabeli i uvodnice'!G28&lt;'rittal uvodnice'!$D$3,'rittal uvodnice'!$B$3,
IF('kabeli i uvodnice'!G28&lt;'rittal uvodnice'!$D$4,'rittal uvodnice'!$B$4,
IF('kabeli i uvodnice'!G28&lt;'rittal uvodnice'!$D$5,'rittal uvodnice'!$B$5,
IF('kabeli i uvodnice'!G28&lt;'rittal uvodnice'!$D$6,'rittal uvodnice'!$B$6,
IF('kabeli i uvodnice'!G28&lt;'rittal uvodnice'!$D$7,'rittal uvodnice'!$B$7,
IF('kabeli i uvodnice'!G28&lt;'rittal uvodnice'!$D$8,'rittal uvodnice'!$B$8,
IF('kabeli i uvodnice'!G28&lt;'rittal uvodnice'!$D$9,'rittal uvodnice'!$B$9,
"PREVELIK"))))))))))</f>
        <v>M25 x 1.5</v>
      </c>
      <c r="L28" s="6"/>
    </row>
    <row r="29" spans="1:12" x14ac:dyDescent="0.25">
      <c r="A29" s="22" t="s">
        <v>72</v>
      </c>
      <c r="B29" s="26" t="s">
        <v>178</v>
      </c>
      <c r="C29" s="26" t="s">
        <v>172</v>
      </c>
      <c r="D29" s="30"/>
      <c r="E29" s="2" t="s">
        <v>5</v>
      </c>
      <c r="F29" s="2" t="s">
        <v>38</v>
      </c>
      <c r="G29" s="28">
        <v>12</v>
      </c>
      <c r="H29" s="20"/>
      <c r="I29" s="2">
        <f>IF(ISBLANK('kabeli i uvodnice'!G29),"",
IF('kabeli i uvodnice'!G29&lt;'rittal uvodnice'!$C$2,"PREMALEN",
IF('kabeli i uvodnice'!G29&lt;'rittal uvodnice'!$D$2,'rittal uvodnice'!$A$2,
IF('kabeli i uvodnice'!G29&lt;'rittal uvodnice'!$D$3,'rittal uvodnice'!$A$3,
IF('kabeli i uvodnice'!G29&lt;'rittal uvodnice'!$D$4,'rittal uvodnice'!$A$4,
IF('kabeli i uvodnice'!G29&lt;'rittal uvodnice'!$D$5,'rittal uvodnice'!$A$5,
IF('kabeli i uvodnice'!G29&lt;'rittal uvodnice'!$D$6,'rittal uvodnice'!$A$6,
IF('kabeli i uvodnice'!G29&lt;'rittal uvodnice'!$D$7,'rittal uvodnice'!$A$7,
IF('kabeli i uvodnice'!G29&lt;'rittal uvodnice'!$D$8,'rittal uvodnice'!$A$8,
IF('kabeli i uvodnice'!G29&lt;'rittal uvodnice'!$D$9,'rittal uvodnice'!$A$9,
"PREVELIK"))))))))))</f>
        <v>2411831</v>
      </c>
      <c r="J29" s="13" t="str">
        <f>IF(ISBLANK('kabeli i uvodnice'!G29),"",
IF('kabeli i uvodnice'!G29&lt;'rittal uvodnice'!$C$2,"PREMALEN",
IF('kabeli i uvodnice'!G29&lt;'rittal uvodnice'!$D$2,'rittal uvodnice'!$B$2,
IF('kabeli i uvodnice'!G29&lt;'rittal uvodnice'!$D$3,'rittal uvodnice'!$B$3,
IF('kabeli i uvodnice'!G29&lt;'rittal uvodnice'!$D$4,'rittal uvodnice'!$B$4,
IF('kabeli i uvodnice'!G29&lt;'rittal uvodnice'!$D$5,'rittal uvodnice'!$B$5,
IF('kabeli i uvodnice'!G29&lt;'rittal uvodnice'!$D$6,'rittal uvodnice'!$B$6,
IF('kabeli i uvodnice'!G29&lt;'rittal uvodnice'!$D$7,'rittal uvodnice'!$B$7,
IF('kabeli i uvodnice'!G29&lt;'rittal uvodnice'!$D$8,'rittal uvodnice'!$B$8,
IF('kabeli i uvodnice'!G29&lt;'rittal uvodnice'!$D$9,'rittal uvodnice'!$B$9,
"PREVELIK"))))))))))</f>
        <v>M25 x 1.5</v>
      </c>
      <c r="L29" s="6"/>
    </row>
    <row r="30" spans="1:12" x14ac:dyDescent="0.25">
      <c r="A30" s="22" t="s">
        <v>73</v>
      </c>
      <c r="B30" s="26" t="s">
        <v>179</v>
      </c>
      <c r="C30" s="26" t="s">
        <v>172</v>
      </c>
      <c r="D30" s="30"/>
      <c r="E30" s="2" t="s">
        <v>5</v>
      </c>
      <c r="F30" s="2" t="s">
        <v>37</v>
      </c>
      <c r="G30" s="28">
        <v>12</v>
      </c>
      <c r="H30" s="20"/>
      <c r="I30" s="2">
        <f>IF(ISBLANK('kabeli i uvodnice'!G30),"",
IF('kabeli i uvodnice'!G30&lt;'rittal uvodnice'!$C$2,"PREMALEN",
IF('kabeli i uvodnice'!G30&lt;'rittal uvodnice'!$D$2,'rittal uvodnice'!$A$2,
IF('kabeli i uvodnice'!G30&lt;'rittal uvodnice'!$D$3,'rittal uvodnice'!$A$3,
IF('kabeli i uvodnice'!G30&lt;'rittal uvodnice'!$D$4,'rittal uvodnice'!$A$4,
IF('kabeli i uvodnice'!G30&lt;'rittal uvodnice'!$D$5,'rittal uvodnice'!$A$5,
IF('kabeli i uvodnice'!G30&lt;'rittal uvodnice'!$D$6,'rittal uvodnice'!$A$6,
IF('kabeli i uvodnice'!G30&lt;'rittal uvodnice'!$D$7,'rittal uvodnice'!$A$7,
IF('kabeli i uvodnice'!G30&lt;'rittal uvodnice'!$D$8,'rittal uvodnice'!$A$8,
IF('kabeli i uvodnice'!G30&lt;'rittal uvodnice'!$D$9,'rittal uvodnice'!$A$9,
"PREVELIK"))))))))))</f>
        <v>2411831</v>
      </c>
      <c r="J30" s="13" t="str">
        <f>IF(ISBLANK('kabeli i uvodnice'!G30),"",
IF('kabeli i uvodnice'!G30&lt;'rittal uvodnice'!$C$2,"PREMALEN",
IF('kabeli i uvodnice'!G30&lt;'rittal uvodnice'!$D$2,'rittal uvodnice'!$B$2,
IF('kabeli i uvodnice'!G30&lt;'rittal uvodnice'!$D$3,'rittal uvodnice'!$B$3,
IF('kabeli i uvodnice'!G30&lt;'rittal uvodnice'!$D$4,'rittal uvodnice'!$B$4,
IF('kabeli i uvodnice'!G30&lt;'rittal uvodnice'!$D$5,'rittal uvodnice'!$B$5,
IF('kabeli i uvodnice'!G30&lt;'rittal uvodnice'!$D$6,'rittal uvodnice'!$B$6,
IF('kabeli i uvodnice'!G30&lt;'rittal uvodnice'!$D$7,'rittal uvodnice'!$B$7,
IF('kabeli i uvodnice'!G30&lt;'rittal uvodnice'!$D$8,'rittal uvodnice'!$B$8,
IF('kabeli i uvodnice'!G30&lt;'rittal uvodnice'!$D$9,'rittal uvodnice'!$B$9,
"PREVELIK"))))))))))</f>
        <v>M25 x 1.5</v>
      </c>
      <c r="L30" s="6"/>
    </row>
    <row r="31" spans="1:12" x14ac:dyDescent="0.25">
      <c r="A31" s="22" t="s">
        <v>74</v>
      </c>
      <c r="B31" s="26" t="s">
        <v>180</v>
      </c>
      <c r="C31" s="26" t="s">
        <v>172</v>
      </c>
      <c r="D31" s="30"/>
      <c r="E31" s="2" t="s">
        <v>5</v>
      </c>
      <c r="F31" s="2" t="s">
        <v>38</v>
      </c>
      <c r="G31" s="28">
        <v>12</v>
      </c>
      <c r="H31" s="20"/>
      <c r="I31" s="2">
        <f>IF(ISBLANK('kabeli i uvodnice'!G31),"",
IF('kabeli i uvodnice'!G31&lt;'rittal uvodnice'!$C$2,"PREMALEN",
IF('kabeli i uvodnice'!G31&lt;'rittal uvodnice'!$D$2,'rittal uvodnice'!$A$2,
IF('kabeli i uvodnice'!G31&lt;'rittal uvodnice'!$D$3,'rittal uvodnice'!$A$3,
IF('kabeli i uvodnice'!G31&lt;'rittal uvodnice'!$D$4,'rittal uvodnice'!$A$4,
IF('kabeli i uvodnice'!G31&lt;'rittal uvodnice'!$D$5,'rittal uvodnice'!$A$5,
IF('kabeli i uvodnice'!G31&lt;'rittal uvodnice'!$D$6,'rittal uvodnice'!$A$6,
IF('kabeli i uvodnice'!G31&lt;'rittal uvodnice'!$D$7,'rittal uvodnice'!$A$7,
IF('kabeli i uvodnice'!G31&lt;'rittal uvodnice'!$D$8,'rittal uvodnice'!$A$8,
IF('kabeli i uvodnice'!G31&lt;'rittal uvodnice'!$D$9,'rittal uvodnice'!$A$9,
"PREVELIK"))))))))))</f>
        <v>2411831</v>
      </c>
      <c r="J31" s="13" t="str">
        <f>IF(ISBLANK('kabeli i uvodnice'!G31),"",
IF('kabeli i uvodnice'!G31&lt;'rittal uvodnice'!$C$2,"PREMALEN",
IF('kabeli i uvodnice'!G31&lt;'rittal uvodnice'!$D$2,'rittal uvodnice'!$B$2,
IF('kabeli i uvodnice'!G31&lt;'rittal uvodnice'!$D$3,'rittal uvodnice'!$B$3,
IF('kabeli i uvodnice'!G31&lt;'rittal uvodnice'!$D$4,'rittal uvodnice'!$B$4,
IF('kabeli i uvodnice'!G31&lt;'rittal uvodnice'!$D$5,'rittal uvodnice'!$B$5,
IF('kabeli i uvodnice'!G31&lt;'rittal uvodnice'!$D$6,'rittal uvodnice'!$B$6,
IF('kabeli i uvodnice'!G31&lt;'rittal uvodnice'!$D$7,'rittal uvodnice'!$B$7,
IF('kabeli i uvodnice'!G31&lt;'rittal uvodnice'!$D$8,'rittal uvodnice'!$B$8,
IF('kabeli i uvodnice'!G31&lt;'rittal uvodnice'!$D$9,'rittal uvodnice'!$B$9,
"PREVELIK"))))))))))</f>
        <v>M25 x 1.5</v>
      </c>
      <c r="L31" s="6"/>
    </row>
    <row r="32" spans="1:12" x14ac:dyDescent="0.25">
      <c r="A32" s="22" t="s">
        <v>75</v>
      </c>
      <c r="B32" s="26" t="s">
        <v>181</v>
      </c>
      <c r="C32" s="26" t="s">
        <v>146</v>
      </c>
      <c r="D32" s="30"/>
      <c r="E32" s="2" t="s">
        <v>6</v>
      </c>
      <c r="F32" s="2" t="s">
        <v>33</v>
      </c>
      <c r="G32" s="28">
        <v>7.5</v>
      </c>
      <c r="H32" s="20"/>
      <c r="I32" s="2">
        <f>IF(ISBLANK('kabeli i uvodnice'!G32),"",
IF('kabeli i uvodnice'!G32&lt;'rittal uvodnice'!$C$2,"PREMALEN",
IF('kabeli i uvodnice'!G32&lt;'rittal uvodnice'!$D$2,'rittal uvodnice'!$A$2,
IF('kabeli i uvodnice'!G32&lt;'rittal uvodnice'!$D$3,'rittal uvodnice'!$A$3,
IF('kabeli i uvodnice'!G32&lt;'rittal uvodnice'!$D$4,'rittal uvodnice'!$A$4,
IF('kabeli i uvodnice'!G32&lt;'rittal uvodnice'!$D$5,'rittal uvodnice'!$A$5,
IF('kabeli i uvodnice'!G32&lt;'rittal uvodnice'!$D$6,'rittal uvodnice'!$A$6,
IF('kabeli i uvodnice'!G32&lt;'rittal uvodnice'!$D$7,'rittal uvodnice'!$A$7,
IF('kabeli i uvodnice'!G32&lt;'rittal uvodnice'!$D$8,'rittal uvodnice'!$A$8,
IF('kabeli i uvodnice'!G32&lt;'rittal uvodnice'!$D$9,'rittal uvodnice'!$A$9,
"PREVELIK"))))))))))</f>
        <v>2411811</v>
      </c>
      <c r="J32" s="13" t="str">
        <f>IF(ISBLANK('kabeli i uvodnice'!G32),"",
IF('kabeli i uvodnice'!G32&lt;'rittal uvodnice'!$C$2,"PREMALEN",
IF('kabeli i uvodnice'!G32&lt;'rittal uvodnice'!$D$2,'rittal uvodnice'!$B$2,
IF('kabeli i uvodnice'!G32&lt;'rittal uvodnice'!$D$3,'rittal uvodnice'!$B$3,
IF('kabeli i uvodnice'!G32&lt;'rittal uvodnice'!$D$4,'rittal uvodnice'!$B$4,
IF('kabeli i uvodnice'!G32&lt;'rittal uvodnice'!$D$5,'rittal uvodnice'!$B$5,
IF('kabeli i uvodnice'!G32&lt;'rittal uvodnice'!$D$6,'rittal uvodnice'!$B$6,
IF('kabeli i uvodnice'!G32&lt;'rittal uvodnice'!$D$7,'rittal uvodnice'!$B$7,
IF('kabeli i uvodnice'!G32&lt;'rittal uvodnice'!$D$8,'rittal uvodnice'!$B$8,
IF('kabeli i uvodnice'!G32&lt;'rittal uvodnice'!$D$9,'rittal uvodnice'!$B$9,
"PREVELIK"))))))))))</f>
        <v>M16 x 1.5</v>
      </c>
      <c r="L32" s="6"/>
    </row>
    <row r="33" spans="1:13" x14ac:dyDescent="0.25">
      <c r="A33" s="22" t="s">
        <v>76</v>
      </c>
      <c r="B33" s="26" t="s">
        <v>181</v>
      </c>
      <c r="C33" s="26" t="s">
        <v>146</v>
      </c>
      <c r="D33" s="30"/>
      <c r="E33" s="2" t="s">
        <v>6</v>
      </c>
      <c r="F33" s="2" t="s">
        <v>33</v>
      </c>
      <c r="G33" s="28">
        <v>7.5</v>
      </c>
      <c r="H33" s="20"/>
      <c r="I33" s="2">
        <f>IF(ISBLANK('kabeli i uvodnice'!G33),"",
IF('kabeli i uvodnice'!G33&lt;'rittal uvodnice'!$C$2,"PREMALEN",
IF('kabeli i uvodnice'!G33&lt;'rittal uvodnice'!$D$2,'rittal uvodnice'!$A$2,
IF('kabeli i uvodnice'!G33&lt;'rittal uvodnice'!$D$3,'rittal uvodnice'!$A$3,
IF('kabeli i uvodnice'!G33&lt;'rittal uvodnice'!$D$4,'rittal uvodnice'!$A$4,
IF('kabeli i uvodnice'!G33&lt;'rittal uvodnice'!$D$5,'rittal uvodnice'!$A$5,
IF('kabeli i uvodnice'!G33&lt;'rittal uvodnice'!$D$6,'rittal uvodnice'!$A$6,
IF('kabeli i uvodnice'!G33&lt;'rittal uvodnice'!$D$7,'rittal uvodnice'!$A$7,
IF('kabeli i uvodnice'!G33&lt;'rittal uvodnice'!$D$8,'rittal uvodnice'!$A$8,
IF('kabeli i uvodnice'!G33&lt;'rittal uvodnice'!$D$9,'rittal uvodnice'!$A$9,
"PREVELIK"))))))))))</f>
        <v>2411811</v>
      </c>
      <c r="J33" s="13" t="str">
        <f>IF(ISBLANK('kabeli i uvodnice'!G33),"",
IF('kabeli i uvodnice'!G33&lt;'rittal uvodnice'!$C$2,"PREMALEN",
IF('kabeli i uvodnice'!G33&lt;'rittal uvodnice'!$D$2,'rittal uvodnice'!$B$2,
IF('kabeli i uvodnice'!G33&lt;'rittal uvodnice'!$D$3,'rittal uvodnice'!$B$3,
IF('kabeli i uvodnice'!G33&lt;'rittal uvodnice'!$D$4,'rittal uvodnice'!$B$4,
IF('kabeli i uvodnice'!G33&lt;'rittal uvodnice'!$D$5,'rittal uvodnice'!$B$5,
IF('kabeli i uvodnice'!G33&lt;'rittal uvodnice'!$D$6,'rittal uvodnice'!$B$6,
IF('kabeli i uvodnice'!G33&lt;'rittal uvodnice'!$D$7,'rittal uvodnice'!$B$7,
IF('kabeli i uvodnice'!G33&lt;'rittal uvodnice'!$D$8,'rittal uvodnice'!$B$8,
IF('kabeli i uvodnice'!G33&lt;'rittal uvodnice'!$D$9,'rittal uvodnice'!$B$9,
"PREVELIK"))))))))))</f>
        <v>M16 x 1.5</v>
      </c>
      <c r="L33" s="6"/>
    </row>
    <row r="34" spans="1:13" x14ac:dyDescent="0.25">
      <c r="A34" s="22" t="s">
        <v>77</v>
      </c>
      <c r="B34" s="26" t="s">
        <v>181</v>
      </c>
      <c r="C34" s="26" t="s">
        <v>146</v>
      </c>
      <c r="D34" s="30"/>
      <c r="E34" s="2" t="s">
        <v>6</v>
      </c>
      <c r="F34" s="2" t="s">
        <v>33</v>
      </c>
      <c r="G34" s="28">
        <v>7.5</v>
      </c>
      <c r="H34" s="20"/>
      <c r="I34" s="2">
        <f>IF(ISBLANK('kabeli i uvodnice'!G34),"",
IF('kabeli i uvodnice'!G34&lt;'rittal uvodnice'!$C$2,"PREMALEN",
IF('kabeli i uvodnice'!G34&lt;'rittal uvodnice'!$D$2,'rittal uvodnice'!$A$2,
IF('kabeli i uvodnice'!G34&lt;'rittal uvodnice'!$D$3,'rittal uvodnice'!$A$3,
IF('kabeli i uvodnice'!G34&lt;'rittal uvodnice'!$D$4,'rittal uvodnice'!$A$4,
IF('kabeli i uvodnice'!G34&lt;'rittal uvodnice'!$D$5,'rittal uvodnice'!$A$5,
IF('kabeli i uvodnice'!G34&lt;'rittal uvodnice'!$D$6,'rittal uvodnice'!$A$6,
IF('kabeli i uvodnice'!G34&lt;'rittal uvodnice'!$D$7,'rittal uvodnice'!$A$7,
IF('kabeli i uvodnice'!G34&lt;'rittal uvodnice'!$D$8,'rittal uvodnice'!$A$8,
IF('kabeli i uvodnice'!G34&lt;'rittal uvodnice'!$D$9,'rittal uvodnice'!$A$9,
"PREVELIK"))))))))))</f>
        <v>2411811</v>
      </c>
      <c r="J34" s="13" t="str">
        <f>IF(ISBLANK('kabeli i uvodnice'!G34),"",
IF('kabeli i uvodnice'!G34&lt;'rittal uvodnice'!$C$2,"PREMALEN",
IF('kabeli i uvodnice'!G34&lt;'rittal uvodnice'!$D$2,'rittal uvodnice'!$B$2,
IF('kabeli i uvodnice'!G34&lt;'rittal uvodnice'!$D$3,'rittal uvodnice'!$B$3,
IF('kabeli i uvodnice'!G34&lt;'rittal uvodnice'!$D$4,'rittal uvodnice'!$B$4,
IF('kabeli i uvodnice'!G34&lt;'rittal uvodnice'!$D$5,'rittal uvodnice'!$B$5,
IF('kabeli i uvodnice'!G34&lt;'rittal uvodnice'!$D$6,'rittal uvodnice'!$B$6,
IF('kabeli i uvodnice'!G34&lt;'rittal uvodnice'!$D$7,'rittal uvodnice'!$B$7,
IF('kabeli i uvodnice'!G34&lt;'rittal uvodnice'!$D$8,'rittal uvodnice'!$B$8,
IF('kabeli i uvodnice'!G34&lt;'rittal uvodnice'!$D$9,'rittal uvodnice'!$B$9,
"PREVELIK"))))))))))</f>
        <v>M16 x 1.5</v>
      </c>
      <c r="L34" s="6"/>
    </row>
    <row r="35" spans="1:13" x14ac:dyDescent="0.25">
      <c r="A35" s="22" t="s">
        <v>78</v>
      </c>
      <c r="B35" s="26" t="s">
        <v>181</v>
      </c>
      <c r="C35" s="26" t="s">
        <v>146</v>
      </c>
      <c r="D35" s="30"/>
      <c r="E35" s="2" t="s">
        <v>6</v>
      </c>
      <c r="F35" s="2" t="s">
        <v>33</v>
      </c>
      <c r="G35" s="28">
        <v>7.5</v>
      </c>
      <c r="H35" s="20"/>
      <c r="I35" s="2">
        <f>IF(ISBLANK('kabeli i uvodnice'!G35),"",
IF('kabeli i uvodnice'!G35&lt;'rittal uvodnice'!$C$2,"PREMALEN",
IF('kabeli i uvodnice'!G35&lt;'rittal uvodnice'!$D$2,'rittal uvodnice'!$A$2,
IF('kabeli i uvodnice'!G35&lt;'rittal uvodnice'!$D$3,'rittal uvodnice'!$A$3,
IF('kabeli i uvodnice'!G35&lt;'rittal uvodnice'!$D$4,'rittal uvodnice'!$A$4,
IF('kabeli i uvodnice'!G35&lt;'rittal uvodnice'!$D$5,'rittal uvodnice'!$A$5,
IF('kabeli i uvodnice'!G35&lt;'rittal uvodnice'!$D$6,'rittal uvodnice'!$A$6,
IF('kabeli i uvodnice'!G35&lt;'rittal uvodnice'!$D$7,'rittal uvodnice'!$A$7,
IF('kabeli i uvodnice'!G35&lt;'rittal uvodnice'!$D$8,'rittal uvodnice'!$A$8,
IF('kabeli i uvodnice'!G35&lt;'rittal uvodnice'!$D$9,'rittal uvodnice'!$A$9,
"PREVELIK"))))))))))</f>
        <v>2411811</v>
      </c>
      <c r="J35" s="13" t="str">
        <f>IF(ISBLANK('kabeli i uvodnice'!G35),"",
IF('kabeli i uvodnice'!G35&lt;'rittal uvodnice'!$C$2,"PREMALEN",
IF('kabeli i uvodnice'!G35&lt;'rittal uvodnice'!$D$2,'rittal uvodnice'!$B$2,
IF('kabeli i uvodnice'!G35&lt;'rittal uvodnice'!$D$3,'rittal uvodnice'!$B$3,
IF('kabeli i uvodnice'!G35&lt;'rittal uvodnice'!$D$4,'rittal uvodnice'!$B$4,
IF('kabeli i uvodnice'!G35&lt;'rittal uvodnice'!$D$5,'rittal uvodnice'!$B$5,
IF('kabeli i uvodnice'!G35&lt;'rittal uvodnice'!$D$6,'rittal uvodnice'!$B$6,
IF('kabeli i uvodnice'!G35&lt;'rittal uvodnice'!$D$7,'rittal uvodnice'!$B$7,
IF('kabeli i uvodnice'!G35&lt;'rittal uvodnice'!$D$8,'rittal uvodnice'!$B$8,
IF('kabeli i uvodnice'!G35&lt;'rittal uvodnice'!$D$9,'rittal uvodnice'!$B$9,
"PREVELIK"))))))))))</f>
        <v>M16 x 1.5</v>
      </c>
      <c r="L35" s="6"/>
    </row>
    <row r="36" spans="1:13" x14ac:dyDescent="0.25">
      <c r="A36" s="22" t="s">
        <v>79</v>
      </c>
      <c r="B36" s="26" t="s">
        <v>182</v>
      </c>
      <c r="C36" s="26" t="s">
        <v>183</v>
      </c>
      <c r="D36" s="30"/>
      <c r="E36" s="2" t="s">
        <v>7</v>
      </c>
      <c r="F36" s="2" t="s">
        <v>33</v>
      </c>
      <c r="G36" s="28">
        <v>7.5</v>
      </c>
      <c r="H36" s="20"/>
      <c r="I36" s="2">
        <f>IF(ISBLANK('kabeli i uvodnice'!G36),"",
IF('kabeli i uvodnice'!G36&lt;'rittal uvodnice'!$C$2,"PREMALEN",
IF('kabeli i uvodnice'!G36&lt;'rittal uvodnice'!$D$2,'rittal uvodnice'!$A$2,
IF('kabeli i uvodnice'!G36&lt;'rittal uvodnice'!$D$3,'rittal uvodnice'!$A$3,
IF('kabeli i uvodnice'!G36&lt;'rittal uvodnice'!$D$4,'rittal uvodnice'!$A$4,
IF('kabeli i uvodnice'!G36&lt;'rittal uvodnice'!$D$5,'rittal uvodnice'!$A$5,
IF('kabeli i uvodnice'!G36&lt;'rittal uvodnice'!$D$6,'rittal uvodnice'!$A$6,
IF('kabeli i uvodnice'!G36&lt;'rittal uvodnice'!$D$7,'rittal uvodnice'!$A$7,
IF('kabeli i uvodnice'!G36&lt;'rittal uvodnice'!$D$8,'rittal uvodnice'!$A$8,
IF('kabeli i uvodnice'!G36&lt;'rittal uvodnice'!$D$9,'rittal uvodnice'!$A$9,
"PREVELIK"))))))))))</f>
        <v>2411811</v>
      </c>
      <c r="J36" s="13" t="str">
        <f>IF(ISBLANK('kabeli i uvodnice'!G36),"",
IF('kabeli i uvodnice'!G36&lt;'rittal uvodnice'!$C$2,"PREMALEN",
IF('kabeli i uvodnice'!G36&lt;'rittal uvodnice'!$D$2,'rittal uvodnice'!$B$2,
IF('kabeli i uvodnice'!G36&lt;'rittal uvodnice'!$D$3,'rittal uvodnice'!$B$3,
IF('kabeli i uvodnice'!G36&lt;'rittal uvodnice'!$D$4,'rittal uvodnice'!$B$4,
IF('kabeli i uvodnice'!G36&lt;'rittal uvodnice'!$D$5,'rittal uvodnice'!$B$5,
IF('kabeli i uvodnice'!G36&lt;'rittal uvodnice'!$D$6,'rittal uvodnice'!$B$6,
IF('kabeli i uvodnice'!G36&lt;'rittal uvodnice'!$D$7,'rittal uvodnice'!$B$7,
IF('kabeli i uvodnice'!G36&lt;'rittal uvodnice'!$D$8,'rittal uvodnice'!$B$8,
IF('kabeli i uvodnice'!G36&lt;'rittal uvodnice'!$D$9,'rittal uvodnice'!$B$9,
"PREVELIK"))))))))))</f>
        <v>M16 x 1.5</v>
      </c>
      <c r="L36" s="6"/>
    </row>
    <row r="37" spans="1:13" x14ac:dyDescent="0.25">
      <c r="A37" s="22" t="s">
        <v>80</v>
      </c>
      <c r="B37" s="26" t="s">
        <v>182</v>
      </c>
      <c r="C37" s="26" t="s">
        <v>184</v>
      </c>
      <c r="D37" s="30"/>
      <c r="E37" s="2" t="s">
        <v>7</v>
      </c>
      <c r="F37" s="2" t="s">
        <v>33</v>
      </c>
      <c r="G37" s="28">
        <v>7.5</v>
      </c>
      <c r="H37" s="20"/>
      <c r="I37" s="2">
        <f>IF(ISBLANK('kabeli i uvodnice'!G37),"",
IF('kabeli i uvodnice'!G37&lt;'rittal uvodnice'!$C$2,"PREMALEN",
IF('kabeli i uvodnice'!G37&lt;'rittal uvodnice'!$D$2,'rittal uvodnice'!$A$2,
IF('kabeli i uvodnice'!G37&lt;'rittal uvodnice'!$D$3,'rittal uvodnice'!$A$3,
IF('kabeli i uvodnice'!G37&lt;'rittal uvodnice'!$D$4,'rittal uvodnice'!$A$4,
IF('kabeli i uvodnice'!G37&lt;'rittal uvodnice'!$D$5,'rittal uvodnice'!$A$5,
IF('kabeli i uvodnice'!G37&lt;'rittal uvodnice'!$D$6,'rittal uvodnice'!$A$6,
IF('kabeli i uvodnice'!G37&lt;'rittal uvodnice'!$D$7,'rittal uvodnice'!$A$7,
IF('kabeli i uvodnice'!G37&lt;'rittal uvodnice'!$D$8,'rittal uvodnice'!$A$8,
IF('kabeli i uvodnice'!G37&lt;'rittal uvodnice'!$D$9,'rittal uvodnice'!$A$9,
"PREVELIK"))))))))))</f>
        <v>2411811</v>
      </c>
      <c r="J37" s="13" t="str">
        <f>IF(ISBLANK('kabeli i uvodnice'!G37),"",
IF('kabeli i uvodnice'!G37&lt;'rittal uvodnice'!$C$2,"PREMALEN",
IF('kabeli i uvodnice'!G37&lt;'rittal uvodnice'!$D$2,'rittal uvodnice'!$B$2,
IF('kabeli i uvodnice'!G37&lt;'rittal uvodnice'!$D$3,'rittal uvodnice'!$B$3,
IF('kabeli i uvodnice'!G37&lt;'rittal uvodnice'!$D$4,'rittal uvodnice'!$B$4,
IF('kabeli i uvodnice'!G37&lt;'rittal uvodnice'!$D$5,'rittal uvodnice'!$B$5,
IF('kabeli i uvodnice'!G37&lt;'rittal uvodnice'!$D$6,'rittal uvodnice'!$B$6,
IF('kabeli i uvodnice'!G37&lt;'rittal uvodnice'!$D$7,'rittal uvodnice'!$B$7,
IF('kabeli i uvodnice'!G37&lt;'rittal uvodnice'!$D$8,'rittal uvodnice'!$B$8,
IF('kabeli i uvodnice'!G37&lt;'rittal uvodnice'!$D$9,'rittal uvodnice'!$B$9,
"PREVELIK"))))))))))</f>
        <v>M16 x 1.5</v>
      </c>
      <c r="L37" s="6"/>
    </row>
    <row r="38" spans="1:13" x14ac:dyDescent="0.25">
      <c r="A38" s="22" t="s">
        <v>81</v>
      </c>
      <c r="B38" s="26" t="s">
        <v>182</v>
      </c>
      <c r="C38" s="26" t="s">
        <v>183</v>
      </c>
      <c r="D38" s="30"/>
      <c r="E38" s="2" t="s">
        <v>7</v>
      </c>
      <c r="F38" s="2" t="s">
        <v>33</v>
      </c>
      <c r="G38" s="28">
        <v>7.5</v>
      </c>
      <c r="H38" s="20"/>
      <c r="I38" s="2">
        <f>IF(ISBLANK('kabeli i uvodnice'!G38),"",
IF('kabeli i uvodnice'!G38&lt;'rittal uvodnice'!$C$2,"PREMALEN",
IF('kabeli i uvodnice'!G38&lt;'rittal uvodnice'!$D$2,'rittal uvodnice'!$A$2,
IF('kabeli i uvodnice'!G38&lt;'rittal uvodnice'!$D$3,'rittal uvodnice'!$A$3,
IF('kabeli i uvodnice'!G38&lt;'rittal uvodnice'!$D$4,'rittal uvodnice'!$A$4,
IF('kabeli i uvodnice'!G38&lt;'rittal uvodnice'!$D$5,'rittal uvodnice'!$A$5,
IF('kabeli i uvodnice'!G38&lt;'rittal uvodnice'!$D$6,'rittal uvodnice'!$A$6,
IF('kabeli i uvodnice'!G38&lt;'rittal uvodnice'!$D$7,'rittal uvodnice'!$A$7,
IF('kabeli i uvodnice'!G38&lt;'rittal uvodnice'!$D$8,'rittal uvodnice'!$A$8,
IF('kabeli i uvodnice'!G38&lt;'rittal uvodnice'!$D$9,'rittal uvodnice'!$A$9,
"PREVELIK"))))))))))</f>
        <v>2411811</v>
      </c>
      <c r="J38" s="13" t="str">
        <f>IF(ISBLANK('kabeli i uvodnice'!G38),"",
IF('kabeli i uvodnice'!G38&lt;'rittal uvodnice'!$C$2,"PREMALEN",
IF('kabeli i uvodnice'!G38&lt;'rittal uvodnice'!$D$2,'rittal uvodnice'!$B$2,
IF('kabeli i uvodnice'!G38&lt;'rittal uvodnice'!$D$3,'rittal uvodnice'!$B$3,
IF('kabeli i uvodnice'!G38&lt;'rittal uvodnice'!$D$4,'rittal uvodnice'!$B$4,
IF('kabeli i uvodnice'!G38&lt;'rittal uvodnice'!$D$5,'rittal uvodnice'!$B$5,
IF('kabeli i uvodnice'!G38&lt;'rittal uvodnice'!$D$6,'rittal uvodnice'!$B$6,
IF('kabeli i uvodnice'!G38&lt;'rittal uvodnice'!$D$7,'rittal uvodnice'!$B$7,
IF('kabeli i uvodnice'!G38&lt;'rittal uvodnice'!$D$8,'rittal uvodnice'!$B$8,
IF('kabeli i uvodnice'!G38&lt;'rittal uvodnice'!$D$9,'rittal uvodnice'!$B$9,
"PREVELIK"))))))))))</f>
        <v>M16 x 1.5</v>
      </c>
      <c r="L38" s="6"/>
    </row>
    <row r="39" spans="1:13" x14ac:dyDescent="0.25">
      <c r="A39" s="22" t="s">
        <v>82</v>
      </c>
      <c r="B39" s="26" t="s">
        <v>182</v>
      </c>
      <c r="C39" s="26" t="s">
        <v>184</v>
      </c>
      <c r="D39" s="30"/>
      <c r="E39" s="2" t="s">
        <v>7</v>
      </c>
      <c r="F39" s="2" t="s">
        <v>33</v>
      </c>
      <c r="G39" s="28">
        <v>7.5</v>
      </c>
      <c r="H39" s="20"/>
      <c r="I39" s="2">
        <f>IF(ISBLANK('kabeli i uvodnice'!G39),"",
IF('kabeli i uvodnice'!G39&lt;'rittal uvodnice'!$C$2,"PREMALEN",
IF('kabeli i uvodnice'!G39&lt;'rittal uvodnice'!$D$2,'rittal uvodnice'!$A$2,
IF('kabeli i uvodnice'!G39&lt;'rittal uvodnice'!$D$3,'rittal uvodnice'!$A$3,
IF('kabeli i uvodnice'!G39&lt;'rittal uvodnice'!$D$4,'rittal uvodnice'!$A$4,
IF('kabeli i uvodnice'!G39&lt;'rittal uvodnice'!$D$5,'rittal uvodnice'!$A$5,
IF('kabeli i uvodnice'!G39&lt;'rittal uvodnice'!$D$6,'rittal uvodnice'!$A$6,
IF('kabeli i uvodnice'!G39&lt;'rittal uvodnice'!$D$7,'rittal uvodnice'!$A$7,
IF('kabeli i uvodnice'!G39&lt;'rittal uvodnice'!$D$8,'rittal uvodnice'!$A$8,
IF('kabeli i uvodnice'!G39&lt;'rittal uvodnice'!$D$9,'rittal uvodnice'!$A$9,
"PREVELIK"))))))))))</f>
        <v>2411811</v>
      </c>
      <c r="J39" s="13" t="str">
        <f>IF(ISBLANK('kabeli i uvodnice'!G39),"",
IF('kabeli i uvodnice'!G39&lt;'rittal uvodnice'!$C$2,"PREMALEN",
IF('kabeli i uvodnice'!G39&lt;'rittal uvodnice'!$D$2,'rittal uvodnice'!$B$2,
IF('kabeli i uvodnice'!G39&lt;'rittal uvodnice'!$D$3,'rittal uvodnice'!$B$3,
IF('kabeli i uvodnice'!G39&lt;'rittal uvodnice'!$D$4,'rittal uvodnice'!$B$4,
IF('kabeli i uvodnice'!G39&lt;'rittal uvodnice'!$D$5,'rittal uvodnice'!$B$5,
IF('kabeli i uvodnice'!G39&lt;'rittal uvodnice'!$D$6,'rittal uvodnice'!$B$6,
IF('kabeli i uvodnice'!G39&lt;'rittal uvodnice'!$D$7,'rittal uvodnice'!$B$7,
IF('kabeli i uvodnice'!G39&lt;'rittal uvodnice'!$D$8,'rittal uvodnice'!$B$8,
IF('kabeli i uvodnice'!G39&lt;'rittal uvodnice'!$D$9,'rittal uvodnice'!$B$9,
"PREVELIK"))))))))))</f>
        <v>M16 x 1.5</v>
      </c>
      <c r="L39" s="6"/>
    </row>
    <row r="40" spans="1:13" x14ac:dyDescent="0.25">
      <c r="A40" s="22" t="s">
        <v>83</v>
      </c>
      <c r="B40" s="26" t="s">
        <v>185</v>
      </c>
      <c r="C40" s="26" t="s">
        <v>185</v>
      </c>
      <c r="D40" s="30"/>
      <c r="E40" s="2" t="s">
        <v>8</v>
      </c>
      <c r="F40" s="2" t="s">
        <v>39</v>
      </c>
      <c r="G40" s="28">
        <v>15</v>
      </c>
      <c r="H40" s="20"/>
      <c r="I40" s="2">
        <f>IF(ISBLANK('kabeli i uvodnice'!G40),"",
IF('kabeli i uvodnice'!G40&lt;'rittal uvodnice'!$C$2,"PREMALEN",
IF('kabeli i uvodnice'!G40&lt;'rittal uvodnice'!$D$2,'rittal uvodnice'!$A$2,
IF('kabeli i uvodnice'!G40&lt;'rittal uvodnice'!$D$3,'rittal uvodnice'!$A$3,
IF('kabeli i uvodnice'!G40&lt;'rittal uvodnice'!$D$4,'rittal uvodnice'!$A$4,
IF('kabeli i uvodnice'!G40&lt;'rittal uvodnice'!$D$5,'rittal uvodnice'!$A$5,
IF('kabeli i uvodnice'!G40&lt;'rittal uvodnice'!$D$6,'rittal uvodnice'!$A$6,
IF('kabeli i uvodnice'!G40&lt;'rittal uvodnice'!$D$7,'rittal uvodnice'!$A$7,
IF('kabeli i uvodnice'!G40&lt;'rittal uvodnice'!$D$8,'rittal uvodnice'!$A$8,
IF('kabeli i uvodnice'!G40&lt;'rittal uvodnice'!$D$9,'rittal uvodnice'!$A$9,
"PREVELIK"))))))))))</f>
        <v>2411831</v>
      </c>
      <c r="J40" s="13" t="str">
        <f>IF(ISBLANK('kabeli i uvodnice'!G40),"",
IF('kabeli i uvodnice'!G40&lt;'rittal uvodnice'!$C$2,"PREMALEN",
IF('kabeli i uvodnice'!G40&lt;'rittal uvodnice'!$D$2,'rittal uvodnice'!$B$2,
IF('kabeli i uvodnice'!G40&lt;'rittal uvodnice'!$D$3,'rittal uvodnice'!$B$3,
IF('kabeli i uvodnice'!G40&lt;'rittal uvodnice'!$D$4,'rittal uvodnice'!$B$4,
IF('kabeli i uvodnice'!G40&lt;'rittal uvodnice'!$D$5,'rittal uvodnice'!$B$5,
IF('kabeli i uvodnice'!G40&lt;'rittal uvodnice'!$D$6,'rittal uvodnice'!$B$6,
IF('kabeli i uvodnice'!G40&lt;'rittal uvodnice'!$D$7,'rittal uvodnice'!$B$7,
IF('kabeli i uvodnice'!G40&lt;'rittal uvodnice'!$D$8,'rittal uvodnice'!$B$8,
IF('kabeli i uvodnice'!G40&lt;'rittal uvodnice'!$D$9,'rittal uvodnice'!$B$9,
"PREVELIK"))))))))))</f>
        <v>M25 x 1.5</v>
      </c>
      <c r="L40" s="6"/>
      <c r="M40" s="12"/>
    </row>
    <row r="41" spans="1:13" x14ac:dyDescent="0.25">
      <c r="A41" s="22" t="s">
        <v>84</v>
      </c>
      <c r="B41" s="26" t="s">
        <v>186</v>
      </c>
      <c r="C41" s="26" t="s">
        <v>187</v>
      </c>
      <c r="D41" s="30"/>
      <c r="E41" s="2" t="s">
        <v>5</v>
      </c>
      <c r="F41" s="2" t="s">
        <v>40</v>
      </c>
      <c r="G41" s="28">
        <v>16</v>
      </c>
      <c r="H41" s="20"/>
      <c r="I41" s="2">
        <f>IF(ISBLANK('kabeli i uvodnice'!G41),"",
IF('kabeli i uvodnice'!G41&lt;'rittal uvodnice'!$C$2,"PREMALEN",
IF('kabeli i uvodnice'!G41&lt;'rittal uvodnice'!$D$2,'rittal uvodnice'!$A$2,
IF('kabeli i uvodnice'!G41&lt;'rittal uvodnice'!$D$3,'rittal uvodnice'!$A$3,
IF('kabeli i uvodnice'!G41&lt;'rittal uvodnice'!$D$4,'rittal uvodnice'!$A$4,
IF('kabeli i uvodnice'!G41&lt;'rittal uvodnice'!$D$5,'rittal uvodnice'!$A$5,
IF('kabeli i uvodnice'!G41&lt;'rittal uvodnice'!$D$6,'rittal uvodnice'!$A$6,
IF('kabeli i uvodnice'!G41&lt;'rittal uvodnice'!$D$7,'rittal uvodnice'!$A$7,
IF('kabeli i uvodnice'!G41&lt;'rittal uvodnice'!$D$8,'rittal uvodnice'!$A$8,
IF('kabeli i uvodnice'!G41&lt;'rittal uvodnice'!$D$9,'rittal uvodnice'!$A$9,
"PREVELIK"))))))))))</f>
        <v>2411831</v>
      </c>
      <c r="J41" s="13" t="str">
        <f>IF(ISBLANK('kabeli i uvodnice'!G41),"",
IF('kabeli i uvodnice'!G41&lt;'rittal uvodnice'!$C$2,"PREMALEN",
IF('kabeli i uvodnice'!G41&lt;'rittal uvodnice'!$D$2,'rittal uvodnice'!$B$2,
IF('kabeli i uvodnice'!G41&lt;'rittal uvodnice'!$D$3,'rittal uvodnice'!$B$3,
IF('kabeli i uvodnice'!G41&lt;'rittal uvodnice'!$D$4,'rittal uvodnice'!$B$4,
IF('kabeli i uvodnice'!G41&lt;'rittal uvodnice'!$D$5,'rittal uvodnice'!$B$5,
IF('kabeli i uvodnice'!G41&lt;'rittal uvodnice'!$D$6,'rittal uvodnice'!$B$6,
IF('kabeli i uvodnice'!G41&lt;'rittal uvodnice'!$D$7,'rittal uvodnice'!$B$7,
IF('kabeli i uvodnice'!G41&lt;'rittal uvodnice'!$D$8,'rittal uvodnice'!$B$8,
IF('kabeli i uvodnice'!G41&lt;'rittal uvodnice'!$D$9,'rittal uvodnice'!$B$9,
"PREVELIK"))))))))))</f>
        <v>M25 x 1.5</v>
      </c>
      <c r="L41" s="6"/>
    </row>
    <row r="42" spans="1:13" x14ac:dyDescent="0.25">
      <c r="A42" s="22" t="s">
        <v>85</v>
      </c>
      <c r="B42" s="26" t="s">
        <v>188</v>
      </c>
      <c r="C42" s="26" t="s">
        <v>187</v>
      </c>
      <c r="D42" s="30"/>
      <c r="E42" s="2" t="s">
        <v>5</v>
      </c>
      <c r="F42" s="2" t="s">
        <v>40</v>
      </c>
      <c r="G42" s="28">
        <v>16</v>
      </c>
      <c r="H42" s="20"/>
      <c r="I42" s="2">
        <f>IF(ISBLANK('kabeli i uvodnice'!G42),"",
IF('kabeli i uvodnice'!G42&lt;'rittal uvodnice'!$C$2,"PREMALEN",
IF('kabeli i uvodnice'!G42&lt;'rittal uvodnice'!$D$2,'rittal uvodnice'!$A$2,
IF('kabeli i uvodnice'!G42&lt;'rittal uvodnice'!$D$3,'rittal uvodnice'!$A$3,
IF('kabeli i uvodnice'!G42&lt;'rittal uvodnice'!$D$4,'rittal uvodnice'!$A$4,
IF('kabeli i uvodnice'!G42&lt;'rittal uvodnice'!$D$5,'rittal uvodnice'!$A$5,
IF('kabeli i uvodnice'!G42&lt;'rittal uvodnice'!$D$6,'rittal uvodnice'!$A$6,
IF('kabeli i uvodnice'!G42&lt;'rittal uvodnice'!$D$7,'rittal uvodnice'!$A$7,
IF('kabeli i uvodnice'!G42&lt;'rittal uvodnice'!$D$8,'rittal uvodnice'!$A$8,
IF('kabeli i uvodnice'!G42&lt;'rittal uvodnice'!$D$9,'rittal uvodnice'!$A$9,
"PREVELIK"))))))))))</f>
        <v>2411831</v>
      </c>
      <c r="J42" s="13" t="str">
        <f>IF(ISBLANK('kabeli i uvodnice'!G42),"",
IF('kabeli i uvodnice'!G42&lt;'rittal uvodnice'!$C$2,"PREMALEN",
IF('kabeli i uvodnice'!G42&lt;'rittal uvodnice'!$D$2,'rittal uvodnice'!$B$2,
IF('kabeli i uvodnice'!G42&lt;'rittal uvodnice'!$D$3,'rittal uvodnice'!$B$3,
IF('kabeli i uvodnice'!G42&lt;'rittal uvodnice'!$D$4,'rittal uvodnice'!$B$4,
IF('kabeli i uvodnice'!G42&lt;'rittal uvodnice'!$D$5,'rittal uvodnice'!$B$5,
IF('kabeli i uvodnice'!G42&lt;'rittal uvodnice'!$D$6,'rittal uvodnice'!$B$6,
IF('kabeli i uvodnice'!G42&lt;'rittal uvodnice'!$D$7,'rittal uvodnice'!$B$7,
IF('kabeli i uvodnice'!G42&lt;'rittal uvodnice'!$D$8,'rittal uvodnice'!$B$8,
IF('kabeli i uvodnice'!G42&lt;'rittal uvodnice'!$D$9,'rittal uvodnice'!$B$9,
"PREVELIK"))))))))))</f>
        <v>M25 x 1.5</v>
      </c>
      <c r="L42" s="6"/>
    </row>
    <row r="43" spans="1:13" x14ac:dyDescent="0.25">
      <c r="A43" s="22" t="s">
        <v>86</v>
      </c>
      <c r="B43" s="26" t="s">
        <v>189</v>
      </c>
      <c r="C43" s="26" t="s">
        <v>190</v>
      </c>
      <c r="D43" s="30"/>
      <c r="E43" s="2" t="s">
        <v>7</v>
      </c>
      <c r="F43" s="2" t="s">
        <v>41</v>
      </c>
      <c r="G43" s="28">
        <v>8.9</v>
      </c>
      <c r="H43" s="20"/>
      <c r="I43" s="2">
        <f>IF(ISBLANK('kabeli i uvodnice'!G43),"",
IF('kabeli i uvodnice'!G43&lt;'rittal uvodnice'!$C$2,"PREMALEN",
IF('kabeli i uvodnice'!G43&lt;'rittal uvodnice'!$D$2,'rittal uvodnice'!$A$2,
IF('kabeli i uvodnice'!G43&lt;'rittal uvodnice'!$D$3,'rittal uvodnice'!$A$3,
IF('kabeli i uvodnice'!G43&lt;'rittal uvodnice'!$D$4,'rittal uvodnice'!$A$4,
IF('kabeli i uvodnice'!G43&lt;'rittal uvodnice'!$D$5,'rittal uvodnice'!$A$5,
IF('kabeli i uvodnice'!G43&lt;'rittal uvodnice'!$D$6,'rittal uvodnice'!$A$6,
IF('kabeli i uvodnice'!G43&lt;'rittal uvodnice'!$D$7,'rittal uvodnice'!$A$7,
IF('kabeli i uvodnice'!G43&lt;'rittal uvodnice'!$D$8,'rittal uvodnice'!$A$8,
IF('kabeli i uvodnice'!G43&lt;'rittal uvodnice'!$D$9,'rittal uvodnice'!$A$9,
"PREVELIK"))))))))))</f>
        <v>2411811</v>
      </c>
      <c r="J43" s="13" t="str">
        <f>IF(ISBLANK('kabeli i uvodnice'!G43),"",
IF('kabeli i uvodnice'!G43&lt;'rittal uvodnice'!$C$2,"PREMALEN",
IF('kabeli i uvodnice'!G43&lt;'rittal uvodnice'!$D$2,'rittal uvodnice'!$B$2,
IF('kabeli i uvodnice'!G43&lt;'rittal uvodnice'!$D$3,'rittal uvodnice'!$B$3,
IF('kabeli i uvodnice'!G43&lt;'rittal uvodnice'!$D$4,'rittal uvodnice'!$B$4,
IF('kabeli i uvodnice'!G43&lt;'rittal uvodnice'!$D$5,'rittal uvodnice'!$B$5,
IF('kabeli i uvodnice'!G43&lt;'rittal uvodnice'!$D$6,'rittal uvodnice'!$B$6,
IF('kabeli i uvodnice'!G43&lt;'rittal uvodnice'!$D$7,'rittal uvodnice'!$B$7,
IF('kabeli i uvodnice'!G43&lt;'rittal uvodnice'!$D$8,'rittal uvodnice'!$B$8,
IF('kabeli i uvodnice'!G43&lt;'rittal uvodnice'!$D$9,'rittal uvodnice'!$B$9,
"PREVELIK"))))))))))</f>
        <v>M16 x 1.5</v>
      </c>
      <c r="L43" s="6"/>
    </row>
    <row r="44" spans="1:13" x14ac:dyDescent="0.25">
      <c r="A44" s="22" t="s">
        <v>87</v>
      </c>
      <c r="B44" s="26" t="s">
        <v>189</v>
      </c>
      <c r="C44" s="26" t="s">
        <v>190</v>
      </c>
      <c r="D44" s="30"/>
      <c r="E44" s="2" t="s">
        <v>7</v>
      </c>
      <c r="F44" s="2" t="s">
        <v>41</v>
      </c>
      <c r="G44" s="28">
        <v>8.9</v>
      </c>
      <c r="H44" s="20"/>
      <c r="I44" s="2">
        <f>IF(ISBLANK('kabeli i uvodnice'!G44),"",
IF('kabeli i uvodnice'!G44&lt;'rittal uvodnice'!$C$2,"PREMALEN",
IF('kabeli i uvodnice'!G44&lt;'rittal uvodnice'!$D$2,'rittal uvodnice'!$A$2,
IF('kabeli i uvodnice'!G44&lt;'rittal uvodnice'!$D$3,'rittal uvodnice'!$A$3,
IF('kabeli i uvodnice'!G44&lt;'rittal uvodnice'!$D$4,'rittal uvodnice'!$A$4,
IF('kabeli i uvodnice'!G44&lt;'rittal uvodnice'!$D$5,'rittal uvodnice'!$A$5,
IF('kabeli i uvodnice'!G44&lt;'rittal uvodnice'!$D$6,'rittal uvodnice'!$A$6,
IF('kabeli i uvodnice'!G44&lt;'rittal uvodnice'!$D$7,'rittal uvodnice'!$A$7,
IF('kabeli i uvodnice'!G44&lt;'rittal uvodnice'!$D$8,'rittal uvodnice'!$A$8,
IF('kabeli i uvodnice'!G44&lt;'rittal uvodnice'!$D$9,'rittal uvodnice'!$A$9,
"PREVELIK"))))))))))</f>
        <v>2411811</v>
      </c>
      <c r="J44" s="13" t="str">
        <f>IF(ISBLANK('kabeli i uvodnice'!G44),"",
IF('kabeli i uvodnice'!G44&lt;'rittal uvodnice'!$C$2,"PREMALEN",
IF('kabeli i uvodnice'!G44&lt;'rittal uvodnice'!$D$2,'rittal uvodnice'!$B$2,
IF('kabeli i uvodnice'!G44&lt;'rittal uvodnice'!$D$3,'rittal uvodnice'!$B$3,
IF('kabeli i uvodnice'!G44&lt;'rittal uvodnice'!$D$4,'rittal uvodnice'!$B$4,
IF('kabeli i uvodnice'!G44&lt;'rittal uvodnice'!$D$5,'rittal uvodnice'!$B$5,
IF('kabeli i uvodnice'!G44&lt;'rittal uvodnice'!$D$6,'rittal uvodnice'!$B$6,
IF('kabeli i uvodnice'!G44&lt;'rittal uvodnice'!$D$7,'rittal uvodnice'!$B$7,
IF('kabeli i uvodnice'!G44&lt;'rittal uvodnice'!$D$8,'rittal uvodnice'!$B$8,
IF('kabeli i uvodnice'!G44&lt;'rittal uvodnice'!$D$9,'rittal uvodnice'!$B$9,
"PREVELIK"))))))))))</f>
        <v>M16 x 1.5</v>
      </c>
      <c r="L44" s="6"/>
    </row>
    <row r="45" spans="1:13" x14ac:dyDescent="0.25">
      <c r="A45" s="22" t="s">
        <v>88</v>
      </c>
      <c r="B45" s="26" t="s">
        <v>191</v>
      </c>
      <c r="C45" s="26" t="s">
        <v>181</v>
      </c>
      <c r="D45" s="30"/>
      <c r="E45" s="2" t="s">
        <v>5</v>
      </c>
      <c r="F45" s="2" t="s">
        <v>38</v>
      </c>
      <c r="G45" s="28">
        <v>12</v>
      </c>
      <c r="H45" s="20"/>
      <c r="I45" s="2">
        <f>IF(ISBLANK('kabeli i uvodnice'!G45),"",
IF('kabeli i uvodnice'!G45&lt;'rittal uvodnice'!$C$2,"PREMALEN",
IF('kabeli i uvodnice'!G45&lt;'rittal uvodnice'!$D$2,'rittal uvodnice'!$A$2,
IF('kabeli i uvodnice'!G45&lt;'rittal uvodnice'!$D$3,'rittal uvodnice'!$A$3,
IF('kabeli i uvodnice'!G45&lt;'rittal uvodnice'!$D$4,'rittal uvodnice'!$A$4,
IF('kabeli i uvodnice'!G45&lt;'rittal uvodnice'!$D$5,'rittal uvodnice'!$A$5,
IF('kabeli i uvodnice'!G45&lt;'rittal uvodnice'!$D$6,'rittal uvodnice'!$A$6,
IF('kabeli i uvodnice'!G45&lt;'rittal uvodnice'!$D$7,'rittal uvodnice'!$A$7,
IF('kabeli i uvodnice'!G45&lt;'rittal uvodnice'!$D$8,'rittal uvodnice'!$A$8,
IF('kabeli i uvodnice'!G45&lt;'rittal uvodnice'!$D$9,'rittal uvodnice'!$A$9,
"PREVELIK"))))))))))</f>
        <v>2411831</v>
      </c>
      <c r="J45" s="13" t="str">
        <f>IF(ISBLANK('kabeli i uvodnice'!G45),"",
IF('kabeli i uvodnice'!G45&lt;'rittal uvodnice'!$C$2,"PREMALEN",
IF('kabeli i uvodnice'!G45&lt;'rittal uvodnice'!$D$2,'rittal uvodnice'!$B$2,
IF('kabeli i uvodnice'!G45&lt;'rittal uvodnice'!$D$3,'rittal uvodnice'!$B$3,
IF('kabeli i uvodnice'!G45&lt;'rittal uvodnice'!$D$4,'rittal uvodnice'!$B$4,
IF('kabeli i uvodnice'!G45&lt;'rittal uvodnice'!$D$5,'rittal uvodnice'!$B$5,
IF('kabeli i uvodnice'!G45&lt;'rittal uvodnice'!$D$6,'rittal uvodnice'!$B$6,
IF('kabeli i uvodnice'!G45&lt;'rittal uvodnice'!$D$7,'rittal uvodnice'!$B$7,
IF('kabeli i uvodnice'!G45&lt;'rittal uvodnice'!$D$8,'rittal uvodnice'!$B$8,
IF('kabeli i uvodnice'!G45&lt;'rittal uvodnice'!$D$9,'rittal uvodnice'!$B$9,
"PREVELIK"))))))))))</f>
        <v>M25 x 1.5</v>
      </c>
      <c r="L45" s="6"/>
    </row>
    <row r="46" spans="1:13" x14ac:dyDescent="0.25">
      <c r="A46" s="22" t="s">
        <v>89</v>
      </c>
      <c r="B46" s="26" t="s">
        <v>189</v>
      </c>
      <c r="C46" s="26" t="s">
        <v>192</v>
      </c>
      <c r="D46" s="30"/>
      <c r="E46" s="2" t="s">
        <v>7</v>
      </c>
      <c r="F46" s="2" t="s">
        <v>41</v>
      </c>
      <c r="G46" s="28">
        <v>8.9</v>
      </c>
      <c r="H46" s="20"/>
      <c r="I46" s="2">
        <f>IF(ISBLANK('kabeli i uvodnice'!G46),"",
IF('kabeli i uvodnice'!G46&lt;'rittal uvodnice'!$C$2,"PREMALEN",
IF('kabeli i uvodnice'!G46&lt;'rittal uvodnice'!$D$2,'rittal uvodnice'!$A$2,
IF('kabeli i uvodnice'!G46&lt;'rittal uvodnice'!$D$3,'rittal uvodnice'!$A$3,
IF('kabeli i uvodnice'!G46&lt;'rittal uvodnice'!$D$4,'rittal uvodnice'!$A$4,
IF('kabeli i uvodnice'!G46&lt;'rittal uvodnice'!$D$5,'rittal uvodnice'!$A$5,
IF('kabeli i uvodnice'!G46&lt;'rittal uvodnice'!$D$6,'rittal uvodnice'!$A$6,
IF('kabeli i uvodnice'!G46&lt;'rittal uvodnice'!$D$7,'rittal uvodnice'!$A$7,
IF('kabeli i uvodnice'!G46&lt;'rittal uvodnice'!$D$8,'rittal uvodnice'!$A$8,
IF('kabeli i uvodnice'!G46&lt;'rittal uvodnice'!$D$9,'rittal uvodnice'!$A$9,
"PREVELIK"))))))))))</f>
        <v>2411811</v>
      </c>
      <c r="J46" s="13" t="str">
        <f>IF(ISBLANK('kabeli i uvodnice'!G46),"",
IF('kabeli i uvodnice'!G46&lt;'rittal uvodnice'!$C$2,"PREMALEN",
IF('kabeli i uvodnice'!G46&lt;'rittal uvodnice'!$D$2,'rittal uvodnice'!$B$2,
IF('kabeli i uvodnice'!G46&lt;'rittal uvodnice'!$D$3,'rittal uvodnice'!$B$3,
IF('kabeli i uvodnice'!G46&lt;'rittal uvodnice'!$D$4,'rittal uvodnice'!$B$4,
IF('kabeli i uvodnice'!G46&lt;'rittal uvodnice'!$D$5,'rittal uvodnice'!$B$5,
IF('kabeli i uvodnice'!G46&lt;'rittal uvodnice'!$D$6,'rittal uvodnice'!$B$6,
IF('kabeli i uvodnice'!G46&lt;'rittal uvodnice'!$D$7,'rittal uvodnice'!$B$7,
IF('kabeli i uvodnice'!G46&lt;'rittal uvodnice'!$D$8,'rittal uvodnice'!$B$8,
IF('kabeli i uvodnice'!G46&lt;'rittal uvodnice'!$D$9,'rittal uvodnice'!$B$9,
"PREVELIK"))))))))))</f>
        <v>M16 x 1.5</v>
      </c>
      <c r="L46" s="6"/>
    </row>
    <row r="47" spans="1:13" x14ac:dyDescent="0.25">
      <c r="A47" s="22" t="s">
        <v>90</v>
      </c>
      <c r="B47" s="26" t="s">
        <v>189</v>
      </c>
      <c r="C47" s="26" t="s">
        <v>193</v>
      </c>
      <c r="D47" s="30"/>
      <c r="E47" s="2" t="s">
        <v>7</v>
      </c>
      <c r="F47" s="2" t="s">
        <v>41</v>
      </c>
      <c r="G47" s="28">
        <v>8.9</v>
      </c>
      <c r="H47" s="20"/>
      <c r="I47" s="2">
        <f>IF(ISBLANK('kabeli i uvodnice'!G47),"",
IF('kabeli i uvodnice'!G47&lt;'rittal uvodnice'!$C$2,"PREMALEN",
IF('kabeli i uvodnice'!G47&lt;'rittal uvodnice'!$D$2,'rittal uvodnice'!$A$2,
IF('kabeli i uvodnice'!G47&lt;'rittal uvodnice'!$D$3,'rittal uvodnice'!$A$3,
IF('kabeli i uvodnice'!G47&lt;'rittal uvodnice'!$D$4,'rittal uvodnice'!$A$4,
IF('kabeli i uvodnice'!G47&lt;'rittal uvodnice'!$D$5,'rittal uvodnice'!$A$5,
IF('kabeli i uvodnice'!G47&lt;'rittal uvodnice'!$D$6,'rittal uvodnice'!$A$6,
IF('kabeli i uvodnice'!G47&lt;'rittal uvodnice'!$D$7,'rittal uvodnice'!$A$7,
IF('kabeli i uvodnice'!G47&lt;'rittal uvodnice'!$D$8,'rittal uvodnice'!$A$8,
IF('kabeli i uvodnice'!G47&lt;'rittal uvodnice'!$D$9,'rittal uvodnice'!$A$9,
"PREVELIK"))))))))))</f>
        <v>2411811</v>
      </c>
      <c r="J47" s="13" t="str">
        <f>IF(ISBLANK('kabeli i uvodnice'!G47),"",
IF('kabeli i uvodnice'!G47&lt;'rittal uvodnice'!$C$2,"PREMALEN",
IF('kabeli i uvodnice'!G47&lt;'rittal uvodnice'!$D$2,'rittal uvodnice'!$B$2,
IF('kabeli i uvodnice'!G47&lt;'rittal uvodnice'!$D$3,'rittal uvodnice'!$B$3,
IF('kabeli i uvodnice'!G47&lt;'rittal uvodnice'!$D$4,'rittal uvodnice'!$B$4,
IF('kabeli i uvodnice'!G47&lt;'rittal uvodnice'!$D$5,'rittal uvodnice'!$B$5,
IF('kabeli i uvodnice'!G47&lt;'rittal uvodnice'!$D$6,'rittal uvodnice'!$B$6,
IF('kabeli i uvodnice'!G47&lt;'rittal uvodnice'!$D$7,'rittal uvodnice'!$B$7,
IF('kabeli i uvodnice'!G47&lt;'rittal uvodnice'!$D$8,'rittal uvodnice'!$B$8,
IF('kabeli i uvodnice'!G47&lt;'rittal uvodnice'!$D$9,'rittal uvodnice'!$B$9,
"PREVELIK"))))))))))</f>
        <v>M16 x 1.5</v>
      </c>
      <c r="L47" s="6"/>
    </row>
    <row r="48" spans="1:13" x14ac:dyDescent="0.25">
      <c r="A48" s="22" t="s">
        <v>91</v>
      </c>
      <c r="B48" s="26" t="s">
        <v>189</v>
      </c>
      <c r="C48" s="26" t="s">
        <v>194</v>
      </c>
      <c r="D48" s="30"/>
      <c r="E48" s="2" t="s">
        <v>7</v>
      </c>
      <c r="F48" s="2" t="s">
        <v>41</v>
      </c>
      <c r="G48" s="28">
        <v>8.9</v>
      </c>
      <c r="H48" s="20"/>
      <c r="I48" s="2">
        <f>IF(ISBLANK('kabeli i uvodnice'!G48),"",
IF('kabeli i uvodnice'!G48&lt;'rittal uvodnice'!$C$2,"PREMALEN",
IF('kabeli i uvodnice'!G48&lt;'rittal uvodnice'!$D$2,'rittal uvodnice'!$A$2,
IF('kabeli i uvodnice'!G48&lt;'rittal uvodnice'!$D$3,'rittal uvodnice'!$A$3,
IF('kabeli i uvodnice'!G48&lt;'rittal uvodnice'!$D$4,'rittal uvodnice'!$A$4,
IF('kabeli i uvodnice'!G48&lt;'rittal uvodnice'!$D$5,'rittal uvodnice'!$A$5,
IF('kabeli i uvodnice'!G48&lt;'rittal uvodnice'!$D$6,'rittal uvodnice'!$A$6,
IF('kabeli i uvodnice'!G48&lt;'rittal uvodnice'!$D$7,'rittal uvodnice'!$A$7,
IF('kabeli i uvodnice'!G48&lt;'rittal uvodnice'!$D$8,'rittal uvodnice'!$A$8,
IF('kabeli i uvodnice'!G48&lt;'rittal uvodnice'!$D$9,'rittal uvodnice'!$A$9,
"PREVELIK"))))))))))</f>
        <v>2411811</v>
      </c>
      <c r="J48" s="13" t="str">
        <f>IF(ISBLANK('kabeli i uvodnice'!G48),"",
IF('kabeli i uvodnice'!G48&lt;'rittal uvodnice'!$C$2,"PREMALEN",
IF('kabeli i uvodnice'!G48&lt;'rittal uvodnice'!$D$2,'rittal uvodnice'!$B$2,
IF('kabeli i uvodnice'!G48&lt;'rittal uvodnice'!$D$3,'rittal uvodnice'!$B$3,
IF('kabeli i uvodnice'!G48&lt;'rittal uvodnice'!$D$4,'rittal uvodnice'!$B$4,
IF('kabeli i uvodnice'!G48&lt;'rittal uvodnice'!$D$5,'rittal uvodnice'!$B$5,
IF('kabeli i uvodnice'!G48&lt;'rittal uvodnice'!$D$6,'rittal uvodnice'!$B$6,
IF('kabeli i uvodnice'!G48&lt;'rittal uvodnice'!$D$7,'rittal uvodnice'!$B$7,
IF('kabeli i uvodnice'!G48&lt;'rittal uvodnice'!$D$8,'rittal uvodnice'!$B$8,
IF('kabeli i uvodnice'!G48&lt;'rittal uvodnice'!$D$9,'rittal uvodnice'!$B$9,
"PREVELIK"))))))))))</f>
        <v>M16 x 1.5</v>
      </c>
      <c r="L48" s="6"/>
    </row>
    <row r="49" spans="1:12" x14ac:dyDescent="0.25">
      <c r="A49" s="22" t="s">
        <v>92</v>
      </c>
      <c r="B49" s="26" t="s">
        <v>189</v>
      </c>
      <c r="C49" s="26" t="s">
        <v>195</v>
      </c>
      <c r="D49" s="30"/>
      <c r="E49" s="2" t="s">
        <v>7</v>
      </c>
      <c r="F49" s="2" t="s">
        <v>42</v>
      </c>
      <c r="G49" s="28">
        <v>11.3</v>
      </c>
      <c r="H49" s="20"/>
      <c r="I49" s="2">
        <f>IF(ISBLANK('kabeli i uvodnice'!G49),"",
IF('kabeli i uvodnice'!G49&lt;'rittal uvodnice'!$C$2,"PREMALEN",
IF('kabeli i uvodnice'!G49&lt;'rittal uvodnice'!$D$2,'rittal uvodnice'!$A$2,
IF('kabeli i uvodnice'!G49&lt;'rittal uvodnice'!$D$3,'rittal uvodnice'!$A$3,
IF('kabeli i uvodnice'!G49&lt;'rittal uvodnice'!$D$4,'rittal uvodnice'!$A$4,
IF('kabeli i uvodnice'!G49&lt;'rittal uvodnice'!$D$5,'rittal uvodnice'!$A$5,
IF('kabeli i uvodnice'!G49&lt;'rittal uvodnice'!$D$6,'rittal uvodnice'!$A$6,
IF('kabeli i uvodnice'!G49&lt;'rittal uvodnice'!$D$7,'rittal uvodnice'!$A$7,
IF('kabeli i uvodnice'!G49&lt;'rittal uvodnice'!$D$8,'rittal uvodnice'!$A$8,
IF('kabeli i uvodnice'!G49&lt;'rittal uvodnice'!$D$9,'rittal uvodnice'!$A$9,
"PREVELIK"))))))))))</f>
        <v>2411821</v>
      </c>
      <c r="J49" s="13" t="str">
        <f>IF(ISBLANK('kabeli i uvodnice'!G49),"",
IF('kabeli i uvodnice'!G49&lt;'rittal uvodnice'!$C$2,"PREMALEN",
IF('kabeli i uvodnice'!G49&lt;'rittal uvodnice'!$D$2,'rittal uvodnice'!$B$2,
IF('kabeli i uvodnice'!G49&lt;'rittal uvodnice'!$D$3,'rittal uvodnice'!$B$3,
IF('kabeli i uvodnice'!G49&lt;'rittal uvodnice'!$D$4,'rittal uvodnice'!$B$4,
IF('kabeli i uvodnice'!G49&lt;'rittal uvodnice'!$D$5,'rittal uvodnice'!$B$5,
IF('kabeli i uvodnice'!G49&lt;'rittal uvodnice'!$D$6,'rittal uvodnice'!$B$6,
IF('kabeli i uvodnice'!G49&lt;'rittal uvodnice'!$D$7,'rittal uvodnice'!$B$7,
IF('kabeli i uvodnice'!G49&lt;'rittal uvodnice'!$D$8,'rittal uvodnice'!$B$8,
IF('kabeli i uvodnice'!G49&lt;'rittal uvodnice'!$D$9,'rittal uvodnice'!$B$9,
"PREVELIK"))))))))))</f>
        <v>M20 x 1.5</v>
      </c>
      <c r="L49" s="6"/>
    </row>
    <row r="50" spans="1:12" x14ac:dyDescent="0.25">
      <c r="A50" s="22" t="s">
        <v>93</v>
      </c>
      <c r="B50" s="26" t="s">
        <v>191</v>
      </c>
      <c r="C50" s="26" t="s">
        <v>181</v>
      </c>
      <c r="D50" s="30"/>
      <c r="E50" s="2" t="s">
        <v>6</v>
      </c>
      <c r="F50" s="2" t="s">
        <v>41</v>
      </c>
      <c r="G50" s="28">
        <v>8.9</v>
      </c>
      <c r="H50" s="20"/>
      <c r="I50" s="2">
        <f>IF(ISBLANK('kabeli i uvodnice'!G50),"",
IF('kabeli i uvodnice'!G50&lt;'rittal uvodnice'!$C$2,"PREMALEN",
IF('kabeli i uvodnice'!G50&lt;'rittal uvodnice'!$D$2,'rittal uvodnice'!$A$2,
IF('kabeli i uvodnice'!G50&lt;'rittal uvodnice'!$D$3,'rittal uvodnice'!$A$3,
IF('kabeli i uvodnice'!G50&lt;'rittal uvodnice'!$D$4,'rittal uvodnice'!$A$4,
IF('kabeli i uvodnice'!G50&lt;'rittal uvodnice'!$D$5,'rittal uvodnice'!$A$5,
IF('kabeli i uvodnice'!G50&lt;'rittal uvodnice'!$D$6,'rittal uvodnice'!$A$6,
IF('kabeli i uvodnice'!G50&lt;'rittal uvodnice'!$D$7,'rittal uvodnice'!$A$7,
IF('kabeli i uvodnice'!G50&lt;'rittal uvodnice'!$D$8,'rittal uvodnice'!$A$8,
IF('kabeli i uvodnice'!G50&lt;'rittal uvodnice'!$D$9,'rittal uvodnice'!$A$9,
"PREVELIK"))))))))))</f>
        <v>2411811</v>
      </c>
      <c r="J50" s="13" t="str">
        <f>IF(ISBLANK('kabeli i uvodnice'!G50),"",
IF('kabeli i uvodnice'!G50&lt;'rittal uvodnice'!$C$2,"PREMALEN",
IF('kabeli i uvodnice'!G50&lt;'rittal uvodnice'!$D$2,'rittal uvodnice'!$B$2,
IF('kabeli i uvodnice'!G50&lt;'rittal uvodnice'!$D$3,'rittal uvodnice'!$B$3,
IF('kabeli i uvodnice'!G50&lt;'rittal uvodnice'!$D$4,'rittal uvodnice'!$B$4,
IF('kabeli i uvodnice'!G50&lt;'rittal uvodnice'!$D$5,'rittal uvodnice'!$B$5,
IF('kabeli i uvodnice'!G50&lt;'rittal uvodnice'!$D$6,'rittal uvodnice'!$B$6,
IF('kabeli i uvodnice'!G50&lt;'rittal uvodnice'!$D$7,'rittal uvodnice'!$B$7,
IF('kabeli i uvodnice'!G50&lt;'rittal uvodnice'!$D$8,'rittal uvodnice'!$B$8,
IF('kabeli i uvodnice'!G50&lt;'rittal uvodnice'!$D$9,'rittal uvodnice'!$B$9,
"PREVELIK"))))))))))</f>
        <v>M16 x 1.5</v>
      </c>
      <c r="L50" s="6"/>
    </row>
    <row r="51" spans="1:12" x14ac:dyDescent="0.25">
      <c r="A51" s="22" t="s">
        <v>94</v>
      </c>
      <c r="B51" s="26" t="s">
        <v>189</v>
      </c>
      <c r="C51" s="26" t="s">
        <v>196</v>
      </c>
      <c r="D51" s="30"/>
      <c r="E51" s="2" t="s">
        <v>7</v>
      </c>
      <c r="F51" s="2" t="s">
        <v>33</v>
      </c>
      <c r="G51" s="28">
        <v>7.5</v>
      </c>
      <c r="H51" s="20"/>
      <c r="I51" s="2">
        <f>IF(ISBLANK('kabeli i uvodnice'!G51),"",
IF('kabeli i uvodnice'!G51&lt;'rittal uvodnice'!$C$2,"PREMALEN",
IF('kabeli i uvodnice'!G51&lt;'rittal uvodnice'!$D$2,'rittal uvodnice'!$A$2,
IF('kabeli i uvodnice'!G51&lt;'rittal uvodnice'!$D$3,'rittal uvodnice'!$A$3,
IF('kabeli i uvodnice'!G51&lt;'rittal uvodnice'!$D$4,'rittal uvodnice'!$A$4,
IF('kabeli i uvodnice'!G51&lt;'rittal uvodnice'!$D$5,'rittal uvodnice'!$A$5,
IF('kabeli i uvodnice'!G51&lt;'rittal uvodnice'!$D$6,'rittal uvodnice'!$A$6,
IF('kabeli i uvodnice'!G51&lt;'rittal uvodnice'!$D$7,'rittal uvodnice'!$A$7,
IF('kabeli i uvodnice'!G51&lt;'rittal uvodnice'!$D$8,'rittal uvodnice'!$A$8,
IF('kabeli i uvodnice'!G51&lt;'rittal uvodnice'!$D$9,'rittal uvodnice'!$A$9,
"PREVELIK"))))))))))</f>
        <v>2411811</v>
      </c>
      <c r="J51" s="13" t="str">
        <f>IF(ISBLANK('kabeli i uvodnice'!G51),"",
IF('kabeli i uvodnice'!G51&lt;'rittal uvodnice'!$C$2,"PREMALEN",
IF('kabeli i uvodnice'!G51&lt;'rittal uvodnice'!$D$2,'rittal uvodnice'!$B$2,
IF('kabeli i uvodnice'!G51&lt;'rittal uvodnice'!$D$3,'rittal uvodnice'!$B$3,
IF('kabeli i uvodnice'!G51&lt;'rittal uvodnice'!$D$4,'rittal uvodnice'!$B$4,
IF('kabeli i uvodnice'!G51&lt;'rittal uvodnice'!$D$5,'rittal uvodnice'!$B$5,
IF('kabeli i uvodnice'!G51&lt;'rittal uvodnice'!$D$6,'rittal uvodnice'!$B$6,
IF('kabeli i uvodnice'!G51&lt;'rittal uvodnice'!$D$7,'rittal uvodnice'!$B$7,
IF('kabeli i uvodnice'!G51&lt;'rittal uvodnice'!$D$8,'rittal uvodnice'!$B$8,
IF('kabeli i uvodnice'!G51&lt;'rittal uvodnice'!$D$9,'rittal uvodnice'!$B$9,
"PREVELIK"))))))))))</f>
        <v>M16 x 1.5</v>
      </c>
      <c r="L51" s="6"/>
    </row>
    <row r="52" spans="1:12" x14ac:dyDescent="0.25">
      <c r="A52" s="22" t="s">
        <v>95</v>
      </c>
      <c r="B52" s="26" t="s">
        <v>197</v>
      </c>
      <c r="C52" s="26" t="s">
        <v>182</v>
      </c>
      <c r="D52" s="30"/>
      <c r="E52" s="2" t="s">
        <v>5</v>
      </c>
      <c r="F52" s="2" t="s">
        <v>38</v>
      </c>
      <c r="G52" s="28">
        <v>12</v>
      </c>
      <c r="H52" s="20"/>
      <c r="I52" s="2">
        <f>IF(ISBLANK('kabeli i uvodnice'!G52),"",
IF('kabeli i uvodnice'!G52&lt;'rittal uvodnice'!$C$2,"PREMALEN",
IF('kabeli i uvodnice'!G52&lt;'rittal uvodnice'!$D$2,'rittal uvodnice'!$A$2,
IF('kabeli i uvodnice'!G52&lt;'rittal uvodnice'!$D$3,'rittal uvodnice'!$A$3,
IF('kabeli i uvodnice'!G52&lt;'rittal uvodnice'!$D$4,'rittal uvodnice'!$A$4,
IF('kabeli i uvodnice'!G52&lt;'rittal uvodnice'!$D$5,'rittal uvodnice'!$A$5,
IF('kabeli i uvodnice'!G52&lt;'rittal uvodnice'!$D$6,'rittal uvodnice'!$A$6,
IF('kabeli i uvodnice'!G52&lt;'rittal uvodnice'!$D$7,'rittal uvodnice'!$A$7,
IF('kabeli i uvodnice'!G52&lt;'rittal uvodnice'!$D$8,'rittal uvodnice'!$A$8,
IF('kabeli i uvodnice'!G52&lt;'rittal uvodnice'!$D$9,'rittal uvodnice'!$A$9,
"PREVELIK"))))))))))</f>
        <v>2411831</v>
      </c>
      <c r="J52" s="13" t="str">
        <f>IF(ISBLANK('kabeli i uvodnice'!G52),"",
IF('kabeli i uvodnice'!G52&lt;'rittal uvodnice'!$C$2,"PREMALEN",
IF('kabeli i uvodnice'!G52&lt;'rittal uvodnice'!$D$2,'rittal uvodnice'!$B$2,
IF('kabeli i uvodnice'!G52&lt;'rittal uvodnice'!$D$3,'rittal uvodnice'!$B$3,
IF('kabeli i uvodnice'!G52&lt;'rittal uvodnice'!$D$4,'rittal uvodnice'!$B$4,
IF('kabeli i uvodnice'!G52&lt;'rittal uvodnice'!$D$5,'rittal uvodnice'!$B$5,
IF('kabeli i uvodnice'!G52&lt;'rittal uvodnice'!$D$6,'rittal uvodnice'!$B$6,
IF('kabeli i uvodnice'!G52&lt;'rittal uvodnice'!$D$7,'rittal uvodnice'!$B$7,
IF('kabeli i uvodnice'!G52&lt;'rittal uvodnice'!$D$8,'rittal uvodnice'!$B$8,
IF('kabeli i uvodnice'!G52&lt;'rittal uvodnice'!$D$9,'rittal uvodnice'!$B$9,
"PREVELIK"))))))))))</f>
        <v>M25 x 1.5</v>
      </c>
      <c r="L52" s="6"/>
    </row>
    <row r="53" spans="1:12" x14ac:dyDescent="0.25">
      <c r="A53" s="22" t="s">
        <v>96</v>
      </c>
      <c r="B53" s="26" t="s">
        <v>198</v>
      </c>
      <c r="C53" s="26" t="s">
        <v>199</v>
      </c>
      <c r="D53" s="30"/>
      <c r="E53" s="2" t="s">
        <v>5</v>
      </c>
      <c r="F53" s="2" t="s">
        <v>38</v>
      </c>
      <c r="G53" s="28">
        <v>12</v>
      </c>
      <c r="H53" s="20"/>
      <c r="I53" s="2">
        <f>IF(ISBLANK('kabeli i uvodnice'!G53),"",
IF('kabeli i uvodnice'!G53&lt;'rittal uvodnice'!$C$2,"PREMALEN",
IF('kabeli i uvodnice'!G53&lt;'rittal uvodnice'!$D$2,'rittal uvodnice'!$A$2,
IF('kabeli i uvodnice'!G53&lt;'rittal uvodnice'!$D$3,'rittal uvodnice'!$A$3,
IF('kabeli i uvodnice'!G53&lt;'rittal uvodnice'!$D$4,'rittal uvodnice'!$A$4,
IF('kabeli i uvodnice'!G53&lt;'rittal uvodnice'!$D$5,'rittal uvodnice'!$A$5,
IF('kabeli i uvodnice'!G53&lt;'rittal uvodnice'!$D$6,'rittal uvodnice'!$A$6,
IF('kabeli i uvodnice'!G53&lt;'rittal uvodnice'!$D$7,'rittal uvodnice'!$A$7,
IF('kabeli i uvodnice'!G53&lt;'rittal uvodnice'!$D$8,'rittal uvodnice'!$A$8,
IF('kabeli i uvodnice'!G53&lt;'rittal uvodnice'!$D$9,'rittal uvodnice'!$A$9,
"PREVELIK"))))))))))</f>
        <v>2411831</v>
      </c>
      <c r="J53" s="13" t="str">
        <f>IF(ISBLANK('kabeli i uvodnice'!G53),"",
IF('kabeli i uvodnice'!G53&lt;'rittal uvodnice'!$C$2,"PREMALEN",
IF('kabeli i uvodnice'!G53&lt;'rittal uvodnice'!$D$2,'rittal uvodnice'!$B$2,
IF('kabeli i uvodnice'!G53&lt;'rittal uvodnice'!$D$3,'rittal uvodnice'!$B$3,
IF('kabeli i uvodnice'!G53&lt;'rittal uvodnice'!$D$4,'rittal uvodnice'!$B$4,
IF('kabeli i uvodnice'!G53&lt;'rittal uvodnice'!$D$5,'rittal uvodnice'!$B$5,
IF('kabeli i uvodnice'!G53&lt;'rittal uvodnice'!$D$6,'rittal uvodnice'!$B$6,
IF('kabeli i uvodnice'!G53&lt;'rittal uvodnice'!$D$7,'rittal uvodnice'!$B$7,
IF('kabeli i uvodnice'!G53&lt;'rittal uvodnice'!$D$8,'rittal uvodnice'!$B$8,
IF('kabeli i uvodnice'!G53&lt;'rittal uvodnice'!$D$9,'rittal uvodnice'!$B$9,
"PREVELIK"))))))))))</f>
        <v>M25 x 1.5</v>
      </c>
      <c r="L53" s="6"/>
    </row>
    <row r="54" spans="1:12" x14ac:dyDescent="0.25">
      <c r="A54" s="22" t="s">
        <v>97</v>
      </c>
      <c r="B54" s="26" t="s">
        <v>200</v>
      </c>
      <c r="C54" s="26" t="s">
        <v>201</v>
      </c>
      <c r="D54" s="30"/>
      <c r="E54" s="2" t="s">
        <v>5</v>
      </c>
      <c r="F54" s="2" t="s">
        <v>38</v>
      </c>
      <c r="G54" s="28">
        <v>12</v>
      </c>
      <c r="H54" s="20"/>
      <c r="I54" s="2">
        <f>IF(ISBLANK('kabeli i uvodnice'!G54),"",
IF('kabeli i uvodnice'!G54&lt;'rittal uvodnice'!$C$2,"PREMALEN",
IF('kabeli i uvodnice'!G54&lt;'rittal uvodnice'!$D$2,'rittal uvodnice'!$A$2,
IF('kabeli i uvodnice'!G54&lt;'rittal uvodnice'!$D$3,'rittal uvodnice'!$A$3,
IF('kabeli i uvodnice'!G54&lt;'rittal uvodnice'!$D$4,'rittal uvodnice'!$A$4,
IF('kabeli i uvodnice'!G54&lt;'rittal uvodnice'!$D$5,'rittal uvodnice'!$A$5,
IF('kabeli i uvodnice'!G54&lt;'rittal uvodnice'!$D$6,'rittal uvodnice'!$A$6,
IF('kabeli i uvodnice'!G54&lt;'rittal uvodnice'!$D$7,'rittal uvodnice'!$A$7,
IF('kabeli i uvodnice'!G54&lt;'rittal uvodnice'!$D$8,'rittal uvodnice'!$A$8,
IF('kabeli i uvodnice'!G54&lt;'rittal uvodnice'!$D$9,'rittal uvodnice'!$A$9,
"PREVELIK"))))))))))</f>
        <v>2411831</v>
      </c>
      <c r="J54" s="13" t="str">
        <f>IF(ISBLANK('kabeli i uvodnice'!G54),"",
IF('kabeli i uvodnice'!G54&lt;'rittal uvodnice'!$C$2,"PREMALEN",
IF('kabeli i uvodnice'!G54&lt;'rittal uvodnice'!$D$2,'rittal uvodnice'!$B$2,
IF('kabeli i uvodnice'!G54&lt;'rittal uvodnice'!$D$3,'rittal uvodnice'!$B$3,
IF('kabeli i uvodnice'!G54&lt;'rittal uvodnice'!$D$4,'rittal uvodnice'!$B$4,
IF('kabeli i uvodnice'!G54&lt;'rittal uvodnice'!$D$5,'rittal uvodnice'!$B$5,
IF('kabeli i uvodnice'!G54&lt;'rittal uvodnice'!$D$6,'rittal uvodnice'!$B$6,
IF('kabeli i uvodnice'!G54&lt;'rittal uvodnice'!$D$7,'rittal uvodnice'!$B$7,
IF('kabeli i uvodnice'!G54&lt;'rittal uvodnice'!$D$8,'rittal uvodnice'!$B$8,
IF('kabeli i uvodnice'!G54&lt;'rittal uvodnice'!$D$9,'rittal uvodnice'!$B$9,
"PREVELIK"))))))))))</f>
        <v>M25 x 1.5</v>
      </c>
      <c r="L54" s="6"/>
    </row>
    <row r="55" spans="1:12" x14ac:dyDescent="0.25">
      <c r="A55" s="22" t="s">
        <v>98</v>
      </c>
      <c r="B55" s="26" t="s">
        <v>202</v>
      </c>
      <c r="C55" s="26" t="s">
        <v>203</v>
      </c>
      <c r="D55" s="30"/>
      <c r="E55" s="2" t="s">
        <v>5</v>
      </c>
      <c r="F55" s="2" t="s">
        <v>38</v>
      </c>
      <c r="G55" s="28">
        <v>12</v>
      </c>
      <c r="H55" s="20"/>
      <c r="I55" s="2">
        <f>IF(ISBLANK('kabeli i uvodnice'!G55),"",
IF('kabeli i uvodnice'!G55&lt;'rittal uvodnice'!$C$2,"PREMALEN",
IF('kabeli i uvodnice'!G55&lt;'rittal uvodnice'!$D$2,'rittal uvodnice'!$A$2,
IF('kabeli i uvodnice'!G55&lt;'rittal uvodnice'!$D$3,'rittal uvodnice'!$A$3,
IF('kabeli i uvodnice'!G55&lt;'rittal uvodnice'!$D$4,'rittal uvodnice'!$A$4,
IF('kabeli i uvodnice'!G55&lt;'rittal uvodnice'!$D$5,'rittal uvodnice'!$A$5,
IF('kabeli i uvodnice'!G55&lt;'rittal uvodnice'!$D$6,'rittal uvodnice'!$A$6,
IF('kabeli i uvodnice'!G55&lt;'rittal uvodnice'!$D$7,'rittal uvodnice'!$A$7,
IF('kabeli i uvodnice'!G55&lt;'rittal uvodnice'!$D$8,'rittal uvodnice'!$A$8,
IF('kabeli i uvodnice'!G55&lt;'rittal uvodnice'!$D$9,'rittal uvodnice'!$A$9,
"PREVELIK"))))))))))</f>
        <v>2411831</v>
      </c>
      <c r="J55" s="13" t="str">
        <f>IF(ISBLANK('kabeli i uvodnice'!G55),"",
IF('kabeli i uvodnice'!G55&lt;'rittal uvodnice'!$C$2,"PREMALEN",
IF('kabeli i uvodnice'!G55&lt;'rittal uvodnice'!$D$2,'rittal uvodnice'!$B$2,
IF('kabeli i uvodnice'!G55&lt;'rittal uvodnice'!$D$3,'rittal uvodnice'!$B$3,
IF('kabeli i uvodnice'!G55&lt;'rittal uvodnice'!$D$4,'rittal uvodnice'!$B$4,
IF('kabeli i uvodnice'!G55&lt;'rittal uvodnice'!$D$5,'rittal uvodnice'!$B$5,
IF('kabeli i uvodnice'!G55&lt;'rittal uvodnice'!$D$6,'rittal uvodnice'!$B$6,
IF('kabeli i uvodnice'!G55&lt;'rittal uvodnice'!$D$7,'rittal uvodnice'!$B$7,
IF('kabeli i uvodnice'!G55&lt;'rittal uvodnice'!$D$8,'rittal uvodnice'!$B$8,
IF('kabeli i uvodnice'!G55&lt;'rittal uvodnice'!$D$9,'rittal uvodnice'!$B$9,
"PREVELIK"))))))))))</f>
        <v>M25 x 1.5</v>
      </c>
      <c r="L55" s="6"/>
    </row>
    <row r="56" spans="1:12" x14ac:dyDescent="0.25">
      <c r="A56" s="22" t="s">
        <v>99</v>
      </c>
      <c r="B56" s="26" t="s">
        <v>204</v>
      </c>
      <c r="C56" s="26" t="s">
        <v>205</v>
      </c>
      <c r="D56" s="30"/>
      <c r="E56" s="2" t="s">
        <v>5</v>
      </c>
      <c r="F56" s="2" t="s">
        <v>38</v>
      </c>
      <c r="G56" s="28">
        <v>12</v>
      </c>
      <c r="H56" s="20"/>
      <c r="I56" s="2">
        <f>IF(ISBLANK('kabeli i uvodnice'!G56),"",
IF('kabeli i uvodnice'!G56&lt;'rittal uvodnice'!$C$2,"PREMALEN",
IF('kabeli i uvodnice'!G56&lt;'rittal uvodnice'!$D$2,'rittal uvodnice'!$A$2,
IF('kabeli i uvodnice'!G56&lt;'rittal uvodnice'!$D$3,'rittal uvodnice'!$A$3,
IF('kabeli i uvodnice'!G56&lt;'rittal uvodnice'!$D$4,'rittal uvodnice'!$A$4,
IF('kabeli i uvodnice'!G56&lt;'rittal uvodnice'!$D$5,'rittal uvodnice'!$A$5,
IF('kabeli i uvodnice'!G56&lt;'rittal uvodnice'!$D$6,'rittal uvodnice'!$A$6,
IF('kabeli i uvodnice'!G56&lt;'rittal uvodnice'!$D$7,'rittal uvodnice'!$A$7,
IF('kabeli i uvodnice'!G56&lt;'rittal uvodnice'!$D$8,'rittal uvodnice'!$A$8,
IF('kabeli i uvodnice'!G56&lt;'rittal uvodnice'!$D$9,'rittal uvodnice'!$A$9,
"PREVELIK"))))))))))</f>
        <v>2411831</v>
      </c>
      <c r="J56" s="13" t="str">
        <f>IF(ISBLANK('kabeli i uvodnice'!G56),"",
IF('kabeli i uvodnice'!G56&lt;'rittal uvodnice'!$C$2,"PREMALEN",
IF('kabeli i uvodnice'!G56&lt;'rittal uvodnice'!$D$2,'rittal uvodnice'!$B$2,
IF('kabeli i uvodnice'!G56&lt;'rittal uvodnice'!$D$3,'rittal uvodnice'!$B$3,
IF('kabeli i uvodnice'!G56&lt;'rittal uvodnice'!$D$4,'rittal uvodnice'!$B$4,
IF('kabeli i uvodnice'!G56&lt;'rittal uvodnice'!$D$5,'rittal uvodnice'!$B$5,
IF('kabeli i uvodnice'!G56&lt;'rittal uvodnice'!$D$6,'rittal uvodnice'!$B$6,
IF('kabeli i uvodnice'!G56&lt;'rittal uvodnice'!$D$7,'rittal uvodnice'!$B$7,
IF('kabeli i uvodnice'!G56&lt;'rittal uvodnice'!$D$8,'rittal uvodnice'!$B$8,
IF('kabeli i uvodnice'!G56&lt;'rittal uvodnice'!$D$9,'rittal uvodnice'!$B$9,
"PREVELIK"))))))))))</f>
        <v>M25 x 1.5</v>
      </c>
      <c r="L56" s="6"/>
    </row>
    <row r="57" spans="1:12" x14ac:dyDescent="0.25">
      <c r="A57" s="22" t="s">
        <v>100</v>
      </c>
      <c r="B57" s="26" t="s">
        <v>200</v>
      </c>
      <c r="C57" s="26" t="s">
        <v>206</v>
      </c>
      <c r="D57" s="30"/>
      <c r="E57" s="2" t="s">
        <v>7</v>
      </c>
      <c r="F57" s="2" t="s">
        <v>43</v>
      </c>
      <c r="G57" s="28">
        <v>13</v>
      </c>
      <c r="H57" s="20"/>
      <c r="I57" s="2">
        <f>IF(ISBLANK('kabeli i uvodnice'!G57),"",
IF('kabeli i uvodnice'!G57&lt;'rittal uvodnice'!$C$2,"PREMALEN",
IF('kabeli i uvodnice'!G57&lt;'rittal uvodnice'!$D$2,'rittal uvodnice'!$A$2,
IF('kabeli i uvodnice'!G57&lt;'rittal uvodnice'!$D$3,'rittal uvodnice'!$A$3,
IF('kabeli i uvodnice'!G57&lt;'rittal uvodnice'!$D$4,'rittal uvodnice'!$A$4,
IF('kabeli i uvodnice'!G57&lt;'rittal uvodnice'!$D$5,'rittal uvodnice'!$A$5,
IF('kabeli i uvodnice'!G57&lt;'rittal uvodnice'!$D$6,'rittal uvodnice'!$A$6,
IF('kabeli i uvodnice'!G57&lt;'rittal uvodnice'!$D$7,'rittal uvodnice'!$A$7,
IF('kabeli i uvodnice'!G57&lt;'rittal uvodnice'!$D$8,'rittal uvodnice'!$A$8,
IF('kabeli i uvodnice'!G57&lt;'rittal uvodnice'!$D$9,'rittal uvodnice'!$A$9,
"PREVELIK"))))))))))</f>
        <v>2411831</v>
      </c>
      <c r="J57" s="13" t="str">
        <f>IF(ISBLANK('kabeli i uvodnice'!G57),"",
IF('kabeli i uvodnice'!G57&lt;'rittal uvodnice'!$C$2,"PREMALEN",
IF('kabeli i uvodnice'!G57&lt;'rittal uvodnice'!$D$2,'rittal uvodnice'!$B$2,
IF('kabeli i uvodnice'!G57&lt;'rittal uvodnice'!$D$3,'rittal uvodnice'!$B$3,
IF('kabeli i uvodnice'!G57&lt;'rittal uvodnice'!$D$4,'rittal uvodnice'!$B$4,
IF('kabeli i uvodnice'!G57&lt;'rittal uvodnice'!$D$5,'rittal uvodnice'!$B$5,
IF('kabeli i uvodnice'!G57&lt;'rittal uvodnice'!$D$6,'rittal uvodnice'!$B$6,
IF('kabeli i uvodnice'!G57&lt;'rittal uvodnice'!$D$7,'rittal uvodnice'!$B$7,
IF('kabeli i uvodnice'!G57&lt;'rittal uvodnice'!$D$8,'rittal uvodnice'!$B$8,
IF('kabeli i uvodnice'!G57&lt;'rittal uvodnice'!$D$9,'rittal uvodnice'!$B$9,
"PREVELIK"))))))))))</f>
        <v>M25 x 1.5</v>
      </c>
      <c r="L57" s="6"/>
    </row>
    <row r="58" spans="1:12" x14ac:dyDescent="0.25">
      <c r="A58" s="22" t="s">
        <v>101</v>
      </c>
      <c r="B58" s="26" t="s">
        <v>207</v>
      </c>
      <c r="C58" s="26" t="s">
        <v>208</v>
      </c>
      <c r="D58" s="30"/>
      <c r="E58" s="2" t="s">
        <v>7</v>
      </c>
      <c r="F58" s="2" t="s">
        <v>43</v>
      </c>
      <c r="G58" s="28">
        <v>13</v>
      </c>
      <c r="H58" s="20"/>
      <c r="I58" s="2">
        <f>IF(ISBLANK('kabeli i uvodnice'!G58),"",
IF('kabeli i uvodnice'!G58&lt;'rittal uvodnice'!$C$2,"PREMALEN",
IF('kabeli i uvodnice'!G58&lt;'rittal uvodnice'!$D$2,'rittal uvodnice'!$A$2,
IF('kabeli i uvodnice'!G58&lt;'rittal uvodnice'!$D$3,'rittal uvodnice'!$A$3,
IF('kabeli i uvodnice'!G58&lt;'rittal uvodnice'!$D$4,'rittal uvodnice'!$A$4,
IF('kabeli i uvodnice'!G58&lt;'rittal uvodnice'!$D$5,'rittal uvodnice'!$A$5,
IF('kabeli i uvodnice'!G58&lt;'rittal uvodnice'!$D$6,'rittal uvodnice'!$A$6,
IF('kabeli i uvodnice'!G58&lt;'rittal uvodnice'!$D$7,'rittal uvodnice'!$A$7,
IF('kabeli i uvodnice'!G58&lt;'rittal uvodnice'!$D$8,'rittal uvodnice'!$A$8,
IF('kabeli i uvodnice'!G58&lt;'rittal uvodnice'!$D$9,'rittal uvodnice'!$A$9,
"PREVELIK"))))))))))</f>
        <v>2411831</v>
      </c>
      <c r="J58" s="13" t="str">
        <f>IF(ISBLANK('kabeli i uvodnice'!G58),"",
IF('kabeli i uvodnice'!G58&lt;'rittal uvodnice'!$C$2,"PREMALEN",
IF('kabeli i uvodnice'!G58&lt;'rittal uvodnice'!$D$2,'rittal uvodnice'!$B$2,
IF('kabeli i uvodnice'!G58&lt;'rittal uvodnice'!$D$3,'rittal uvodnice'!$B$3,
IF('kabeli i uvodnice'!G58&lt;'rittal uvodnice'!$D$4,'rittal uvodnice'!$B$4,
IF('kabeli i uvodnice'!G58&lt;'rittal uvodnice'!$D$5,'rittal uvodnice'!$B$5,
IF('kabeli i uvodnice'!G58&lt;'rittal uvodnice'!$D$6,'rittal uvodnice'!$B$6,
IF('kabeli i uvodnice'!G58&lt;'rittal uvodnice'!$D$7,'rittal uvodnice'!$B$7,
IF('kabeli i uvodnice'!G58&lt;'rittal uvodnice'!$D$8,'rittal uvodnice'!$B$8,
IF('kabeli i uvodnice'!G58&lt;'rittal uvodnice'!$D$9,'rittal uvodnice'!$B$9,
"PREVELIK"))))))))))</f>
        <v>M25 x 1.5</v>
      </c>
      <c r="L58" s="6"/>
    </row>
    <row r="59" spans="1:12" x14ac:dyDescent="0.25">
      <c r="A59" s="22" t="s">
        <v>102</v>
      </c>
      <c r="B59" s="26" t="s">
        <v>202</v>
      </c>
      <c r="C59" s="26" t="s">
        <v>206</v>
      </c>
      <c r="D59" s="30"/>
      <c r="E59" s="2" t="s">
        <v>7</v>
      </c>
      <c r="F59" s="2" t="s">
        <v>43</v>
      </c>
      <c r="G59" s="28">
        <v>13</v>
      </c>
      <c r="H59" s="20"/>
      <c r="I59" s="2">
        <f>IF(ISBLANK('kabeli i uvodnice'!G59),"",
IF('kabeli i uvodnice'!G59&lt;'rittal uvodnice'!$C$2,"PREMALEN",
IF('kabeli i uvodnice'!G59&lt;'rittal uvodnice'!$D$2,'rittal uvodnice'!$A$2,
IF('kabeli i uvodnice'!G59&lt;'rittal uvodnice'!$D$3,'rittal uvodnice'!$A$3,
IF('kabeli i uvodnice'!G59&lt;'rittal uvodnice'!$D$4,'rittal uvodnice'!$A$4,
IF('kabeli i uvodnice'!G59&lt;'rittal uvodnice'!$D$5,'rittal uvodnice'!$A$5,
IF('kabeli i uvodnice'!G59&lt;'rittal uvodnice'!$D$6,'rittal uvodnice'!$A$6,
IF('kabeli i uvodnice'!G59&lt;'rittal uvodnice'!$D$7,'rittal uvodnice'!$A$7,
IF('kabeli i uvodnice'!G59&lt;'rittal uvodnice'!$D$8,'rittal uvodnice'!$A$8,
IF('kabeli i uvodnice'!G59&lt;'rittal uvodnice'!$D$9,'rittal uvodnice'!$A$9,
"PREVELIK"))))))))))</f>
        <v>2411831</v>
      </c>
      <c r="J59" s="13" t="str">
        <f>IF(ISBLANK('kabeli i uvodnice'!G59),"",
IF('kabeli i uvodnice'!G59&lt;'rittal uvodnice'!$C$2,"PREMALEN",
IF('kabeli i uvodnice'!G59&lt;'rittal uvodnice'!$D$2,'rittal uvodnice'!$B$2,
IF('kabeli i uvodnice'!G59&lt;'rittal uvodnice'!$D$3,'rittal uvodnice'!$B$3,
IF('kabeli i uvodnice'!G59&lt;'rittal uvodnice'!$D$4,'rittal uvodnice'!$B$4,
IF('kabeli i uvodnice'!G59&lt;'rittal uvodnice'!$D$5,'rittal uvodnice'!$B$5,
IF('kabeli i uvodnice'!G59&lt;'rittal uvodnice'!$D$6,'rittal uvodnice'!$B$6,
IF('kabeli i uvodnice'!G59&lt;'rittal uvodnice'!$D$7,'rittal uvodnice'!$B$7,
IF('kabeli i uvodnice'!G59&lt;'rittal uvodnice'!$D$8,'rittal uvodnice'!$B$8,
IF('kabeli i uvodnice'!G59&lt;'rittal uvodnice'!$D$9,'rittal uvodnice'!$B$9,
"PREVELIK"))))))))))</f>
        <v>M25 x 1.5</v>
      </c>
      <c r="L59" s="6"/>
    </row>
    <row r="60" spans="1:12" x14ac:dyDescent="0.25">
      <c r="A60" s="22" t="s">
        <v>103</v>
      </c>
      <c r="B60" s="26" t="s">
        <v>209</v>
      </c>
      <c r="C60" s="26" t="s">
        <v>208</v>
      </c>
      <c r="D60" s="30"/>
      <c r="E60" s="2" t="s">
        <v>7</v>
      </c>
      <c r="F60" s="2" t="s">
        <v>43</v>
      </c>
      <c r="G60" s="28">
        <v>13</v>
      </c>
      <c r="H60" s="20"/>
      <c r="I60" s="2">
        <f>IF(ISBLANK('kabeli i uvodnice'!G60),"",
IF('kabeli i uvodnice'!G60&lt;'rittal uvodnice'!$C$2,"PREMALEN",
IF('kabeli i uvodnice'!G60&lt;'rittal uvodnice'!$D$2,'rittal uvodnice'!$A$2,
IF('kabeli i uvodnice'!G60&lt;'rittal uvodnice'!$D$3,'rittal uvodnice'!$A$3,
IF('kabeli i uvodnice'!G60&lt;'rittal uvodnice'!$D$4,'rittal uvodnice'!$A$4,
IF('kabeli i uvodnice'!G60&lt;'rittal uvodnice'!$D$5,'rittal uvodnice'!$A$5,
IF('kabeli i uvodnice'!G60&lt;'rittal uvodnice'!$D$6,'rittal uvodnice'!$A$6,
IF('kabeli i uvodnice'!G60&lt;'rittal uvodnice'!$D$7,'rittal uvodnice'!$A$7,
IF('kabeli i uvodnice'!G60&lt;'rittal uvodnice'!$D$8,'rittal uvodnice'!$A$8,
IF('kabeli i uvodnice'!G60&lt;'rittal uvodnice'!$D$9,'rittal uvodnice'!$A$9,
"PREVELIK"))))))))))</f>
        <v>2411831</v>
      </c>
      <c r="J60" s="13" t="str">
        <f>IF(ISBLANK('kabeli i uvodnice'!G60),"",
IF('kabeli i uvodnice'!G60&lt;'rittal uvodnice'!$C$2,"PREMALEN",
IF('kabeli i uvodnice'!G60&lt;'rittal uvodnice'!$D$2,'rittal uvodnice'!$B$2,
IF('kabeli i uvodnice'!G60&lt;'rittal uvodnice'!$D$3,'rittal uvodnice'!$B$3,
IF('kabeli i uvodnice'!G60&lt;'rittal uvodnice'!$D$4,'rittal uvodnice'!$B$4,
IF('kabeli i uvodnice'!G60&lt;'rittal uvodnice'!$D$5,'rittal uvodnice'!$B$5,
IF('kabeli i uvodnice'!G60&lt;'rittal uvodnice'!$D$6,'rittal uvodnice'!$B$6,
IF('kabeli i uvodnice'!G60&lt;'rittal uvodnice'!$D$7,'rittal uvodnice'!$B$7,
IF('kabeli i uvodnice'!G60&lt;'rittal uvodnice'!$D$8,'rittal uvodnice'!$B$8,
IF('kabeli i uvodnice'!G60&lt;'rittal uvodnice'!$D$9,'rittal uvodnice'!$B$9,
"PREVELIK"))))))))))</f>
        <v>M25 x 1.5</v>
      </c>
      <c r="L60" s="6"/>
    </row>
    <row r="61" spans="1:12" x14ac:dyDescent="0.25">
      <c r="A61" s="22" t="s">
        <v>104</v>
      </c>
      <c r="B61" s="26" t="s">
        <v>204</v>
      </c>
      <c r="C61" s="26" t="s">
        <v>206</v>
      </c>
      <c r="D61" s="30"/>
      <c r="E61" s="2" t="s">
        <v>7</v>
      </c>
      <c r="F61" s="2" t="s">
        <v>43</v>
      </c>
      <c r="G61" s="28">
        <v>13</v>
      </c>
      <c r="H61" s="20"/>
      <c r="I61" s="2">
        <f>IF(ISBLANK('kabeli i uvodnice'!G61),"",
IF('kabeli i uvodnice'!G61&lt;'rittal uvodnice'!$C$2,"PREMALEN",
IF('kabeli i uvodnice'!G61&lt;'rittal uvodnice'!$D$2,'rittal uvodnice'!$A$2,
IF('kabeli i uvodnice'!G61&lt;'rittal uvodnice'!$D$3,'rittal uvodnice'!$A$3,
IF('kabeli i uvodnice'!G61&lt;'rittal uvodnice'!$D$4,'rittal uvodnice'!$A$4,
IF('kabeli i uvodnice'!G61&lt;'rittal uvodnice'!$D$5,'rittal uvodnice'!$A$5,
IF('kabeli i uvodnice'!G61&lt;'rittal uvodnice'!$D$6,'rittal uvodnice'!$A$6,
IF('kabeli i uvodnice'!G61&lt;'rittal uvodnice'!$D$7,'rittal uvodnice'!$A$7,
IF('kabeli i uvodnice'!G61&lt;'rittal uvodnice'!$D$8,'rittal uvodnice'!$A$8,
IF('kabeli i uvodnice'!G61&lt;'rittal uvodnice'!$D$9,'rittal uvodnice'!$A$9,
"PREVELIK"))))))))))</f>
        <v>2411831</v>
      </c>
      <c r="J61" s="13" t="str">
        <f>IF(ISBLANK('kabeli i uvodnice'!G61),"",
IF('kabeli i uvodnice'!G61&lt;'rittal uvodnice'!$C$2,"PREMALEN",
IF('kabeli i uvodnice'!G61&lt;'rittal uvodnice'!$D$2,'rittal uvodnice'!$B$2,
IF('kabeli i uvodnice'!G61&lt;'rittal uvodnice'!$D$3,'rittal uvodnice'!$B$3,
IF('kabeli i uvodnice'!G61&lt;'rittal uvodnice'!$D$4,'rittal uvodnice'!$B$4,
IF('kabeli i uvodnice'!G61&lt;'rittal uvodnice'!$D$5,'rittal uvodnice'!$B$5,
IF('kabeli i uvodnice'!G61&lt;'rittal uvodnice'!$D$6,'rittal uvodnice'!$B$6,
IF('kabeli i uvodnice'!G61&lt;'rittal uvodnice'!$D$7,'rittal uvodnice'!$B$7,
IF('kabeli i uvodnice'!G61&lt;'rittal uvodnice'!$D$8,'rittal uvodnice'!$B$8,
IF('kabeli i uvodnice'!G61&lt;'rittal uvodnice'!$D$9,'rittal uvodnice'!$B$9,
"PREVELIK"))))))))))</f>
        <v>M25 x 1.5</v>
      </c>
      <c r="L61" s="6"/>
    </row>
    <row r="62" spans="1:12" x14ac:dyDescent="0.25">
      <c r="A62" s="22" t="s">
        <v>105</v>
      </c>
      <c r="B62" s="26" t="s">
        <v>210</v>
      </c>
      <c r="C62" s="26" t="s">
        <v>208</v>
      </c>
      <c r="D62" s="30"/>
      <c r="E62" s="2" t="s">
        <v>7</v>
      </c>
      <c r="F62" s="2" t="s">
        <v>43</v>
      </c>
      <c r="G62" s="28">
        <v>13</v>
      </c>
      <c r="H62" s="20"/>
      <c r="I62" s="2">
        <f>IF(ISBLANK('kabeli i uvodnice'!G62),"",
IF('kabeli i uvodnice'!G62&lt;'rittal uvodnice'!$C$2,"PREMALEN",
IF('kabeli i uvodnice'!G62&lt;'rittal uvodnice'!$D$2,'rittal uvodnice'!$A$2,
IF('kabeli i uvodnice'!G62&lt;'rittal uvodnice'!$D$3,'rittal uvodnice'!$A$3,
IF('kabeli i uvodnice'!G62&lt;'rittal uvodnice'!$D$4,'rittal uvodnice'!$A$4,
IF('kabeli i uvodnice'!G62&lt;'rittal uvodnice'!$D$5,'rittal uvodnice'!$A$5,
IF('kabeli i uvodnice'!G62&lt;'rittal uvodnice'!$D$6,'rittal uvodnice'!$A$6,
IF('kabeli i uvodnice'!G62&lt;'rittal uvodnice'!$D$7,'rittal uvodnice'!$A$7,
IF('kabeli i uvodnice'!G62&lt;'rittal uvodnice'!$D$8,'rittal uvodnice'!$A$8,
IF('kabeli i uvodnice'!G62&lt;'rittal uvodnice'!$D$9,'rittal uvodnice'!$A$9,
"PREVELIK"))))))))))</f>
        <v>2411831</v>
      </c>
      <c r="J62" s="13" t="str">
        <f>IF(ISBLANK('kabeli i uvodnice'!G62),"",
IF('kabeli i uvodnice'!G62&lt;'rittal uvodnice'!$C$2,"PREMALEN",
IF('kabeli i uvodnice'!G62&lt;'rittal uvodnice'!$D$2,'rittal uvodnice'!$B$2,
IF('kabeli i uvodnice'!G62&lt;'rittal uvodnice'!$D$3,'rittal uvodnice'!$B$3,
IF('kabeli i uvodnice'!G62&lt;'rittal uvodnice'!$D$4,'rittal uvodnice'!$B$4,
IF('kabeli i uvodnice'!G62&lt;'rittal uvodnice'!$D$5,'rittal uvodnice'!$B$5,
IF('kabeli i uvodnice'!G62&lt;'rittal uvodnice'!$D$6,'rittal uvodnice'!$B$6,
IF('kabeli i uvodnice'!G62&lt;'rittal uvodnice'!$D$7,'rittal uvodnice'!$B$7,
IF('kabeli i uvodnice'!G62&lt;'rittal uvodnice'!$D$8,'rittal uvodnice'!$B$8,
IF('kabeli i uvodnice'!G62&lt;'rittal uvodnice'!$D$9,'rittal uvodnice'!$B$9,
"PREVELIK"))))))))))</f>
        <v>M25 x 1.5</v>
      </c>
      <c r="L62" s="6"/>
    </row>
    <row r="63" spans="1:12" x14ac:dyDescent="0.25">
      <c r="A63" s="22" t="s">
        <v>106</v>
      </c>
      <c r="B63" s="26" t="s">
        <v>211</v>
      </c>
      <c r="C63" s="26" t="s">
        <v>212</v>
      </c>
      <c r="D63" s="30"/>
      <c r="E63" s="2" t="s">
        <v>5</v>
      </c>
      <c r="F63" s="2" t="s">
        <v>38</v>
      </c>
      <c r="G63" s="28">
        <v>12</v>
      </c>
      <c r="H63" s="20"/>
      <c r="I63" s="2">
        <f>IF(ISBLANK('kabeli i uvodnice'!G63),"",
IF('kabeli i uvodnice'!G63&lt;'rittal uvodnice'!$C$2,"PREMALEN",
IF('kabeli i uvodnice'!G63&lt;'rittal uvodnice'!$D$2,'rittal uvodnice'!$A$2,
IF('kabeli i uvodnice'!G63&lt;'rittal uvodnice'!$D$3,'rittal uvodnice'!$A$3,
IF('kabeli i uvodnice'!G63&lt;'rittal uvodnice'!$D$4,'rittal uvodnice'!$A$4,
IF('kabeli i uvodnice'!G63&lt;'rittal uvodnice'!$D$5,'rittal uvodnice'!$A$5,
IF('kabeli i uvodnice'!G63&lt;'rittal uvodnice'!$D$6,'rittal uvodnice'!$A$6,
IF('kabeli i uvodnice'!G63&lt;'rittal uvodnice'!$D$7,'rittal uvodnice'!$A$7,
IF('kabeli i uvodnice'!G63&lt;'rittal uvodnice'!$D$8,'rittal uvodnice'!$A$8,
IF('kabeli i uvodnice'!G63&lt;'rittal uvodnice'!$D$9,'rittal uvodnice'!$A$9,
"PREVELIK"))))))))))</f>
        <v>2411831</v>
      </c>
      <c r="J63" s="13" t="str">
        <f>IF(ISBLANK('kabeli i uvodnice'!G63),"",
IF('kabeli i uvodnice'!G63&lt;'rittal uvodnice'!$C$2,"PREMALEN",
IF('kabeli i uvodnice'!G63&lt;'rittal uvodnice'!$D$2,'rittal uvodnice'!$B$2,
IF('kabeli i uvodnice'!G63&lt;'rittal uvodnice'!$D$3,'rittal uvodnice'!$B$3,
IF('kabeli i uvodnice'!G63&lt;'rittal uvodnice'!$D$4,'rittal uvodnice'!$B$4,
IF('kabeli i uvodnice'!G63&lt;'rittal uvodnice'!$D$5,'rittal uvodnice'!$B$5,
IF('kabeli i uvodnice'!G63&lt;'rittal uvodnice'!$D$6,'rittal uvodnice'!$B$6,
IF('kabeli i uvodnice'!G63&lt;'rittal uvodnice'!$D$7,'rittal uvodnice'!$B$7,
IF('kabeli i uvodnice'!G63&lt;'rittal uvodnice'!$D$8,'rittal uvodnice'!$B$8,
IF('kabeli i uvodnice'!G63&lt;'rittal uvodnice'!$D$9,'rittal uvodnice'!$B$9,
"PREVELIK"))))))))))</f>
        <v>M25 x 1.5</v>
      </c>
      <c r="L63" s="6"/>
    </row>
    <row r="64" spans="1:12" x14ac:dyDescent="0.25">
      <c r="A64" s="22" t="s">
        <v>107</v>
      </c>
      <c r="B64" s="26" t="s">
        <v>211</v>
      </c>
      <c r="C64" s="26" t="s">
        <v>213</v>
      </c>
      <c r="D64" s="30"/>
      <c r="E64" s="2" t="s">
        <v>5</v>
      </c>
      <c r="F64" s="2" t="s">
        <v>38</v>
      </c>
      <c r="G64" s="28">
        <v>12</v>
      </c>
      <c r="H64" s="20"/>
      <c r="I64" s="2">
        <f>IF(ISBLANK('kabeli i uvodnice'!G64),"",
IF('kabeli i uvodnice'!G64&lt;'rittal uvodnice'!$C$2,"PREMALEN",
IF('kabeli i uvodnice'!G64&lt;'rittal uvodnice'!$D$2,'rittal uvodnice'!$A$2,
IF('kabeli i uvodnice'!G64&lt;'rittal uvodnice'!$D$3,'rittal uvodnice'!$A$3,
IF('kabeli i uvodnice'!G64&lt;'rittal uvodnice'!$D$4,'rittal uvodnice'!$A$4,
IF('kabeli i uvodnice'!G64&lt;'rittal uvodnice'!$D$5,'rittal uvodnice'!$A$5,
IF('kabeli i uvodnice'!G64&lt;'rittal uvodnice'!$D$6,'rittal uvodnice'!$A$6,
IF('kabeli i uvodnice'!G64&lt;'rittal uvodnice'!$D$7,'rittal uvodnice'!$A$7,
IF('kabeli i uvodnice'!G64&lt;'rittal uvodnice'!$D$8,'rittal uvodnice'!$A$8,
IF('kabeli i uvodnice'!G64&lt;'rittal uvodnice'!$D$9,'rittal uvodnice'!$A$9,
"PREVELIK"))))))))))</f>
        <v>2411831</v>
      </c>
      <c r="J64" s="13" t="str">
        <f>IF(ISBLANK('kabeli i uvodnice'!G64),"",
IF('kabeli i uvodnice'!G64&lt;'rittal uvodnice'!$C$2,"PREMALEN",
IF('kabeli i uvodnice'!G64&lt;'rittal uvodnice'!$D$2,'rittal uvodnice'!$B$2,
IF('kabeli i uvodnice'!G64&lt;'rittal uvodnice'!$D$3,'rittal uvodnice'!$B$3,
IF('kabeli i uvodnice'!G64&lt;'rittal uvodnice'!$D$4,'rittal uvodnice'!$B$4,
IF('kabeli i uvodnice'!G64&lt;'rittal uvodnice'!$D$5,'rittal uvodnice'!$B$5,
IF('kabeli i uvodnice'!G64&lt;'rittal uvodnice'!$D$6,'rittal uvodnice'!$B$6,
IF('kabeli i uvodnice'!G64&lt;'rittal uvodnice'!$D$7,'rittal uvodnice'!$B$7,
IF('kabeli i uvodnice'!G64&lt;'rittal uvodnice'!$D$8,'rittal uvodnice'!$B$8,
IF('kabeli i uvodnice'!G64&lt;'rittal uvodnice'!$D$9,'rittal uvodnice'!$B$9,
"PREVELIK"))))))))))</f>
        <v>M25 x 1.5</v>
      </c>
      <c r="L64" s="6"/>
    </row>
    <row r="65" spans="1:12" x14ac:dyDescent="0.25">
      <c r="A65" s="22" t="s">
        <v>108</v>
      </c>
      <c r="B65" s="26" t="s">
        <v>214</v>
      </c>
      <c r="C65" s="26" t="s">
        <v>182</v>
      </c>
      <c r="D65" s="30"/>
      <c r="E65" s="2" t="s">
        <v>6</v>
      </c>
      <c r="F65" s="2" t="s">
        <v>42</v>
      </c>
      <c r="G65" s="28">
        <v>11.3</v>
      </c>
      <c r="H65" s="20"/>
      <c r="I65" s="2">
        <f>IF(ISBLANK('kabeli i uvodnice'!G65),"",
IF('kabeli i uvodnice'!G65&lt;'rittal uvodnice'!$C$2,"PREMALEN",
IF('kabeli i uvodnice'!G65&lt;'rittal uvodnice'!$D$2,'rittal uvodnice'!$A$2,
IF('kabeli i uvodnice'!G65&lt;'rittal uvodnice'!$D$3,'rittal uvodnice'!$A$3,
IF('kabeli i uvodnice'!G65&lt;'rittal uvodnice'!$D$4,'rittal uvodnice'!$A$4,
IF('kabeli i uvodnice'!G65&lt;'rittal uvodnice'!$D$5,'rittal uvodnice'!$A$5,
IF('kabeli i uvodnice'!G65&lt;'rittal uvodnice'!$D$6,'rittal uvodnice'!$A$6,
IF('kabeli i uvodnice'!G65&lt;'rittal uvodnice'!$D$7,'rittal uvodnice'!$A$7,
IF('kabeli i uvodnice'!G65&lt;'rittal uvodnice'!$D$8,'rittal uvodnice'!$A$8,
IF('kabeli i uvodnice'!G65&lt;'rittal uvodnice'!$D$9,'rittal uvodnice'!$A$9,
"PREVELIK"))))))))))</f>
        <v>2411821</v>
      </c>
      <c r="J65" s="13" t="str">
        <f>IF(ISBLANK('kabeli i uvodnice'!G65),"",
IF('kabeli i uvodnice'!G65&lt;'rittal uvodnice'!$C$2,"PREMALEN",
IF('kabeli i uvodnice'!G65&lt;'rittal uvodnice'!$D$2,'rittal uvodnice'!$B$2,
IF('kabeli i uvodnice'!G65&lt;'rittal uvodnice'!$D$3,'rittal uvodnice'!$B$3,
IF('kabeli i uvodnice'!G65&lt;'rittal uvodnice'!$D$4,'rittal uvodnice'!$B$4,
IF('kabeli i uvodnice'!G65&lt;'rittal uvodnice'!$D$5,'rittal uvodnice'!$B$5,
IF('kabeli i uvodnice'!G65&lt;'rittal uvodnice'!$D$6,'rittal uvodnice'!$B$6,
IF('kabeli i uvodnice'!G65&lt;'rittal uvodnice'!$D$7,'rittal uvodnice'!$B$7,
IF('kabeli i uvodnice'!G65&lt;'rittal uvodnice'!$D$8,'rittal uvodnice'!$B$8,
IF('kabeli i uvodnice'!G65&lt;'rittal uvodnice'!$D$9,'rittal uvodnice'!$B$9,
"PREVELIK"))))))))))</f>
        <v>M20 x 1.5</v>
      </c>
      <c r="L65" s="6"/>
    </row>
    <row r="66" spans="1:12" x14ac:dyDescent="0.25">
      <c r="A66" s="22" t="s">
        <v>109</v>
      </c>
      <c r="B66" s="26" t="s">
        <v>214</v>
      </c>
      <c r="C66" s="26" t="s">
        <v>215</v>
      </c>
      <c r="D66" s="30"/>
      <c r="E66" s="2" t="s">
        <v>7</v>
      </c>
      <c r="F66" s="2" t="s">
        <v>33</v>
      </c>
      <c r="G66" s="28">
        <v>7.5</v>
      </c>
      <c r="H66" s="20"/>
      <c r="I66" s="2">
        <f>IF(ISBLANK('kabeli i uvodnice'!G66),"",
IF('kabeli i uvodnice'!G66&lt;'rittal uvodnice'!$C$2,"PREMALEN",
IF('kabeli i uvodnice'!G66&lt;'rittal uvodnice'!$D$2,'rittal uvodnice'!$A$2,
IF('kabeli i uvodnice'!G66&lt;'rittal uvodnice'!$D$3,'rittal uvodnice'!$A$3,
IF('kabeli i uvodnice'!G66&lt;'rittal uvodnice'!$D$4,'rittal uvodnice'!$A$4,
IF('kabeli i uvodnice'!G66&lt;'rittal uvodnice'!$D$5,'rittal uvodnice'!$A$5,
IF('kabeli i uvodnice'!G66&lt;'rittal uvodnice'!$D$6,'rittal uvodnice'!$A$6,
IF('kabeli i uvodnice'!G66&lt;'rittal uvodnice'!$D$7,'rittal uvodnice'!$A$7,
IF('kabeli i uvodnice'!G66&lt;'rittal uvodnice'!$D$8,'rittal uvodnice'!$A$8,
IF('kabeli i uvodnice'!G66&lt;'rittal uvodnice'!$D$9,'rittal uvodnice'!$A$9,
"PREVELIK"))))))))))</f>
        <v>2411811</v>
      </c>
      <c r="J66" s="13" t="str">
        <f>IF(ISBLANK('kabeli i uvodnice'!G66),"",
IF('kabeli i uvodnice'!G66&lt;'rittal uvodnice'!$C$2,"PREMALEN",
IF('kabeli i uvodnice'!G66&lt;'rittal uvodnice'!$D$2,'rittal uvodnice'!$B$2,
IF('kabeli i uvodnice'!G66&lt;'rittal uvodnice'!$D$3,'rittal uvodnice'!$B$3,
IF('kabeli i uvodnice'!G66&lt;'rittal uvodnice'!$D$4,'rittal uvodnice'!$B$4,
IF('kabeli i uvodnice'!G66&lt;'rittal uvodnice'!$D$5,'rittal uvodnice'!$B$5,
IF('kabeli i uvodnice'!G66&lt;'rittal uvodnice'!$D$6,'rittal uvodnice'!$B$6,
IF('kabeli i uvodnice'!G66&lt;'rittal uvodnice'!$D$7,'rittal uvodnice'!$B$7,
IF('kabeli i uvodnice'!G66&lt;'rittal uvodnice'!$D$8,'rittal uvodnice'!$B$8,
IF('kabeli i uvodnice'!G66&lt;'rittal uvodnice'!$D$9,'rittal uvodnice'!$B$9,
"PREVELIK"))))))))))</f>
        <v>M16 x 1.5</v>
      </c>
      <c r="L66" s="6"/>
    </row>
    <row r="67" spans="1:12" x14ac:dyDescent="0.25">
      <c r="A67" s="22" t="s">
        <v>110</v>
      </c>
      <c r="B67" s="26" t="s">
        <v>214</v>
      </c>
      <c r="C67" s="26" t="s">
        <v>216</v>
      </c>
      <c r="D67" s="30"/>
      <c r="E67" s="2" t="s">
        <v>7</v>
      </c>
      <c r="F67" s="2" t="s">
        <v>33</v>
      </c>
      <c r="G67" s="28">
        <v>7.5</v>
      </c>
      <c r="H67" s="20"/>
      <c r="I67" s="2">
        <f>IF(ISBLANK('kabeli i uvodnice'!G67),"",
IF('kabeli i uvodnice'!G67&lt;'rittal uvodnice'!$C$2,"PREMALEN",
IF('kabeli i uvodnice'!G67&lt;'rittal uvodnice'!$D$2,'rittal uvodnice'!$A$2,
IF('kabeli i uvodnice'!G67&lt;'rittal uvodnice'!$D$3,'rittal uvodnice'!$A$3,
IF('kabeli i uvodnice'!G67&lt;'rittal uvodnice'!$D$4,'rittal uvodnice'!$A$4,
IF('kabeli i uvodnice'!G67&lt;'rittal uvodnice'!$D$5,'rittal uvodnice'!$A$5,
IF('kabeli i uvodnice'!G67&lt;'rittal uvodnice'!$D$6,'rittal uvodnice'!$A$6,
IF('kabeli i uvodnice'!G67&lt;'rittal uvodnice'!$D$7,'rittal uvodnice'!$A$7,
IF('kabeli i uvodnice'!G67&lt;'rittal uvodnice'!$D$8,'rittal uvodnice'!$A$8,
IF('kabeli i uvodnice'!G67&lt;'rittal uvodnice'!$D$9,'rittal uvodnice'!$A$9,
"PREVELIK"))))))))))</f>
        <v>2411811</v>
      </c>
      <c r="J67" s="13" t="str">
        <f>IF(ISBLANK('kabeli i uvodnice'!G67),"",
IF('kabeli i uvodnice'!G67&lt;'rittal uvodnice'!$C$2,"PREMALEN",
IF('kabeli i uvodnice'!G67&lt;'rittal uvodnice'!$D$2,'rittal uvodnice'!$B$2,
IF('kabeli i uvodnice'!G67&lt;'rittal uvodnice'!$D$3,'rittal uvodnice'!$B$3,
IF('kabeli i uvodnice'!G67&lt;'rittal uvodnice'!$D$4,'rittal uvodnice'!$B$4,
IF('kabeli i uvodnice'!G67&lt;'rittal uvodnice'!$D$5,'rittal uvodnice'!$B$5,
IF('kabeli i uvodnice'!G67&lt;'rittal uvodnice'!$D$6,'rittal uvodnice'!$B$6,
IF('kabeli i uvodnice'!G67&lt;'rittal uvodnice'!$D$7,'rittal uvodnice'!$B$7,
IF('kabeli i uvodnice'!G67&lt;'rittal uvodnice'!$D$8,'rittal uvodnice'!$B$8,
IF('kabeli i uvodnice'!G67&lt;'rittal uvodnice'!$D$9,'rittal uvodnice'!$B$9,
"PREVELIK"))))))))))</f>
        <v>M16 x 1.5</v>
      </c>
      <c r="L67" s="6"/>
    </row>
    <row r="68" spans="1:12" x14ac:dyDescent="0.25">
      <c r="A68" s="22" t="s">
        <v>111</v>
      </c>
      <c r="B68" s="26" t="s">
        <v>214</v>
      </c>
      <c r="C68" s="26" t="s">
        <v>217</v>
      </c>
      <c r="D68" s="30"/>
      <c r="E68" s="2" t="s">
        <v>7</v>
      </c>
      <c r="F68" s="2" t="s">
        <v>33</v>
      </c>
      <c r="G68" s="28">
        <v>7.5</v>
      </c>
      <c r="H68" s="20"/>
      <c r="I68" s="2">
        <f>IF(ISBLANK('kabeli i uvodnice'!G68),"",
IF('kabeli i uvodnice'!G68&lt;'rittal uvodnice'!$C$2,"PREMALEN",
IF('kabeli i uvodnice'!G68&lt;'rittal uvodnice'!$D$2,'rittal uvodnice'!$A$2,
IF('kabeli i uvodnice'!G68&lt;'rittal uvodnice'!$D$3,'rittal uvodnice'!$A$3,
IF('kabeli i uvodnice'!G68&lt;'rittal uvodnice'!$D$4,'rittal uvodnice'!$A$4,
IF('kabeli i uvodnice'!G68&lt;'rittal uvodnice'!$D$5,'rittal uvodnice'!$A$5,
IF('kabeli i uvodnice'!G68&lt;'rittal uvodnice'!$D$6,'rittal uvodnice'!$A$6,
IF('kabeli i uvodnice'!G68&lt;'rittal uvodnice'!$D$7,'rittal uvodnice'!$A$7,
IF('kabeli i uvodnice'!G68&lt;'rittal uvodnice'!$D$8,'rittal uvodnice'!$A$8,
IF('kabeli i uvodnice'!G68&lt;'rittal uvodnice'!$D$9,'rittal uvodnice'!$A$9,
"PREVELIK"))))))))))</f>
        <v>2411811</v>
      </c>
      <c r="J68" s="13" t="str">
        <f>IF(ISBLANK('kabeli i uvodnice'!G68),"",
IF('kabeli i uvodnice'!G68&lt;'rittal uvodnice'!$C$2,"PREMALEN",
IF('kabeli i uvodnice'!G68&lt;'rittal uvodnice'!$D$2,'rittal uvodnice'!$B$2,
IF('kabeli i uvodnice'!G68&lt;'rittal uvodnice'!$D$3,'rittal uvodnice'!$B$3,
IF('kabeli i uvodnice'!G68&lt;'rittal uvodnice'!$D$4,'rittal uvodnice'!$B$4,
IF('kabeli i uvodnice'!G68&lt;'rittal uvodnice'!$D$5,'rittal uvodnice'!$B$5,
IF('kabeli i uvodnice'!G68&lt;'rittal uvodnice'!$D$6,'rittal uvodnice'!$B$6,
IF('kabeli i uvodnice'!G68&lt;'rittal uvodnice'!$D$7,'rittal uvodnice'!$B$7,
IF('kabeli i uvodnice'!G68&lt;'rittal uvodnice'!$D$8,'rittal uvodnice'!$B$8,
IF('kabeli i uvodnice'!G68&lt;'rittal uvodnice'!$D$9,'rittal uvodnice'!$B$9,
"PREVELIK"))))))))))</f>
        <v>M16 x 1.5</v>
      </c>
      <c r="L68" s="6"/>
    </row>
    <row r="69" spans="1:12" x14ac:dyDescent="0.25">
      <c r="A69" s="22" t="s">
        <v>112</v>
      </c>
      <c r="B69" s="26" t="s">
        <v>214</v>
      </c>
      <c r="C69" s="26" t="s">
        <v>218</v>
      </c>
      <c r="D69" s="30"/>
      <c r="E69" s="2" t="s">
        <v>7</v>
      </c>
      <c r="F69" s="2" t="s">
        <v>33</v>
      </c>
      <c r="G69" s="28">
        <v>7.5</v>
      </c>
      <c r="H69" s="20"/>
      <c r="I69" s="2">
        <f>IF(ISBLANK('kabeli i uvodnice'!G69),"",
IF('kabeli i uvodnice'!G69&lt;'rittal uvodnice'!$C$2,"PREMALEN",
IF('kabeli i uvodnice'!G69&lt;'rittal uvodnice'!$D$2,'rittal uvodnice'!$A$2,
IF('kabeli i uvodnice'!G69&lt;'rittal uvodnice'!$D$3,'rittal uvodnice'!$A$3,
IF('kabeli i uvodnice'!G69&lt;'rittal uvodnice'!$D$4,'rittal uvodnice'!$A$4,
IF('kabeli i uvodnice'!G69&lt;'rittal uvodnice'!$D$5,'rittal uvodnice'!$A$5,
IF('kabeli i uvodnice'!G69&lt;'rittal uvodnice'!$D$6,'rittal uvodnice'!$A$6,
IF('kabeli i uvodnice'!G69&lt;'rittal uvodnice'!$D$7,'rittal uvodnice'!$A$7,
IF('kabeli i uvodnice'!G69&lt;'rittal uvodnice'!$D$8,'rittal uvodnice'!$A$8,
IF('kabeli i uvodnice'!G69&lt;'rittal uvodnice'!$D$9,'rittal uvodnice'!$A$9,
"PREVELIK"))))))))))</f>
        <v>2411811</v>
      </c>
      <c r="J69" s="13" t="str">
        <f>IF(ISBLANK('kabeli i uvodnice'!G69),"",
IF('kabeli i uvodnice'!G69&lt;'rittal uvodnice'!$C$2,"PREMALEN",
IF('kabeli i uvodnice'!G69&lt;'rittal uvodnice'!$D$2,'rittal uvodnice'!$B$2,
IF('kabeli i uvodnice'!G69&lt;'rittal uvodnice'!$D$3,'rittal uvodnice'!$B$3,
IF('kabeli i uvodnice'!G69&lt;'rittal uvodnice'!$D$4,'rittal uvodnice'!$B$4,
IF('kabeli i uvodnice'!G69&lt;'rittal uvodnice'!$D$5,'rittal uvodnice'!$B$5,
IF('kabeli i uvodnice'!G69&lt;'rittal uvodnice'!$D$6,'rittal uvodnice'!$B$6,
IF('kabeli i uvodnice'!G69&lt;'rittal uvodnice'!$D$7,'rittal uvodnice'!$B$7,
IF('kabeli i uvodnice'!G69&lt;'rittal uvodnice'!$D$8,'rittal uvodnice'!$B$8,
IF('kabeli i uvodnice'!G69&lt;'rittal uvodnice'!$D$9,'rittal uvodnice'!$B$9,
"PREVELIK"))))))))))</f>
        <v>M16 x 1.5</v>
      </c>
      <c r="L69" s="6"/>
    </row>
    <row r="70" spans="1:12" x14ac:dyDescent="0.25">
      <c r="A70" s="22" t="s">
        <v>113</v>
      </c>
      <c r="B70" s="26" t="s">
        <v>214</v>
      </c>
      <c r="C70" s="26" t="s">
        <v>212</v>
      </c>
      <c r="D70" s="30"/>
      <c r="E70" s="2" t="s">
        <v>7</v>
      </c>
      <c r="F70" s="2" t="s">
        <v>33</v>
      </c>
      <c r="G70" s="28">
        <v>7.5</v>
      </c>
      <c r="H70" s="20"/>
      <c r="I70" s="2">
        <f>IF(ISBLANK('kabeli i uvodnice'!G70),"",
IF('kabeli i uvodnice'!G70&lt;'rittal uvodnice'!$C$2,"PREMALEN",
IF('kabeli i uvodnice'!G70&lt;'rittal uvodnice'!$D$2,'rittal uvodnice'!$A$2,
IF('kabeli i uvodnice'!G70&lt;'rittal uvodnice'!$D$3,'rittal uvodnice'!$A$3,
IF('kabeli i uvodnice'!G70&lt;'rittal uvodnice'!$D$4,'rittal uvodnice'!$A$4,
IF('kabeli i uvodnice'!G70&lt;'rittal uvodnice'!$D$5,'rittal uvodnice'!$A$5,
IF('kabeli i uvodnice'!G70&lt;'rittal uvodnice'!$D$6,'rittal uvodnice'!$A$6,
IF('kabeli i uvodnice'!G70&lt;'rittal uvodnice'!$D$7,'rittal uvodnice'!$A$7,
IF('kabeli i uvodnice'!G70&lt;'rittal uvodnice'!$D$8,'rittal uvodnice'!$A$8,
IF('kabeli i uvodnice'!G70&lt;'rittal uvodnice'!$D$9,'rittal uvodnice'!$A$9,
"PREVELIK"))))))))))</f>
        <v>2411811</v>
      </c>
      <c r="J70" s="13" t="str">
        <f>IF(ISBLANK('kabeli i uvodnice'!G70),"",
IF('kabeli i uvodnice'!G70&lt;'rittal uvodnice'!$C$2,"PREMALEN",
IF('kabeli i uvodnice'!G70&lt;'rittal uvodnice'!$D$2,'rittal uvodnice'!$B$2,
IF('kabeli i uvodnice'!G70&lt;'rittal uvodnice'!$D$3,'rittal uvodnice'!$B$3,
IF('kabeli i uvodnice'!G70&lt;'rittal uvodnice'!$D$4,'rittal uvodnice'!$B$4,
IF('kabeli i uvodnice'!G70&lt;'rittal uvodnice'!$D$5,'rittal uvodnice'!$B$5,
IF('kabeli i uvodnice'!G70&lt;'rittal uvodnice'!$D$6,'rittal uvodnice'!$B$6,
IF('kabeli i uvodnice'!G70&lt;'rittal uvodnice'!$D$7,'rittal uvodnice'!$B$7,
IF('kabeli i uvodnice'!G70&lt;'rittal uvodnice'!$D$8,'rittal uvodnice'!$B$8,
IF('kabeli i uvodnice'!G70&lt;'rittal uvodnice'!$D$9,'rittal uvodnice'!$B$9,
"PREVELIK"))))))))))</f>
        <v>M16 x 1.5</v>
      </c>
      <c r="L70" s="6"/>
    </row>
    <row r="71" spans="1:12" x14ac:dyDescent="0.25">
      <c r="A71" s="22" t="s">
        <v>114</v>
      </c>
      <c r="B71" s="26" t="s">
        <v>214</v>
      </c>
      <c r="C71" s="26" t="s">
        <v>219</v>
      </c>
      <c r="D71" s="30"/>
      <c r="E71" s="2" t="s">
        <v>7</v>
      </c>
      <c r="F71" s="2" t="s">
        <v>33</v>
      </c>
      <c r="G71" s="28">
        <v>7.5</v>
      </c>
      <c r="H71" s="20"/>
      <c r="I71" s="2">
        <f>IF(ISBLANK('kabeli i uvodnice'!G71),"",
IF('kabeli i uvodnice'!G71&lt;'rittal uvodnice'!$C$2,"PREMALEN",
IF('kabeli i uvodnice'!G71&lt;'rittal uvodnice'!$D$2,'rittal uvodnice'!$A$2,
IF('kabeli i uvodnice'!G71&lt;'rittal uvodnice'!$D$3,'rittal uvodnice'!$A$3,
IF('kabeli i uvodnice'!G71&lt;'rittal uvodnice'!$D$4,'rittal uvodnice'!$A$4,
IF('kabeli i uvodnice'!G71&lt;'rittal uvodnice'!$D$5,'rittal uvodnice'!$A$5,
IF('kabeli i uvodnice'!G71&lt;'rittal uvodnice'!$D$6,'rittal uvodnice'!$A$6,
IF('kabeli i uvodnice'!G71&lt;'rittal uvodnice'!$D$7,'rittal uvodnice'!$A$7,
IF('kabeli i uvodnice'!G71&lt;'rittal uvodnice'!$D$8,'rittal uvodnice'!$A$8,
IF('kabeli i uvodnice'!G71&lt;'rittal uvodnice'!$D$9,'rittal uvodnice'!$A$9,
"PREVELIK"))))))))))</f>
        <v>2411811</v>
      </c>
      <c r="J71" s="13" t="str">
        <f>IF(ISBLANK('kabeli i uvodnice'!G71),"",
IF('kabeli i uvodnice'!G71&lt;'rittal uvodnice'!$C$2,"PREMALEN",
IF('kabeli i uvodnice'!G71&lt;'rittal uvodnice'!$D$2,'rittal uvodnice'!$B$2,
IF('kabeli i uvodnice'!G71&lt;'rittal uvodnice'!$D$3,'rittal uvodnice'!$B$3,
IF('kabeli i uvodnice'!G71&lt;'rittal uvodnice'!$D$4,'rittal uvodnice'!$B$4,
IF('kabeli i uvodnice'!G71&lt;'rittal uvodnice'!$D$5,'rittal uvodnice'!$B$5,
IF('kabeli i uvodnice'!G71&lt;'rittal uvodnice'!$D$6,'rittal uvodnice'!$B$6,
IF('kabeli i uvodnice'!G71&lt;'rittal uvodnice'!$D$7,'rittal uvodnice'!$B$7,
IF('kabeli i uvodnice'!G71&lt;'rittal uvodnice'!$D$8,'rittal uvodnice'!$B$8,
IF('kabeli i uvodnice'!G71&lt;'rittal uvodnice'!$D$9,'rittal uvodnice'!$B$9,
"PREVELIK"))))))))))</f>
        <v>M16 x 1.5</v>
      </c>
      <c r="L71" s="6"/>
    </row>
    <row r="72" spans="1:12" x14ac:dyDescent="0.25">
      <c r="A72" s="22" t="s">
        <v>115</v>
      </c>
      <c r="B72" s="26" t="s">
        <v>214</v>
      </c>
      <c r="C72" s="26" t="s">
        <v>220</v>
      </c>
      <c r="D72" s="30"/>
      <c r="E72" s="2" t="s">
        <v>7</v>
      </c>
      <c r="F72" s="2" t="s">
        <v>33</v>
      </c>
      <c r="G72" s="28">
        <v>7.5</v>
      </c>
      <c r="H72" s="20"/>
      <c r="I72" s="2">
        <f>IF(ISBLANK('kabeli i uvodnice'!G72),"",
IF('kabeli i uvodnice'!G72&lt;'rittal uvodnice'!$C$2,"PREMALEN",
IF('kabeli i uvodnice'!G72&lt;'rittal uvodnice'!$D$2,'rittal uvodnice'!$A$2,
IF('kabeli i uvodnice'!G72&lt;'rittal uvodnice'!$D$3,'rittal uvodnice'!$A$3,
IF('kabeli i uvodnice'!G72&lt;'rittal uvodnice'!$D$4,'rittal uvodnice'!$A$4,
IF('kabeli i uvodnice'!G72&lt;'rittal uvodnice'!$D$5,'rittal uvodnice'!$A$5,
IF('kabeli i uvodnice'!G72&lt;'rittal uvodnice'!$D$6,'rittal uvodnice'!$A$6,
IF('kabeli i uvodnice'!G72&lt;'rittal uvodnice'!$D$7,'rittal uvodnice'!$A$7,
IF('kabeli i uvodnice'!G72&lt;'rittal uvodnice'!$D$8,'rittal uvodnice'!$A$8,
IF('kabeli i uvodnice'!G72&lt;'rittal uvodnice'!$D$9,'rittal uvodnice'!$A$9,
"PREVELIK"))))))))))</f>
        <v>2411811</v>
      </c>
      <c r="J72" s="13" t="str">
        <f>IF(ISBLANK('kabeli i uvodnice'!G72),"",
IF('kabeli i uvodnice'!G72&lt;'rittal uvodnice'!$C$2,"PREMALEN",
IF('kabeli i uvodnice'!G72&lt;'rittal uvodnice'!$D$2,'rittal uvodnice'!$B$2,
IF('kabeli i uvodnice'!G72&lt;'rittal uvodnice'!$D$3,'rittal uvodnice'!$B$3,
IF('kabeli i uvodnice'!G72&lt;'rittal uvodnice'!$D$4,'rittal uvodnice'!$B$4,
IF('kabeli i uvodnice'!G72&lt;'rittal uvodnice'!$D$5,'rittal uvodnice'!$B$5,
IF('kabeli i uvodnice'!G72&lt;'rittal uvodnice'!$D$6,'rittal uvodnice'!$B$6,
IF('kabeli i uvodnice'!G72&lt;'rittal uvodnice'!$D$7,'rittal uvodnice'!$B$7,
IF('kabeli i uvodnice'!G72&lt;'rittal uvodnice'!$D$8,'rittal uvodnice'!$B$8,
IF('kabeli i uvodnice'!G72&lt;'rittal uvodnice'!$D$9,'rittal uvodnice'!$B$9,
"PREVELIK"))))))))))</f>
        <v>M16 x 1.5</v>
      </c>
      <c r="L72" s="6"/>
    </row>
    <row r="73" spans="1:12" x14ac:dyDescent="0.25">
      <c r="A73" s="22" t="s">
        <v>116</v>
      </c>
      <c r="B73" s="26" t="s">
        <v>214</v>
      </c>
      <c r="C73" s="26" t="s">
        <v>221</v>
      </c>
      <c r="D73" s="30"/>
      <c r="E73" s="2" t="s">
        <v>7</v>
      </c>
      <c r="F73" s="2" t="s">
        <v>33</v>
      </c>
      <c r="G73" s="28">
        <v>7.5</v>
      </c>
      <c r="H73" s="20"/>
      <c r="I73" s="2">
        <f>IF(ISBLANK('kabeli i uvodnice'!G73),"",
IF('kabeli i uvodnice'!G73&lt;'rittal uvodnice'!$C$2,"PREMALEN",
IF('kabeli i uvodnice'!G73&lt;'rittal uvodnice'!$D$2,'rittal uvodnice'!$A$2,
IF('kabeli i uvodnice'!G73&lt;'rittal uvodnice'!$D$3,'rittal uvodnice'!$A$3,
IF('kabeli i uvodnice'!G73&lt;'rittal uvodnice'!$D$4,'rittal uvodnice'!$A$4,
IF('kabeli i uvodnice'!G73&lt;'rittal uvodnice'!$D$5,'rittal uvodnice'!$A$5,
IF('kabeli i uvodnice'!G73&lt;'rittal uvodnice'!$D$6,'rittal uvodnice'!$A$6,
IF('kabeli i uvodnice'!G73&lt;'rittal uvodnice'!$D$7,'rittal uvodnice'!$A$7,
IF('kabeli i uvodnice'!G73&lt;'rittal uvodnice'!$D$8,'rittal uvodnice'!$A$8,
IF('kabeli i uvodnice'!G73&lt;'rittal uvodnice'!$D$9,'rittal uvodnice'!$A$9,
"PREVELIK"))))))))))</f>
        <v>2411811</v>
      </c>
      <c r="J73" s="13" t="str">
        <f>IF(ISBLANK('kabeli i uvodnice'!G73),"",
IF('kabeli i uvodnice'!G73&lt;'rittal uvodnice'!$C$2,"PREMALEN",
IF('kabeli i uvodnice'!G73&lt;'rittal uvodnice'!$D$2,'rittal uvodnice'!$B$2,
IF('kabeli i uvodnice'!G73&lt;'rittal uvodnice'!$D$3,'rittal uvodnice'!$B$3,
IF('kabeli i uvodnice'!G73&lt;'rittal uvodnice'!$D$4,'rittal uvodnice'!$B$4,
IF('kabeli i uvodnice'!G73&lt;'rittal uvodnice'!$D$5,'rittal uvodnice'!$B$5,
IF('kabeli i uvodnice'!G73&lt;'rittal uvodnice'!$D$6,'rittal uvodnice'!$B$6,
IF('kabeli i uvodnice'!G73&lt;'rittal uvodnice'!$D$7,'rittal uvodnice'!$B$7,
IF('kabeli i uvodnice'!G73&lt;'rittal uvodnice'!$D$8,'rittal uvodnice'!$B$8,
IF('kabeli i uvodnice'!G73&lt;'rittal uvodnice'!$D$9,'rittal uvodnice'!$B$9,
"PREVELIK"))))))))))</f>
        <v>M16 x 1.5</v>
      </c>
      <c r="L73" s="6"/>
    </row>
    <row r="74" spans="1:12" x14ac:dyDescent="0.25">
      <c r="A74" s="22" t="s">
        <v>117</v>
      </c>
      <c r="B74" s="26" t="s">
        <v>214</v>
      </c>
      <c r="C74" s="26" t="s">
        <v>213</v>
      </c>
      <c r="D74" s="30"/>
      <c r="E74" s="2" t="s">
        <v>7</v>
      </c>
      <c r="F74" s="2" t="s">
        <v>33</v>
      </c>
      <c r="G74" s="28">
        <v>7.5</v>
      </c>
      <c r="H74" s="20"/>
      <c r="I74" s="2">
        <f>IF(ISBLANK('kabeli i uvodnice'!G74),"",
IF('kabeli i uvodnice'!G74&lt;'rittal uvodnice'!$C$2,"PREMALEN",
IF('kabeli i uvodnice'!G74&lt;'rittal uvodnice'!$D$2,'rittal uvodnice'!$A$2,
IF('kabeli i uvodnice'!G74&lt;'rittal uvodnice'!$D$3,'rittal uvodnice'!$A$3,
IF('kabeli i uvodnice'!G74&lt;'rittal uvodnice'!$D$4,'rittal uvodnice'!$A$4,
IF('kabeli i uvodnice'!G74&lt;'rittal uvodnice'!$D$5,'rittal uvodnice'!$A$5,
IF('kabeli i uvodnice'!G74&lt;'rittal uvodnice'!$D$6,'rittal uvodnice'!$A$6,
IF('kabeli i uvodnice'!G74&lt;'rittal uvodnice'!$D$7,'rittal uvodnice'!$A$7,
IF('kabeli i uvodnice'!G74&lt;'rittal uvodnice'!$D$8,'rittal uvodnice'!$A$8,
IF('kabeli i uvodnice'!G74&lt;'rittal uvodnice'!$D$9,'rittal uvodnice'!$A$9,
"PREVELIK"))))))))))</f>
        <v>2411811</v>
      </c>
      <c r="J74" s="13" t="str">
        <f>IF(ISBLANK('kabeli i uvodnice'!G74),"",
IF('kabeli i uvodnice'!G74&lt;'rittal uvodnice'!$C$2,"PREMALEN",
IF('kabeli i uvodnice'!G74&lt;'rittal uvodnice'!$D$2,'rittal uvodnice'!$B$2,
IF('kabeli i uvodnice'!G74&lt;'rittal uvodnice'!$D$3,'rittal uvodnice'!$B$3,
IF('kabeli i uvodnice'!G74&lt;'rittal uvodnice'!$D$4,'rittal uvodnice'!$B$4,
IF('kabeli i uvodnice'!G74&lt;'rittal uvodnice'!$D$5,'rittal uvodnice'!$B$5,
IF('kabeli i uvodnice'!G74&lt;'rittal uvodnice'!$D$6,'rittal uvodnice'!$B$6,
IF('kabeli i uvodnice'!G74&lt;'rittal uvodnice'!$D$7,'rittal uvodnice'!$B$7,
IF('kabeli i uvodnice'!G74&lt;'rittal uvodnice'!$D$8,'rittal uvodnice'!$B$8,
IF('kabeli i uvodnice'!G74&lt;'rittal uvodnice'!$D$9,'rittal uvodnice'!$B$9,
"PREVELIK"))))))))))</f>
        <v>M16 x 1.5</v>
      </c>
      <c r="L74" s="6"/>
    </row>
    <row r="75" spans="1:12" x14ac:dyDescent="0.25">
      <c r="A75" s="22" t="s">
        <v>118</v>
      </c>
      <c r="B75" s="26" t="s">
        <v>214</v>
      </c>
      <c r="C75" s="26" t="s">
        <v>222</v>
      </c>
      <c r="D75" s="30"/>
      <c r="E75" s="2" t="s">
        <v>7</v>
      </c>
      <c r="F75" s="2" t="s">
        <v>43</v>
      </c>
      <c r="G75" s="28">
        <v>13</v>
      </c>
      <c r="H75" s="20"/>
      <c r="I75" s="2">
        <f>IF(ISBLANK('kabeli i uvodnice'!G75),"",
IF('kabeli i uvodnice'!G75&lt;'rittal uvodnice'!$C$2,"PREMALEN",
IF('kabeli i uvodnice'!G75&lt;'rittal uvodnice'!$D$2,'rittal uvodnice'!$A$2,
IF('kabeli i uvodnice'!G75&lt;'rittal uvodnice'!$D$3,'rittal uvodnice'!$A$3,
IF('kabeli i uvodnice'!G75&lt;'rittal uvodnice'!$D$4,'rittal uvodnice'!$A$4,
IF('kabeli i uvodnice'!G75&lt;'rittal uvodnice'!$D$5,'rittal uvodnice'!$A$5,
IF('kabeli i uvodnice'!G75&lt;'rittal uvodnice'!$D$6,'rittal uvodnice'!$A$6,
IF('kabeli i uvodnice'!G75&lt;'rittal uvodnice'!$D$7,'rittal uvodnice'!$A$7,
IF('kabeli i uvodnice'!G75&lt;'rittal uvodnice'!$D$8,'rittal uvodnice'!$A$8,
IF('kabeli i uvodnice'!G75&lt;'rittal uvodnice'!$D$9,'rittal uvodnice'!$A$9,
"PREVELIK"))))))))))</f>
        <v>2411831</v>
      </c>
      <c r="J75" s="13" t="str">
        <f>IF(ISBLANK('kabeli i uvodnice'!G75),"",
IF('kabeli i uvodnice'!G75&lt;'rittal uvodnice'!$C$2,"PREMALEN",
IF('kabeli i uvodnice'!G75&lt;'rittal uvodnice'!$D$2,'rittal uvodnice'!$B$2,
IF('kabeli i uvodnice'!G75&lt;'rittal uvodnice'!$D$3,'rittal uvodnice'!$B$3,
IF('kabeli i uvodnice'!G75&lt;'rittal uvodnice'!$D$4,'rittal uvodnice'!$B$4,
IF('kabeli i uvodnice'!G75&lt;'rittal uvodnice'!$D$5,'rittal uvodnice'!$B$5,
IF('kabeli i uvodnice'!G75&lt;'rittal uvodnice'!$D$6,'rittal uvodnice'!$B$6,
IF('kabeli i uvodnice'!G75&lt;'rittal uvodnice'!$D$7,'rittal uvodnice'!$B$7,
IF('kabeli i uvodnice'!G75&lt;'rittal uvodnice'!$D$8,'rittal uvodnice'!$B$8,
IF('kabeli i uvodnice'!G75&lt;'rittal uvodnice'!$D$9,'rittal uvodnice'!$B$9,
"PREVELIK"))))))))))</f>
        <v>M25 x 1.5</v>
      </c>
      <c r="L75" s="6"/>
    </row>
    <row r="76" spans="1:12" x14ac:dyDescent="0.25">
      <c r="A76" s="22" t="s">
        <v>119</v>
      </c>
      <c r="B76" s="26" t="s">
        <v>214</v>
      </c>
      <c r="C76" s="26" t="s">
        <v>223</v>
      </c>
      <c r="D76" s="30"/>
      <c r="E76" s="2" t="s">
        <v>9</v>
      </c>
      <c r="F76" s="2" t="s">
        <v>33</v>
      </c>
      <c r="G76" s="28">
        <v>7.5</v>
      </c>
      <c r="H76" s="20"/>
      <c r="I76" s="2">
        <f>IF(ISBLANK('kabeli i uvodnice'!G76),"",
IF('kabeli i uvodnice'!G76&lt;'rittal uvodnice'!$C$2,"PREMALEN",
IF('kabeli i uvodnice'!G76&lt;'rittal uvodnice'!$D$2,'rittal uvodnice'!$A$2,
IF('kabeli i uvodnice'!G76&lt;'rittal uvodnice'!$D$3,'rittal uvodnice'!$A$3,
IF('kabeli i uvodnice'!G76&lt;'rittal uvodnice'!$D$4,'rittal uvodnice'!$A$4,
IF('kabeli i uvodnice'!G76&lt;'rittal uvodnice'!$D$5,'rittal uvodnice'!$A$5,
IF('kabeli i uvodnice'!G76&lt;'rittal uvodnice'!$D$6,'rittal uvodnice'!$A$6,
IF('kabeli i uvodnice'!G76&lt;'rittal uvodnice'!$D$7,'rittal uvodnice'!$A$7,
IF('kabeli i uvodnice'!G76&lt;'rittal uvodnice'!$D$8,'rittal uvodnice'!$A$8,
IF('kabeli i uvodnice'!G76&lt;'rittal uvodnice'!$D$9,'rittal uvodnice'!$A$9,
"PREVELIK"))))))))))</f>
        <v>2411811</v>
      </c>
      <c r="J76" s="13" t="str">
        <f>IF(ISBLANK('kabeli i uvodnice'!G76),"",
IF('kabeli i uvodnice'!G76&lt;'rittal uvodnice'!$C$2,"PREMALEN",
IF('kabeli i uvodnice'!G76&lt;'rittal uvodnice'!$D$2,'rittal uvodnice'!$B$2,
IF('kabeli i uvodnice'!G76&lt;'rittal uvodnice'!$D$3,'rittal uvodnice'!$B$3,
IF('kabeli i uvodnice'!G76&lt;'rittal uvodnice'!$D$4,'rittal uvodnice'!$B$4,
IF('kabeli i uvodnice'!G76&lt;'rittal uvodnice'!$D$5,'rittal uvodnice'!$B$5,
IF('kabeli i uvodnice'!G76&lt;'rittal uvodnice'!$D$6,'rittal uvodnice'!$B$6,
IF('kabeli i uvodnice'!G76&lt;'rittal uvodnice'!$D$7,'rittal uvodnice'!$B$7,
IF('kabeli i uvodnice'!G76&lt;'rittal uvodnice'!$D$8,'rittal uvodnice'!$B$8,
IF('kabeli i uvodnice'!G76&lt;'rittal uvodnice'!$D$9,'rittal uvodnice'!$B$9,
"PREVELIK"))))))))))</f>
        <v>M16 x 1.5</v>
      </c>
      <c r="L76" s="6"/>
    </row>
    <row r="77" spans="1:12" x14ac:dyDescent="0.25">
      <c r="A77" s="22" t="s">
        <v>120</v>
      </c>
      <c r="B77" s="26" t="s">
        <v>214</v>
      </c>
      <c r="C77" s="26" t="s">
        <v>224</v>
      </c>
      <c r="D77" s="30"/>
      <c r="E77" s="2" t="s">
        <v>7</v>
      </c>
      <c r="F77" s="2" t="s">
        <v>33</v>
      </c>
      <c r="G77" s="28">
        <v>7.5</v>
      </c>
      <c r="H77" s="20"/>
      <c r="I77" s="2">
        <f>IF(ISBLANK('kabeli i uvodnice'!G77),"",
IF('kabeli i uvodnice'!G77&lt;'rittal uvodnice'!$C$2,"PREMALEN",
IF('kabeli i uvodnice'!G77&lt;'rittal uvodnice'!$D$2,'rittal uvodnice'!$A$2,
IF('kabeli i uvodnice'!G77&lt;'rittal uvodnice'!$D$3,'rittal uvodnice'!$A$3,
IF('kabeli i uvodnice'!G77&lt;'rittal uvodnice'!$D$4,'rittal uvodnice'!$A$4,
IF('kabeli i uvodnice'!G77&lt;'rittal uvodnice'!$D$5,'rittal uvodnice'!$A$5,
IF('kabeli i uvodnice'!G77&lt;'rittal uvodnice'!$D$6,'rittal uvodnice'!$A$6,
IF('kabeli i uvodnice'!G77&lt;'rittal uvodnice'!$D$7,'rittal uvodnice'!$A$7,
IF('kabeli i uvodnice'!G77&lt;'rittal uvodnice'!$D$8,'rittal uvodnice'!$A$8,
IF('kabeli i uvodnice'!G77&lt;'rittal uvodnice'!$D$9,'rittal uvodnice'!$A$9,
"PREVELIK"))))))))))</f>
        <v>2411811</v>
      </c>
      <c r="J77" s="13" t="str">
        <f>IF(ISBLANK('kabeli i uvodnice'!G77),"",
IF('kabeli i uvodnice'!G77&lt;'rittal uvodnice'!$C$2,"PREMALEN",
IF('kabeli i uvodnice'!G77&lt;'rittal uvodnice'!$D$2,'rittal uvodnice'!$B$2,
IF('kabeli i uvodnice'!G77&lt;'rittal uvodnice'!$D$3,'rittal uvodnice'!$B$3,
IF('kabeli i uvodnice'!G77&lt;'rittal uvodnice'!$D$4,'rittal uvodnice'!$B$4,
IF('kabeli i uvodnice'!G77&lt;'rittal uvodnice'!$D$5,'rittal uvodnice'!$B$5,
IF('kabeli i uvodnice'!G77&lt;'rittal uvodnice'!$D$6,'rittal uvodnice'!$B$6,
IF('kabeli i uvodnice'!G77&lt;'rittal uvodnice'!$D$7,'rittal uvodnice'!$B$7,
IF('kabeli i uvodnice'!G77&lt;'rittal uvodnice'!$D$8,'rittal uvodnice'!$B$8,
IF('kabeli i uvodnice'!G77&lt;'rittal uvodnice'!$D$9,'rittal uvodnice'!$B$9,
"PREVELIK"))))))))))</f>
        <v>M16 x 1.5</v>
      </c>
      <c r="L77" s="6"/>
    </row>
    <row r="78" spans="1:12" x14ac:dyDescent="0.25">
      <c r="A78" s="22" t="s">
        <v>121</v>
      </c>
      <c r="B78" s="26" t="s">
        <v>214</v>
      </c>
      <c r="C78" s="26" t="s">
        <v>225</v>
      </c>
      <c r="D78" s="30"/>
      <c r="E78" s="2" t="s">
        <v>7</v>
      </c>
      <c r="F78" s="2" t="s">
        <v>42</v>
      </c>
      <c r="G78" s="28">
        <v>11.3</v>
      </c>
      <c r="H78" s="20"/>
      <c r="I78" s="2">
        <f>IF(ISBLANK('kabeli i uvodnice'!G78),"",
IF('kabeli i uvodnice'!G78&lt;'rittal uvodnice'!$C$2,"PREMALEN",
IF('kabeli i uvodnice'!G78&lt;'rittal uvodnice'!$D$2,'rittal uvodnice'!$A$2,
IF('kabeli i uvodnice'!G78&lt;'rittal uvodnice'!$D$3,'rittal uvodnice'!$A$3,
IF('kabeli i uvodnice'!G78&lt;'rittal uvodnice'!$D$4,'rittal uvodnice'!$A$4,
IF('kabeli i uvodnice'!G78&lt;'rittal uvodnice'!$D$5,'rittal uvodnice'!$A$5,
IF('kabeli i uvodnice'!G78&lt;'rittal uvodnice'!$D$6,'rittal uvodnice'!$A$6,
IF('kabeli i uvodnice'!G78&lt;'rittal uvodnice'!$D$7,'rittal uvodnice'!$A$7,
IF('kabeli i uvodnice'!G78&lt;'rittal uvodnice'!$D$8,'rittal uvodnice'!$A$8,
IF('kabeli i uvodnice'!G78&lt;'rittal uvodnice'!$D$9,'rittal uvodnice'!$A$9,
"PREVELIK"))))))))))</f>
        <v>2411821</v>
      </c>
      <c r="J78" s="13" t="str">
        <f>IF(ISBLANK('kabeli i uvodnice'!G78),"",
IF('kabeli i uvodnice'!G78&lt;'rittal uvodnice'!$C$2,"PREMALEN",
IF('kabeli i uvodnice'!G78&lt;'rittal uvodnice'!$D$2,'rittal uvodnice'!$B$2,
IF('kabeli i uvodnice'!G78&lt;'rittal uvodnice'!$D$3,'rittal uvodnice'!$B$3,
IF('kabeli i uvodnice'!G78&lt;'rittal uvodnice'!$D$4,'rittal uvodnice'!$B$4,
IF('kabeli i uvodnice'!G78&lt;'rittal uvodnice'!$D$5,'rittal uvodnice'!$B$5,
IF('kabeli i uvodnice'!G78&lt;'rittal uvodnice'!$D$6,'rittal uvodnice'!$B$6,
IF('kabeli i uvodnice'!G78&lt;'rittal uvodnice'!$D$7,'rittal uvodnice'!$B$7,
IF('kabeli i uvodnice'!G78&lt;'rittal uvodnice'!$D$8,'rittal uvodnice'!$B$8,
IF('kabeli i uvodnice'!G78&lt;'rittal uvodnice'!$D$9,'rittal uvodnice'!$B$9,
"PREVELIK"))))))))))</f>
        <v>M20 x 1.5</v>
      </c>
      <c r="L78" s="6"/>
    </row>
    <row r="79" spans="1:12" x14ac:dyDescent="0.25">
      <c r="A79" s="22" t="s">
        <v>122</v>
      </c>
      <c r="B79" s="26" t="s">
        <v>214</v>
      </c>
      <c r="C79" s="26" t="s">
        <v>226</v>
      </c>
      <c r="D79" s="30"/>
      <c r="E79" s="2" t="s">
        <v>7</v>
      </c>
      <c r="F79" s="2" t="s">
        <v>43</v>
      </c>
      <c r="G79" s="28">
        <v>13</v>
      </c>
      <c r="H79" s="20"/>
      <c r="I79" s="2">
        <f>IF(ISBLANK('kabeli i uvodnice'!G79),"",
IF('kabeli i uvodnice'!G79&lt;'rittal uvodnice'!$C$2,"PREMALEN",
IF('kabeli i uvodnice'!G79&lt;'rittal uvodnice'!$D$2,'rittal uvodnice'!$A$2,
IF('kabeli i uvodnice'!G79&lt;'rittal uvodnice'!$D$3,'rittal uvodnice'!$A$3,
IF('kabeli i uvodnice'!G79&lt;'rittal uvodnice'!$D$4,'rittal uvodnice'!$A$4,
IF('kabeli i uvodnice'!G79&lt;'rittal uvodnice'!$D$5,'rittal uvodnice'!$A$5,
IF('kabeli i uvodnice'!G79&lt;'rittal uvodnice'!$D$6,'rittal uvodnice'!$A$6,
IF('kabeli i uvodnice'!G79&lt;'rittal uvodnice'!$D$7,'rittal uvodnice'!$A$7,
IF('kabeli i uvodnice'!G79&lt;'rittal uvodnice'!$D$8,'rittal uvodnice'!$A$8,
IF('kabeli i uvodnice'!G79&lt;'rittal uvodnice'!$D$9,'rittal uvodnice'!$A$9,
"PREVELIK"))))))))))</f>
        <v>2411831</v>
      </c>
      <c r="J79" s="13" t="str">
        <f>IF(ISBLANK('kabeli i uvodnice'!G79),"",
IF('kabeli i uvodnice'!G79&lt;'rittal uvodnice'!$C$2,"PREMALEN",
IF('kabeli i uvodnice'!G79&lt;'rittal uvodnice'!$D$2,'rittal uvodnice'!$B$2,
IF('kabeli i uvodnice'!G79&lt;'rittal uvodnice'!$D$3,'rittal uvodnice'!$B$3,
IF('kabeli i uvodnice'!G79&lt;'rittal uvodnice'!$D$4,'rittal uvodnice'!$B$4,
IF('kabeli i uvodnice'!G79&lt;'rittal uvodnice'!$D$5,'rittal uvodnice'!$B$5,
IF('kabeli i uvodnice'!G79&lt;'rittal uvodnice'!$D$6,'rittal uvodnice'!$B$6,
IF('kabeli i uvodnice'!G79&lt;'rittal uvodnice'!$D$7,'rittal uvodnice'!$B$7,
IF('kabeli i uvodnice'!G79&lt;'rittal uvodnice'!$D$8,'rittal uvodnice'!$B$8,
IF('kabeli i uvodnice'!G79&lt;'rittal uvodnice'!$D$9,'rittal uvodnice'!$B$9,
"PREVELIK"))))))))))</f>
        <v>M25 x 1.5</v>
      </c>
      <c r="L79" s="6"/>
    </row>
    <row r="80" spans="1:12" x14ac:dyDescent="0.25">
      <c r="A80" s="22" t="s">
        <v>123</v>
      </c>
      <c r="B80" s="26" t="s">
        <v>214</v>
      </c>
      <c r="C80" s="26" t="s">
        <v>227</v>
      </c>
      <c r="D80" s="30"/>
      <c r="E80" s="2" t="s">
        <v>9</v>
      </c>
      <c r="F80" s="2" t="s">
        <v>33</v>
      </c>
      <c r="G80" s="28">
        <v>7.5</v>
      </c>
      <c r="H80" s="20"/>
      <c r="I80" s="2">
        <f>IF(ISBLANK('kabeli i uvodnice'!G80),"",
IF('kabeli i uvodnice'!G80&lt;'rittal uvodnice'!$C$2,"PREMALEN",
IF('kabeli i uvodnice'!G80&lt;'rittal uvodnice'!$D$2,'rittal uvodnice'!$A$2,
IF('kabeli i uvodnice'!G80&lt;'rittal uvodnice'!$D$3,'rittal uvodnice'!$A$3,
IF('kabeli i uvodnice'!G80&lt;'rittal uvodnice'!$D$4,'rittal uvodnice'!$A$4,
IF('kabeli i uvodnice'!G80&lt;'rittal uvodnice'!$D$5,'rittal uvodnice'!$A$5,
IF('kabeli i uvodnice'!G80&lt;'rittal uvodnice'!$D$6,'rittal uvodnice'!$A$6,
IF('kabeli i uvodnice'!G80&lt;'rittal uvodnice'!$D$7,'rittal uvodnice'!$A$7,
IF('kabeli i uvodnice'!G80&lt;'rittal uvodnice'!$D$8,'rittal uvodnice'!$A$8,
IF('kabeli i uvodnice'!G80&lt;'rittal uvodnice'!$D$9,'rittal uvodnice'!$A$9,
"PREVELIK"))))))))))</f>
        <v>2411811</v>
      </c>
      <c r="J80" s="13" t="str">
        <f>IF(ISBLANK('kabeli i uvodnice'!G80),"",
IF('kabeli i uvodnice'!G80&lt;'rittal uvodnice'!$C$2,"PREMALEN",
IF('kabeli i uvodnice'!G80&lt;'rittal uvodnice'!$D$2,'rittal uvodnice'!$B$2,
IF('kabeli i uvodnice'!G80&lt;'rittal uvodnice'!$D$3,'rittal uvodnice'!$B$3,
IF('kabeli i uvodnice'!G80&lt;'rittal uvodnice'!$D$4,'rittal uvodnice'!$B$4,
IF('kabeli i uvodnice'!G80&lt;'rittal uvodnice'!$D$5,'rittal uvodnice'!$B$5,
IF('kabeli i uvodnice'!G80&lt;'rittal uvodnice'!$D$6,'rittal uvodnice'!$B$6,
IF('kabeli i uvodnice'!G80&lt;'rittal uvodnice'!$D$7,'rittal uvodnice'!$B$7,
IF('kabeli i uvodnice'!G80&lt;'rittal uvodnice'!$D$8,'rittal uvodnice'!$B$8,
IF('kabeli i uvodnice'!G80&lt;'rittal uvodnice'!$D$9,'rittal uvodnice'!$B$9,
"PREVELIK"))))))))))</f>
        <v>M16 x 1.5</v>
      </c>
      <c r="L80" s="6"/>
    </row>
    <row r="81" spans="1:12" x14ac:dyDescent="0.25">
      <c r="A81" s="22" t="s">
        <v>124</v>
      </c>
      <c r="B81" s="26" t="s">
        <v>214</v>
      </c>
      <c r="C81" s="26" t="s">
        <v>228</v>
      </c>
      <c r="D81" s="30"/>
      <c r="E81" s="2" t="s">
        <v>9</v>
      </c>
      <c r="F81" s="2" t="s">
        <v>33</v>
      </c>
      <c r="G81" s="28">
        <v>7.5</v>
      </c>
      <c r="H81" s="20"/>
      <c r="I81" s="2">
        <f>IF(ISBLANK('kabeli i uvodnice'!G81),"",
IF('kabeli i uvodnice'!G81&lt;'rittal uvodnice'!$C$2,"PREMALEN",
IF('kabeli i uvodnice'!G81&lt;'rittal uvodnice'!$D$2,'rittal uvodnice'!$A$2,
IF('kabeli i uvodnice'!G81&lt;'rittal uvodnice'!$D$3,'rittal uvodnice'!$A$3,
IF('kabeli i uvodnice'!G81&lt;'rittal uvodnice'!$D$4,'rittal uvodnice'!$A$4,
IF('kabeli i uvodnice'!G81&lt;'rittal uvodnice'!$D$5,'rittal uvodnice'!$A$5,
IF('kabeli i uvodnice'!G81&lt;'rittal uvodnice'!$D$6,'rittal uvodnice'!$A$6,
IF('kabeli i uvodnice'!G81&lt;'rittal uvodnice'!$D$7,'rittal uvodnice'!$A$7,
IF('kabeli i uvodnice'!G81&lt;'rittal uvodnice'!$D$8,'rittal uvodnice'!$A$8,
IF('kabeli i uvodnice'!G81&lt;'rittal uvodnice'!$D$9,'rittal uvodnice'!$A$9,
"PREVELIK"))))))))))</f>
        <v>2411811</v>
      </c>
      <c r="J81" s="13" t="str">
        <f>IF(ISBLANK('kabeli i uvodnice'!G81),"",
IF('kabeli i uvodnice'!G81&lt;'rittal uvodnice'!$C$2,"PREMALEN",
IF('kabeli i uvodnice'!G81&lt;'rittal uvodnice'!$D$2,'rittal uvodnice'!$B$2,
IF('kabeli i uvodnice'!G81&lt;'rittal uvodnice'!$D$3,'rittal uvodnice'!$B$3,
IF('kabeli i uvodnice'!G81&lt;'rittal uvodnice'!$D$4,'rittal uvodnice'!$B$4,
IF('kabeli i uvodnice'!G81&lt;'rittal uvodnice'!$D$5,'rittal uvodnice'!$B$5,
IF('kabeli i uvodnice'!G81&lt;'rittal uvodnice'!$D$6,'rittal uvodnice'!$B$6,
IF('kabeli i uvodnice'!G81&lt;'rittal uvodnice'!$D$7,'rittal uvodnice'!$B$7,
IF('kabeli i uvodnice'!G81&lt;'rittal uvodnice'!$D$8,'rittal uvodnice'!$B$8,
IF('kabeli i uvodnice'!G81&lt;'rittal uvodnice'!$D$9,'rittal uvodnice'!$B$9,
"PREVELIK"))))))))))</f>
        <v>M16 x 1.5</v>
      </c>
      <c r="L81" s="6"/>
    </row>
    <row r="82" spans="1:12" x14ac:dyDescent="0.25">
      <c r="A82" s="22" t="s">
        <v>125</v>
      </c>
      <c r="B82" s="26" t="s">
        <v>214</v>
      </c>
      <c r="C82" s="26" t="s">
        <v>229</v>
      </c>
      <c r="D82" s="30"/>
      <c r="E82" s="2" t="s">
        <v>7</v>
      </c>
      <c r="F82" s="2" t="s">
        <v>42</v>
      </c>
      <c r="G82" s="28">
        <v>11.3</v>
      </c>
      <c r="H82" s="20"/>
      <c r="I82" s="2">
        <f>IF(ISBLANK('kabeli i uvodnice'!G82),"",
IF('kabeli i uvodnice'!G82&lt;'rittal uvodnice'!$C$2,"PREMALEN",
IF('kabeli i uvodnice'!G82&lt;'rittal uvodnice'!$D$2,'rittal uvodnice'!$A$2,
IF('kabeli i uvodnice'!G82&lt;'rittal uvodnice'!$D$3,'rittal uvodnice'!$A$3,
IF('kabeli i uvodnice'!G82&lt;'rittal uvodnice'!$D$4,'rittal uvodnice'!$A$4,
IF('kabeli i uvodnice'!G82&lt;'rittal uvodnice'!$D$5,'rittal uvodnice'!$A$5,
IF('kabeli i uvodnice'!G82&lt;'rittal uvodnice'!$D$6,'rittal uvodnice'!$A$6,
IF('kabeli i uvodnice'!G82&lt;'rittal uvodnice'!$D$7,'rittal uvodnice'!$A$7,
IF('kabeli i uvodnice'!G82&lt;'rittal uvodnice'!$D$8,'rittal uvodnice'!$A$8,
IF('kabeli i uvodnice'!G82&lt;'rittal uvodnice'!$D$9,'rittal uvodnice'!$A$9,
"PREVELIK"))))))))))</f>
        <v>2411821</v>
      </c>
      <c r="J82" s="13" t="str">
        <f>IF(ISBLANK('kabeli i uvodnice'!G82),"",
IF('kabeli i uvodnice'!G82&lt;'rittal uvodnice'!$C$2,"PREMALEN",
IF('kabeli i uvodnice'!G82&lt;'rittal uvodnice'!$D$2,'rittal uvodnice'!$B$2,
IF('kabeli i uvodnice'!G82&lt;'rittal uvodnice'!$D$3,'rittal uvodnice'!$B$3,
IF('kabeli i uvodnice'!G82&lt;'rittal uvodnice'!$D$4,'rittal uvodnice'!$B$4,
IF('kabeli i uvodnice'!G82&lt;'rittal uvodnice'!$D$5,'rittal uvodnice'!$B$5,
IF('kabeli i uvodnice'!G82&lt;'rittal uvodnice'!$D$6,'rittal uvodnice'!$B$6,
IF('kabeli i uvodnice'!G82&lt;'rittal uvodnice'!$D$7,'rittal uvodnice'!$B$7,
IF('kabeli i uvodnice'!G82&lt;'rittal uvodnice'!$D$8,'rittal uvodnice'!$B$8,
IF('kabeli i uvodnice'!G82&lt;'rittal uvodnice'!$D$9,'rittal uvodnice'!$B$9,
"PREVELIK"))))))))))</f>
        <v>M20 x 1.5</v>
      </c>
      <c r="L82" s="6"/>
    </row>
    <row r="83" spans="1:12" x14ac:dyDescent="0.25">
      <c r="A83" s="22" t="s">
        <v>126</v>
      </c>
      <c r="B83" s="26" t="s">
        <v>214</v>
      </c>
      <c r="C83" s="26" t="s">
        <v>230</v>
      </c>
      <c r="D83" s="30"/>
      <c r="E83" s="2" t="s">
        <v>7</v>
      </c>
      <c r="F83" s="2" t="s">
        <v>43</v>
      </c>
      <c r="G83" s="28">
        <v>13</v>
      </c>
      <c r="H83" s="20"/>
      <c r="I83" s="2">
        <f>IF(ISBLANK('kabeli i uvodnice'!G83),"",
IF('kabeli i uvodnice'!G83&lt;'rittal uvodnice'!$C$2,"PREMALEN",
IF('kabeli i uvodnice'!G83&lt;'rittal uvodnice'!$D$2,'rittal uvodnice'!$A$2,
IF('kabeli i uvodnice'!G83&lt;'rittal uvodnice'!$D$3,'rittal uvodnice'!$A$3,
IF('kabeli i uvodnice'!G83&lt;'rittal uvodnice'!$D$4,'rittal uvodnice'!$A$4,
IF('kabeli i uvodnice'!G83&lt;'rittal uvodnice'!$D$5,'rittal uvodnice'!$A$5,
IF('kabeli i uvodnice'!G83&lt;'rittal uvodnice'!$D$6,'rittal uvodnice'!$A$6,
IF('kabeli i uvodnice'!G83&lt;'rittal uvodnice'!$D$7,'rittal uvodnice'!$A$7,
IF('kabeli i uvodnice'!G83&lt;'rittal uvodnice'!$D$8,'rittal uvodnice'!$A$8,
IF('kabeli i uvodnice'!G83&lt;'rittal uvodnice'!$D$9,'rittal uvodnice'!$A$9,
"PREVELIK"))))))))))</f>
        <v>2411831</v>
      </c>
      <c r="J83" s="13" t="str">
        <f>IF(ISBLANK('kabeli i uvodnice'!G83),"",
IF('kabeli i uvodnice'!G83&lt;'rittal uvodnice'!$C$2,"PREMALEN",
IF('kabeli i uvodnice'!G83&lt;'rittal uvodnice'!$D$2,'rittal uvodnice'!$B$2,
IF('kabeli i uvodnice'!G83&lt;'rittal uvodnice'!$D$3,'rittal uvodnice'!$B$3,
IF('kabeli i uvodnice'!G83&lt;'rittal uvodnice'!$D$4,'rittal uvodnice'!$B$4,
IF('kabeli i uvodnice'!G83&lt;'rittal uvodnice'!$D$5,'rittal uvodnice'!$B$5,
IF('kabeli i uvodnice'!G83&lt;'rittal uvodnice'!$D$6,'rittal uvodnice'!$B$6,
IF('kabeli i uvodnice'!G83&lt;'rittal uvodnice'!$D$7,'rittal uvodnice'!$B$7,
IF('kabeli i uvodnice'!G83&lt;'rittal uvodnice'!$D$8,'rittal uvodnice'!$B$8,
IF('kabeli i uvodnice'!G83&lt;'rittal uvodnice'!$D$9,'rittal uvodnice'!$B$9,
"PREVELIK"))))))))))</f>
        <v>M25 x 1.5</v>
      </c>
      <c r="L83" s="6"/>
    </row>
    <row r="84" spans="1:12" x14ac:dyDescent="0.25">
      <c r="A84" s="22" t="s">
        <v>127</v>
      </c>
      <c r="B84" s="26" t="s">
        <v>214</v>
      </c>
      <c r="C84" s="26" t="s">
        <v>231</v>
      </c>
      <c r="D84" s="30"/>
      <c r="E84" s="2" t="s">
        <v>9</v>
      </c>
      <c r="F84" s="2" t="s">
        <v>33</v>
      </c>
      <c r="G84" s="28">
        <v>7.5</v>
      </c>
      <c r="H84" s="20"/>
      <c r="I84" s="2">
        <f>IF(ISBLANK('kabeli i uvodnice'!G84),"",
IF('kabeli i uvodnice'!G84&lt;'rittal uvodnice'!$C$2,"PREMALEN",
IF('kabeli i uvodnice'!G84&lt;'rittal uvodnice'!$D$2,'rittal uvodnice'!$A$2,
IF('kabeli i uvodnice'!G84&lt;'rittal uvodnice'!$D$3,'rittal uvodnice'!$A$3,
IF('kabeli i uvodnice'!G84&lt;'rittal uvodnice'!$D$4,'rittal uvodnice'!$A$4,
IF('kabeli i uvodnice'!G84&lt;'rittal uvodnice'!$D$5,'rittal uvodnice'!$A$5,
IF('kabeli i uvodnice'!G84&lt;'rittal uvodnice'!$D$6,'rittal uvodnice'!$A$6,
IF('kabeli i uvodnice'!G84&lt;'rittal uvodnice'!$D$7,'rittal uvodnice'!$A$7,
IF('kabeli i uvodnice'!G84&lt;'rittal uvodnice'!$D$8,'rittal uvodnice'!$A$8,
IF('kabeli i uvodnice'!G84&lt;'rittal uvodnice'!$D$9,'rittal uvodnice'!$A$9,
"PREVELIK"))))))))))</f>
        <v>2411811</v>
      </c>
      <c r="J84" s="13" t="str">
        <f>IF(ISBLANK('kabeli i uvodnice'!G84),"",
IF('kabeli i uvodnice'!G84&lt;'rittal uvodnice'!$C$2,"PREMALEN",
IF('kabeli i uvodnice'!G84&lt;'rittal uvodnice'!$D$2,'rittal uvodnice'!$B$2,
IF('kabeli i uvodnice'!G84&lt;'rittal uvodnice'!$D$3,'rittal uvodnice'!$B$3,
IF('kabeli i uvodnice'!G84&lt;'rittal uvodnice'!$D$4,'rittal uvodnice'!$B$4,
IF('kabeli i uvodnice'!G84&lt;'rittal uvodnice'!$D$5,'rittal uvodnice'!$B$5,
IF('kabeli i uvodnice'!G84&lt;'rittal uvodnice'!$D$6,'rittal uvodnice'!$B$6,
IF('kabeli i uvodnice'!G84&lt;'rittal uvodnice'!$D$7,'rittal uvodnice'!$B$7,
IF('kabeli i uvodnice'!G84&lt;'rittal uvodnice'!$D$8,'rittal uvodnice'!$B$8,
IF('kabeli i uvodnice'!G84&lt;'rittal uvodnice'!$D$9,'rittal uvodnice'!$B$9,
"PREVELIK"))))))))))</f>
        <v>M16 x 1.5</v>
      </c>
      <c r="L84" s="6"/>
    </row>
    <row r="85" spans="1:12" x14ac:dyDescent="0.25">
      <c r="A85" s="22" t="s">
        <v>128</v>
      </c>
      <c r="B85" s="26" t="s">
        <v>214</v>
      </c>
      <c r="C85" s="26" t="s">
        <v>232</v>
      </c>
      <c r="D85" s="30"/>
      <c r="E85" s="2" t="s">
        <v>9</v>
      </c>
      <c r="F85" s="2" t="s">
        <v>33</v>
      </c>
      <c r="G85" s="28">
        <v>7.5</v>
      </c>
      <c r="H85" s="20"/>
      <c r="I85" s="2">
        <f>IF(ISBLANK('kabeli i uvodnice'!G85),"",
IF('kabeli i uvodnice'!G85&lt;'rittal uvodnice'!$C$2,"PREMALEN",
IF('kabeli i uvodnice'!G85&lt;'rittal uvodnice'!$D$2,'rittal uvodnice'!$A$2,
IF('kabeli i uvodnice'!G85&lt;'rittal uvodnice'!$D$3,'rittal uvodnice'!$A$3,
IF('kabeli i uvodnice'!G85&lt;'rittal uvodnice'!$D$4,'rittal uvodnice'!$A$4,
IF('kabeli i uvodnice'!G85&lt;'rittal uvodnice'!$D$5,'rittal uvodnice'!$A$5,
IF('kabeli i uvodnice'!G85&lt;'rittal uvodnice'!$D$6,'rittal uvodnice'!$A$6,
IF('kabeli i uvodnice'!G85&lt;'rittal uvodnice'!$D$7,'rittal uvodnice'!$A$7,
IF('kabeli i uvodnice'!G85&lt;'rittal uvodnice'!$D$8,'rittal uvodnice'!$A$8,
IF('kabeli i uvodnice'!G85&lt;'rittal uvodnice'!$D$9,'rittal uvodnice'!$A$9,
"PREVELIK"))))))))))</f>
        <v>2411811</v>
      </c>
      <c r="J85" s="13" t="str">
        <f>IF(ISBLANK('kabeli i uvodnice'!G85),"",
IF('kabeli i uvodnice'!G85&lt;'rittal uvodnice'!$C$2,"PREMALEN",
IF('kabeli i uvodnice'!G85&lt;'rittal uvodnice'!$D$2,'rittal uvodnice'!$B$2,
IF('kabeli i uvodnice'!G85&lt;'rittal uvodnice'!$D$3,'rittal uvodnice'!$B$3,
IF('kabeli i uvodnice'!G85&lt;'rittal uvodnice'!$D$4,'rittal uvodnice'!$B$4,
IF('kabeli i uvodnice'!G85&lt;'rittal uvodnice'!$D$5,'rittal uvodnice'!$B$5,
IF('kabeli i uvodnice'!G85&lt;'rittal uvodnice'!$D$6,'rittal uvodnice'!$B$6,
IF('kabeli i uvodnice'!G85&lt;'rittal uvodnice'!$D$7,'rittal uvodnice'!$B$7,
IF('kabeli i uvodnice'!G85&lt;'rittal uvodnice'!$D$8,'rittal uvodnice'!$B$8,
IF('kabeli i uvodnice'!G85&lt;'rittal uvodnice'!$D$9,'rittal uvodnice'!$B$9,
"PREVELIK"))))))))))</f>
        <v>M16 x 1.5</v>
      </c>
      <c r="L85" s="6"/>
    </row>
    <row r="86" spans="1:12" x14ac:dyDescent="0.25">
      <c r="A86" s="22" t="s">
        <v>129</v>
      </c>
      <c r="B86" s="26" t="s">
        <v>214</v>
      </c>
      <c r="C86" s="26" t="s">
        <v>233</v>
      </c>
      <c r="D86" s="30"/>
      <c r="E86" s="2" t="s">
        <v>7</v>
      </c>
      <c r="F86" s="2" t="s">
        <v>42</v>
      </c>
      <c r="G86" s="28">
        <v>11.3</v>
      </c>
      <c r="H86" s="20"/>
      <c r="I86" s="2">
        <f>IF(ISBLANK('kabeli i uvodnice'!G86),"",
IF('kabeli i uvodnice'!G86&lt;'rittal uvodnice'!$C$2,"PREMALEN",
IF('kabeli i uvodnice'!G86&lt;'rittal uvodnice'!$D$2,'rittal uvodnice'!$A$2,
IF('kabeli i uvodnice'!G86&lt;'rittal uvodnice'!$D$3,'rittal uvodnice'!$A$3,
IF('kabeli i uvodnice'!G86&lt;'rittal uvodnice'!$D$4,'rittal uvodnice'!$A$4,
IF('kabeli i uvodnice'!G86&lt;'rittal uvodnice'!$D$5,'rittal uvodnice'!$A$5,
IF('kabeli i uvodnice'!G86&lt;'rittal uvodnice'!$D$6,'rittal uvodnice'!$A$6,
IF('kabeli i uvodnice'!G86&lt;'rittal uvodnice'!$D$7,'rittal uvodnice'!$A$7,
IF('kabeli i uvodnice'!G86&lt;'rittal uvodnice'!$D$8,'rittal uvodnice'!$A$8,
IF('kabeli i uvodnice'!G86&lt;'rittal uvodnice'!$D$9,'rittal uvodnice'!$A$9,
"PREVELIK"))))))))))</f>
        <v>2411821</v>
      </c>
      <c r="J86" s="13" t="str">
        <f>IF(ISBLANK('kabeli i uvodnice'!G86),"",
IF('kabeli i uvodnice'!G86&lt;'rittal uvodnice'!$C$2,"PREMALEN",
IF('kabeli i uvodnice'!G86&lt;'rittal uvodnice'!$D$2,'rittal uvodnice'!$B$2,
IF('kabeli i uvodnice'!G86&lt;'rittal uvodnice'!$D$3,'rittal uvodnice'!$B$3,
IF('kabeli i uvodnice'!G86&lt;'rittal uvodnice'!$D$4,'rittal uvodnice'!$B$4,
IF('kabeli i uvodnice'!G86&lt;'rittal uvodnice'!$D$5,'rittal uvodnice'!$B$5,
IF('kabeli i uvodnice'!G86&lt;'rittal uvodnice'!$D$6,'rittal uvodnice'!$B$6,
IF('kabeli i uvodnice'!G86&lt;'rittal uvodnice'!$D$7,'rittal uvodnice'!$B$7,
IF('kabeli i uvodnice'!G86&lt;'rittal uvodnice'!$D$8,'rittal uvodnice'!$B$8,
IF('kabeli i uvodnice'!G86&lt;'rittal uvodnice'!$D$9,'rittal uvodnice'!$B$9,
"PREVELIK"))))))))))</f>
        <v>M20 x 1.5</v>
      </c>
      <c r="L86" s="6"/>
    </row>
    <row r="87" spans="1:12" x14ac:dyDescent="0.25">
      <c r="A87" s="22" t="s">
        <v>130</v>
      </c>
      <c r="B87" s="26" t="s">
        <v>200</v>
      </c>
      <c r="C87" s="26" t="s">
        <v>214</v>
      </c>
      <c r="D87" s="30"/>
      <c r="E87" s="2" t="s">
        <v>7</v>
      </c>
      <c r="F87" s="2" t="s">
        <v>33</v>
      </c>
      <c r="G87" s="28">
        <v>7.5</v>
      </c>
      <c r="H87" s="20"/>
      <c r="I87" s="2">
        <f>IF(ISBLANK('kabeli i uvodnice'!G87),"",
IF('kabeli i uvodnice'!G87&lt;'rittal uvodnice'!$C$2,"PREMALEN",
IF('kabeli i uvodnice'!G87&lt;'rittal uvodnice'!$D$2,'rittal uvodnice'!$A$2,
IF('kabeli i uvodnice'!G87&lt;'rittal uvodnice'!$D$3,'rittal uvodnice'!$A$3,
IF('kabeli i uvodnice'!G87&lt;'rittal uvodnice'!$D$4,'rittal uvodnice'!$A$4,
IF('kabeli i uvodnice'!G87&lt;'rittal uvodnice'!$D$5,'rittal uvodnice'!$A$5,
IF('kabeli i uvodnice'!G87&lt;'rittal uvodnice'!$D$6,'rittal uvodnice'!$A$6,
IF('kabeli i uvodnice'!G87&lt;'rittal uvodnice'!$D$7,'rittal uvodnice'!$A$7,
IF('kabeli i uvodnice'!G87&lt;'rittal uvodnice'!$D$8,'rittal uvodnice'!$A$8,
IF('kabeli i uvodnice'!G87&lt;'rittal uvodnice'!$D$9,'rittal uvodnice'!$A$9,
"PREVELIK"))))))))))</f>
        <v>2411811</v>
      </c>
      <c r="J87" s="13" t="str">
        <f>IF(ISBLANK('kabeli i uvodnice'!G87),"",
IF('kabeli i uvodnice'!G87&lt;'rittal uvodnice'!$C$2,"PREMALEN",
IF('kabeli i uvodnice'!G87&lt;'rittal uvodnice'!$D$2,'rittal uvodnice'!$B$2,
IF('kabeli i uvodnice'!G87&lt;'rittal uvodnice'!$D$3,'rittal uvodnice'!$B$3,
IF('kabeli i uvodnice'!G87&lt;'rittal uvodnice'!$D$4,'rittal uvodnice'!$B$4,
IF('kabeli i uvodnice'!G87&lt;'rittal uvodnice'!$D$5,'rittal uvodnice'!$B$5,
IF('kabeli i uvodnice'!G87&lt;'rittal uvodnice'!$D$6,'rittal uvodnice'!$B$6,
IF('kabeli i uvodnice'!G87&lt;'rittal uvodnice'!$D$7,'rittal uvodnice'!$B$7,
IF('kabeli i uvodnice'!G87&lt;'rittal uvodnice'!$D$8,'rittal uvodnice'!$B$8,
IF('kabeli i uvodnice'!G87&lt;'rittal uvodnice'!$D$9,'rittal uvodnice'!$B$9,
"PREVELIK"))))))))))</f>
        <v>M16 x 1.5</v>
      </c>
      <c r="L87" s="6"/>
    </row>
    <row r="88" spans="1:12" x14ac:dyDescent="0.25">
      <c r="A88" s="22" t="s">
        <v>131</v>
      </c>
      <c r="B88" s="26" t="s">
        <v>202</v>
      </c>
      <c r="C88" s="26" t="s">
        <v>214</v>
      </c>
      <c r="D88" s="30"/>
      <c r="E88" s="2" t="s">
        <v>7</v>
      </c>
      <c r="F88" s="2" t="s">
        <v>33</v>
      </c>
      <c r="G88" s="28">
        <v>7.5</v>
      </c>
      <c r="H88" s="20"/>
      <c r="I88" s="2">
        <f>IF(ISBLANK('kabeli i uvodnice'!G88),"",
IF('kabeli i uvodnice'!G88&lt;'rittal uvodnice'!$C$2,"PREMALEN",
IF('kabeli i uvodnice'!G88&lt;'rittal uvodnice'!$D$2,'rittal uvodnice'!$A$2,
IF('kabeli i uvodnice'!G88&lt;'rittal uvodnice'!$D$3,'rittal uvodnice'!$A$3,
IF('kabeli i uvodnice'!G88&lt;'rittal uvodnice'!$D$4,'rittal uvodnice'!$A$4,
IF('kabeli i uvodnice'!G88&lt;'rittal uvodnice'!$D$5,'rittal uvodnice'!$A$5,
IF('kabeli i uvodnice'!G88&lt;'rittal uvodnice'!$D$6,'rittal uvodnice'!$A$6,
IF('kabeli i uvodnice'!G88&lt;'rittal uvodnice'!$D$7,'rittal uvodnice'!$A$7,
IF('kabeli i uvodnice'!G88&lt;'rittal uvodnice'!$D$8,'rittal uvodnice'!$A$8,
IF('kabeli i uvodnice'!G88&lt;'rittal uvodnice'!$D$9,'rittal uvodnice'!$A$9,
"PREVELIK"))))))))))</f>
        <v>2411811</v>
      </c>
      <c r="J88" s="13" t="str">
        <f>IF(ISBLANK('kabeli i uvodnice'!G88),"",
IF('kabeli i uvodnice'!G88&lt;'rittal uvodnice'!$C$2,"PREMALEN",
IF('kabeli i uvodnice'!G88&lt;'rittal uvodnice'!$D$2,'rittal uvodnice'!$B$2,
IF('kabeli i uvodnice'!G88&lt;'rittal uvodnice'!$D$3,'rittal uvodnice'!$B$3,
IF('kabeli i uvodnice'!G88&lt;'rittal uvodnice'!$D$4,'rittal uvodnice'!$B$4,
IF('kabeli i uvodnice'!G88&lt;'rittal uvodnice'!$D$5,'rittal uvodnice'!$B$5,
IF('kabeli i uvodnice'!G88&lt;'rittal uvodnice'!$D$6,'rittal uvodnice'!$B$6,
IF('kabeli i uvodnice'!G88&lt;'rittal uvodnice'!$D$7,'rittal uvodnice'!$B$7,
IF('kabeli i uvodnice'!G88&lt;'rittal uvodnice'!$D$8,'rittal uvodnice'!$B$8,
IF('kabeli i uvodnice'!G88&lt;'rittal uvodnice'!$D$9,'rittal uvodnice'!$B$9,
"PREVELIK"))))))))))</f>
        <v>M16 x 1.5</v>
      </c>
      <c r="L88" s="6"/>
    </row>
    <row r="89" spans="1:12" x14ac:dyDescent="0.25">
      <c r="A89" s="22" t="s">
        <v>132</v>
      </c>
      <c r="B89" s="26" t="s">
        <v>204</v>
      </c>
      <c r="C89" s="26" t="s">
        <v>214</v>
      </c>
      <c r="D89" s="30"/>
      <c r="E89" s="2" t="s">
        <v>7</v>
      </c>
      <c r="F89" s="2" t="s">
        <v>33</v>
      </c>
      <c r="G89" s="28">
        <v>7.5</v>
      </c>
      <c r="H89" s="20"/>
      <c r="I89" s="2">
        <f>IF(ISBLANK('kabeli i uvodnice'!G89),"",
IF('kabeli i uvodnice'!G89&lt;'rittal uvodnice'!$C$2,"PREMALEN",
IF('kabeli i uvodnice'!G89&lt;'rittal uvodnice'!$D$2,'rittal uvodnice'!$A$2,
IF('kabeli i uvodnice'!G89&lt;'rittal uvodnice'!$D$3,'rittal uvodnice'!$A$3,
IF('kabeli i uvodnice'!G89&lt;'rittal uvodnice'!$D$4,'rittal uvodnice'!$A$4,
IF('kabeli i uvodnice'!G89&lt;'rittal uvodnice'!$D$5,'rittal uvodnice'!$A$5,
IF('kabeli i uvodnice'!G89&lt;'rittal uvodnice'!$D$6,'rittal uvodnice'!$A$6,
IF('kabeli i uvodnice'!G89&lt;'rittal uvodnice'!$D$7,'rittal uvodnice'!$A$7,
IF('kabeli i uvodnice'!G89&lt;'rittal uvodnice'!$D$8,'rittal uvodnice'!$A$8,
IF('kabeli i uvodnice'!G89&lt;'rittal uvodnice'!$D$9,'rittal uvodnice'!$A$9,
"PREVELIK"))))))))))</f>
        <v>2411811</v>
      </c>
      <c r="J89" s="13" t="str">
        <f>IF(ISBLANK('kabeli i uvodnice'!G89),"",
IF('kabeli i uvodnice'!G89&lt;'rittal uvodnice'!$C$2,"PREMALEN",
IF('kabeli i uvodnice'!G89&lt;'rittal uvodnice'!$D$2,'rittal uvodnice'!$B$2,
IF('kabeli i uvodnice'!G89&lt;'rittal uvodnice'!$D$3,'rittal uvodnice'!$B$3,
IF('kabeli i uvodnice'!G89&lt;'rittal uvodnice'!$D$4,'rittal uvodnice'!$B$4,
IF('kabeli i uvodnice'!G89&lt;'rittal uvodnice'!$D$5,'rittal uvodnice'!$B$5,
IF('kabeli i uvodnice'!G89&lt;'rittal uvodnice'!$D$6,'rittal uvodnice'!$B$6,
IF('kabeli i uvodnice'!G89&lt;'rittal uvodnice'!$D$7,'rittal uvodnice'!$B$7,
IF('kabeli i uvodnice'!G89&lt;'rittal uvodnice'!$D$8,'rittal uvodnice'!$B$8,
IF('kabeli i uvodnice'!G89&lt;'rittal uvodnice'!$D$9,'rittal uvodnice'!$B$9,
"PREVELIK"))))))))))</f>
        <v>M16 x 1.5</v>
      </c>
      <c r="L89" s="6"/>
    </row>
    <row r="90" spans="1:12" x14ac:dyDescent="0.25">
      <c r="A90" s="22" t="s">
        <v>133</v>
      </c>
      <c r="B90" s="26" t="s">
        <v>234</v>
      </c>
      <c r="C90" s="26" t="s">
        <v>235</v>
      </c>
      <c r="D90" s="30"/>
      <c r="E90" s="2" t="s">
        <v>7</v>
      </c>
      <c r="F90" s="2" t="s">
        <v>33</v>
      </c>
      <c r="G90" s="28">
        <v>7.5</v>
      </c>
      <c r="H90" s="20"/>
      <c r="I90" s="2">
        <f>IF(ISBLANK('kabeli i uvodnice'!G90),"",
IF('kabeli i uvodnice'!G90&lt;'rittal uvodnice'!$C$2,"PREMALEN",
IF('kabeli i uvodnice'!G90&lt;'rittal uvodnice'!$D$2,'rittal uvodnice'!$A$2,
IF('kabeli i uvodnice'!G90&lt;'rittal uvodnice'!$D$3,'rittal uvodnice'!$A$3,
IF('kabeli i uvodnice'!G90&lt;'rittal uvodnice'!$D$4,'rittal uvodnice'!$A$4,
IF('kabeli i uvodnice'!G90&lt;'rittal uvodnice'!$D$5,'rittal uvodnice'!$A$5,
IF('kabeli i uvodnice'!G90&lt;'rittal uvodnice'!$D$6,'rittal uvodnice'!$A$6,
IF('kabeli i uvodnice'!G90&lt;'rittal uvodnice'!$D$7,'rittal uvodnice'!$A$7,
IF('kabeli i uvodnice'!G90&lt;'rittal uvodnice'!$D$8,'rittal uvodnice'!$A$8,
IF('kabeli i uvodnice'!G90&lt;'rittal uvodnice'!$D$9,'rittal uvodnice'!$A$9,
"PREVELIK"))))))))))</f>
        <v>2411811</v>
      </c>
      <c r="J90" s="13" t="str">
        <f>IF(ISBLANK('kabeli i uvodnice'!G90),"",
IF('kabeli i uvodnice'!G90&lt;'rittal uvodnice'!$C$2,"PREMALEN",
IF('kabeli i uvodnice'!G90&lt;'rittal uvodnice'!$D$2,'rittal uvodnice'!$B$2,
IF('kabeli i uvodnice'!G90&lt;'rittal uvodnice'!$D$3,'rittal uvodnice'!$B$3,
IF('kabeli i uvodnice'!G90&lt;'rittal uvodnice'!$D$4,'rittal uvodnice'!$B$4,
IF('kabeli i uvodnice'!G90&lt;'rittal uvodnice'!$D$5,'rittal uvodnice'!$B$5,
IF('kabeli i uvodnice'!G90&lt;'rittal uvodnice'!$D$6,'rittal uvodnice'!$B$6,
IF('kabeli i uvodnice'!G90&lt;'rittal uvodnice'!$D$7,'rittal uvodnice'!$B$7,
IF('kabeli i uvodnice'!G90&lt;'rittal uvodnice'!$D$8,'rittal uvodnice'!$B$8,
IF('kabeli i uvodnice'!G90&lt;'rittal uvodnice'!$D$9,'rittal uvodnice'!$B$9,
"PREVELIK"))))))))))</f>
        <v>M16 x 1.5</v>
      </c>
      <c r="L90" s="6"/>
    </row>
    <row r="91" spans="1:12" x14ac:dyDescent="0.25">
      <c r="A91" s="22" t="s">
        <v>134</v>
      </c>
      <c r="B91" s="26" t="s">
        <v>234</v>
      </c>
      <c r="C91" s="26" t="s">
        <v>236</v>
      </c>
      <c r="D91" s="30"/>
      <c r="E91" s="2" t="s">
        <v>7</v>
      </c>
      <c r="F91" s="2" t="s">
        <v>33</v>
      </c>
      <c r="G91" s="28">
        <v>7.5</v>
      </c>
      <c r="H91" s="20"/>
      <c r="I91" s="2">
        <f>IF(ISBLANK('kabeli i uvodnice'!G91),"",
IF('kabeli i uvodnice'!G91&lt;'rittal uvodnice'!$C$2,"PREMALEN",
IF('kabeli i uvodnice'!G91&lt;'rittal uvodnice'!$D$2,'rittal uvodnice'!$A$2,
IF('kabeli i uvodnice'!G91&lt;'rittal uvodnice'!$D$3,'rittal uvodnice'!$A$3,
IF('kabeli i uvodnice'!G91&lt;'rittal uvodnice'!$D$4,'rittal uvodnice'!$A$4,
IF('kabeli i uvodnice'!G91&lt;'rittal uvodnice'!$D$5,'rittal uvodnice'!$A$5,
IF('kabeli i uvodnice'!G91&lt;'rittal uvodnice'!$D$6,'rittal uvodnice'!$A$6,
IF('kabeli i uvodnice'!G91&lt;'rittal uvodnice'!$D$7,'rittal uvodnice'!$A$7,
IF('kabeli i uvodnice'!G91&lt;'rittal uvodnice'!$D$8,'rittal uvodnice'!$A$8,
IF('kabeli i uvodnice'!G91&lt;'rittal uvodnice'!$D$9,'rittal uvodnice'!$A$9,
"PREVELIK"))))))))))</f>
        <v>2411811</v>
      </c>
      <c r="J91" s="13" t="str">
        <f>IF(ISBLANK('kabeli i uvodnice'!G91),"",
IF('kabeli i uvodnice'!G91&lt;'rittal uvodnice'!$C$2,"PREMALEN",
IF('kabeli i uvodnice'!G91&lt;'rittal uvodnice'!$D$2,'rittal uvodnice'!$B$2,
IF('kabeli i uvodnice'!G91&lt;'rittal uvodnice'!$D$3,'rittal uvodnice'!$B$3,
IF('kabeli i uvodnice'!G91&lt;'rittal uvodnice'!$D$4,'rittal uvodnice'!$B$4,
IF('kabeli i uvodnice'!G91&lt;'rittal uvodnice'!$D$5,'rittal uvodnice'!$B$5,
IF('kabeli i uvodnice'!G91&lt;'rittal uvodnice'!$D$6,'rittal uvodnice'!$B$6,
IF('kabeli i uvodnice'!G91&lt;'rittal uvodnice'!$D$7,'rittal uvodnice'!$B$7,
IF('kabeli i uvodnice'!G91&lt;'rittal uvodnice'!$D$8,'rittal uvodnice'!$B$8,
IF('kabeli i uvodnice'!G91&lt;'rittal uvodnice'!$D$9,'rittal uvodnice'!$B$9,
"PREVELIK"))))))))))</f>
        <v>M16 x 1.5</v>
      </c>
      <c r="L91" s="6"/>
    </row>
    <row r="92" spans="1:12" x14ac:dyDescent="0.25">
      <c r="A92" s="22" t="s">
        <v>135</v>
      </c>
      <c r="B92" s="26" t="s">
        <v>234</v>
      </c>
      <c r="C92" s="26" t="s">
        <v>237</v>
      </c>
      <c r="D92" s="30"/>
      <c r="E92" s="2" t="s">
        <v>7</v>
      </c>
      <c r="F92" s="2" t="s">
        <v>33</v>
      </c>
      <c r="G92" s="28">
        <v>7.5</v>
      </c>
      <c r="H92" s="20"/>
      <c r="I92" s="2">
        <f>IF(ISBLANK('kabeli i uvodnice'!G92),"",
IF('kabeli i uvodnice'!G92&lt;'rittal uvodnice'!$C$2,"PREMALEN",
IF('kabeli i uvodnice'!G92&lt;'rittal uvodnice'!$D$2,'rittal uvodnice'!$A$2,
IF('kabeli i uvodnice'!G92&lt;'rittal uvodnice'!$D$3,'rittal uvodnice'!$A$3,
IF('kabeli i uvodnice'!G92&lt;'rittal uvodnice'!$D$4,'rittal uvodnice'!$A$4,
IF('kabeli i uvodnice'!G92&lt;'rittal uvodnice'!$D$5,'rittal uvodnice'!$A$5,
IF('kabeli i uvodnice'!G92&lt;'rittal uvodnice'!$D$6,'rittal uvodnice'!$A$6,
IF('kabeli i uvodnice'!G92&lt;'rittal uvodnice'!$D$7,'rittal uvodnice'!$A$7,
IF('kabeli i uvodnice'!G92&lt;'rittal uvodnice'!$D$8,'rittal uvodnice'!$A$8,
IF('kabeli i uvodnice'!G92&lt;'rittal uvodnice'!$D$9,'rittal uvodnice'!$A$9,
"PREVELIK"))))))))))</f>
        <v>2411811</v>
      </c>
      <c r="J92" s="13" t="str">
        <f>IF(ISBLANK('kabeli i uvodnice'!G92),"",
IF('kabeli i uvodnice'!G92&lt;'rittal uvodnice'!$C$2,"PREMALEN",
IF('kabeli i uvodnice'!G92&lt;'rittal uvodnice'!$D$2,'rittal uvodnice'!$B$2,
IF('kabeli i uvodnice'!G92&lt;'rittal uvodnice'!$D$3,'rittal uvodnice'!$B$3,
IF('kabeli i uvodnice'!G92&lt;'rittal uvodnice'!$D$4,'rittal uvodnice'!$B$4,
IF('kabeli i uvodnice'!G92&lt;'rittal uvodnice'!$D$5,'rittal uvodnice'!$B$5,
IF('kabeli i uvodnice'!G92&lt;'rittal uvodnice'!$D$6,'rittal uvodnice'!$B$6,
IF('kabeli i uvodnice'!G92&lt;'rittal uvodnice'!$D$7,'rittal uvodnice'!$B$7,
IF('kabeli i uvodnice'!G92&lt;'rittal uvodnice'!$D$8,'rittal uvodnice'!$B$8,
IF('kabeli i uvodnice'!G92&lt;'rittal uvodnice'!$D$9,'rittal uvodnice'!$B$9,
"PREVELIK"))))))))))</f>
        <v>M16 x 1.5</v>
      </c>
      <c r="L92" s="6"/>
    </row>
    <row r="93" spans="1:12" x14ac:dyDescent="0.25">
      <c r="A93" s="22" t="s">
        <v>136</v>
      </c>
      <c r="B93" s="26" t="s">
        <v>238</v>
      </c>
      <c r="C93" s="26" t="s">
        <v>239</v>
      </c>
      <c r="D93" s="30"/>
      <c r="E93" s="2" t="s">
        <v>7</v>
      </c>
      <c r="F93" s="2" t="s">
        <v>33</v>
      </c>
      <c r="G93" s="28">
        <v>7.5</v>
      </c>
      <c r="H93" s="20"/>
      <c r="I93" s="2">
        <f>IF(ISBLANK('kabeli i uvodnice'!G93),"",
IF('kabeli i uvodnice'!G93&lt;'rittal uvodnice'!$C$2,"PREMALEN",
IF('kabeli i uvodnice'!G93&lt;'rittal uvodnice'!$D$2,'rittal uvodnice'!$A$2,
IF('kabeli i uvodnice'!G93&lt;'rittal uvodnice'!$D$3,'rittal uvodnice'!$A$3,
IF('kabeli i uvodnice'!G93&lt;'rittal uvodnice'!$D$4,'rittal uvodnice'!$A$4,
IF('kabeli i uvodnice'!G93&lt;'rittal uvodnice'!$D$5,'rittal uvodnice'!$A$5,
IF('kabeli i uvodnice'!G93&lt;'rittal uvodnice'!$D$6,'rittal uvodnice'!$A$6,
IF('kabeli i uvodnice'!G93&lt;'rittal uvodnice'!$D$7,'rittal uvodnice'!$A$7,
IF('kabeli i uvodnice'!G93&lt;'rittal uvodnice'!$D$8,'rittal uvodnice'!$A$8,
IF('kabeli i uvodnice'!G93&lt;'rittal uvodnice'!$D$9,'rittal uvodnice'!$A$9,
"PREVELIK"))))))))))</f>
        <v>2411811</v>
      </c>
      <c r="J93" s="13" t="str">
        <f>IF(ISBLANK('kabeli i uvodnice'!G93),"",
IF('kabeli i uvodnice'!G93&lt;'rittal uvodnice'!$C$2,"PREMALEN",
IF('kabeli i uvodnice'!G93&lt;'rittal uvodnice'!$D$2,'rittal uvodnice'!$B$2,
IF('kabeli i uvodnice'!G93&lt;'rittal uvodnice'!$D$3,'rittal uvodnice'!$B$3,
IF('kabeli i uvodnice'!G93&lt;'rittal uvodnice'!$D$4,'rittal uvodnice'!$B$4,
IF('kabeli i uvodnice'!G93&lt;'rittal uvodnice'!$D$5,'rittal uvodnice'!$B$5,
IF('kabeli i uvodnice'!G93&lt;'rittal uvodnice'!$D$6,'rittal uvodnice'!$B$6,
IF('kabeli i uvodnice'!G93&lt;'rittal uvodnice'!$D$7,'rittal uvodnice'!$B$7,
IF('kabeli i uvodnice'!G93&lt;'rittal uvodnice'!$D$8,'rittal uvodnice'!$B$8,
IF('kabeli i uvodnice'!G93&lt;'rittal uvodnice'!$D$9,'rittal uvodnice'!$B$9,
"PREVELIK"))))))))))</f>
        <v>M16 x 1.5</v>
      </c>
      <c r="L93" s="6"/>
    </row>
    <row r="94" spans="1:12" x14ac:dyDescent="0.25">
      <c r="A94" s="22" t="s">
        <v>137</v>
      </c>
      <c r="B94" s="26" t="s">
        <v>240</v>
      </c>
      <c r="C94" s="26" t="s">
        <v>241</v>
      </c>
      <c r="D94" s="30"/>
      <c r="E94" s="2" t="s">
        <v>14</v>
      </c>
      <c r="F94" s="2" t="s">
        <v>15</v>
      </c>
      <c r="G94" s="28">
        <v>6.5</v>
      </c>
      <c r="H94" s="20"/>
      <c r="I94" s="2">
        <f>IF(ISBLANK('kabeli i uvodnice'!G94),"",
IF('kabeli i uvodnice'!G94&lt;'rittal uvodnice'!$C$2,"PREMALEN",
IF('kabeli i uvodnice'!G94&lt;'rittal uvodnice'!$D$2,'rittal uvodnice'!$A$2,
IF('kabeli i uvodnice'!G94&lt;'rittal uvodnice'!$D$3,'rittal uvodnice'!$A$3,
IF('kabeli i uvodnice'!G94&lt;'rittal uvodnice'!$D$4,'rittal uvodnice'!$A$4,
IF('kabeli i uvodnice'!G94&lt;'rittal uvodnice'!$D$5,'rittal uvodnice'!$A$5,
IF('kabeli i uvodnice'!G94&lt;'rittal uvodnice'!$D$6,'rittal uvodnice'!$A$6,
IF('kabeli i uvodnice'!G94&lt;'rittal uvodnice'!$D$7,'rittal uvodnice'!$A$7,
IF('kabeli i uvodnice'!G94&lt;'rittal uvodnice'!$D$8,'rittal uvodnice'!$A$8,
IF('kabeli i uvodnice'!G94&lt;'rittal uvodnice'!$D$9,'rittal uvodnice'!$A$9,
"PREVELIK"))))))))))</f>
        <v>2411811</v>
      </c>
      <c r="J94" s="13" t="str">
        <f>IF(ISBLANK('kabeli i uvodnice'!G94),"",
IF('kabeli i uvodnice'!G94&lt;'rittal uvodnice'!$C$2,"PREMALEN",
IF('kabeli i uvodnice'!G94&lt;'rittal uvodnice'!$D$2,'rittal uvodnice'!$B$2,
IF('kabeli i uvodnice'!G94&lt;'rittal uvodnice'!$D$3,'rittal uvodnice'!$B$3,
IF('kabeli i uvodnice'!G94&lt;'rittal uvodnice'!$D$4,'rittal uvodnice'!$B$4,
IF('kabeli i uvodnice'!G94&lt;'rittal uvodnice'!$D$5,'rittal uvodnice'!$B$5,
IF('kabeli i uvodnice'!G94&lt;'rittal uvodnice'!$D$6,'rittal uvodnice'!$B$6,
IF('kabeli i uvodnice'!G94&lt;'rittal uvodnice'!$D$7,'rittal uvodnice'!$B$7,
IF('kabeli i uvodnice'!G94&lt;'rittal uvodnice'!$D$8,'rittal uvodnice'!$B$8,
IF('kabeli i uvodnice'!G94&lt;'rittal uvodnice'!$D$9,'rittal uvodnice'!$B$9,
"PREVELIK"))))))))))</f>
        <v>M16 x 1.5</v>
      </c>
      <c r="L94" s="6"/>
    </row>
    <row r="95" spans="1:12" x14ac:dyDescent="0.25">
      <c r="A95" s="22" t="s">
        <v>138</v>
      </c>
      <c r="B95" s="26" t="s">
        <v>242</v>
      </c>
      <c r="C95" s="26" t="s">
        <v>241</v>
      </c>
      <c r="D95" s="30"/>
      <c r="E95" s="2" t="s">
        <v>14</v>
      </c>
      <c r="F95" s="2" t="s">
        <v>15</v>
      </c>
      <c r="G95" s="28">
        <v>6.5</v>
      </c>
      <c r="H95" s="20"/>
      <c r="I95" s="2">
        <f>IF(ISBLANK('kabeli i uvodnice'!G95),"",
IF('kabeli i uvodnice'!G95&lt;'rittal uvodnice'!$C$2,"PREMALEN",
IF('kabeli i uvodnice'!G95&lt;'rittal uvodnice'!$D$2,'rittal uvodnice'!$A$2,
IF('kabeli i uvodnice'!G95&lt;'rittal uvodnice'!$D$3,'rittal uvodnice'!$A$3,
IF('kabeli i uvodnice'!G95&lt;'rittal uvodnice'!$D$4,'rittal uvodnice'!$A$4,
IF('kabeli i uvodnice'!G95&lt;'rittal uvodnice'!$D$5,'rittal uvodnice'!$A$5,
IF('kabeli i uvodnice'!G95&lt;'rittal uvodnice'!$D$6,'rittal uvodnice'!$A$6,
IF('kabeli i uvodnice'!G95&lt;'rittal uvodnice'!$D$7,'rittal uvodnice'!$A$7,
IF('kabeli i uvodnice'!G95&lt;'rittal uvodnice'!$D$8,'rittal uvodnice'!$A$8,
IF('kabeli i uvodnice'!G95&lt;'rittal uvodnice'!$D$9,'rittal uvodnice'!$A$9,
"PREVELIK"))))))))))</f>
        <v>2411811</v>
      </c>
      <c r="J95" s="13" t="str">
        <f>IF(ISBLANK('kabeli i uvodnice'!G95),"",
IF('kabeli i uvodnice'!G95&lt;'rittal uvodnice'!$C$2,"PREMALEN",
IF('kabeli i uvodnice'!G95&lt;'rittal uvodnice'!$D$2,'rittal uvodnice'!$B$2,
IF('kabeli i uvodnice'!G95&lt;'rittal uvodnice'!$D$3,'rittal uvodnice'!$B$3,
IF('kabeli i uvodnice'!G95&lt;'rittal uvodnice'!$D$4,'rittal uvodnice'!$B$4,
IF('kabeli i uvodnice'!G95&lt;'rittal uvodnice'!$D$5,'rittal uvodnice'!$B$5,
IF('kabeli i uvodnice'!G95&lt;'rittal uvodnice'!$D$6,'rittal uvodnice'!$B$6,
IF('kabeli i uvodnice'!G95&lt;'rittal uvodnice'!$D$7,'rittal uvodnice'!$B$7,
IF('kabeli i uvodnice'!G95&lt;'rittal uvodnice'!$D$8,'rittal uvodnice'!$B$8,
IF('kabeli i uvodnice'!G95&lt;'rittal uvodnice'!$D$9,'rittal uvodnice'!$B$9,
"PREVELIK"))))))))))</f>
        <v>M16 x 1.5</v>
      </c>
      <c r="L95" s="6"/>
    </row>
    <row r="96" spans="1:12" x14ac:dyDescent="0.25">
      <c r="A96" s="22" t="s">
        <v>139</v>
      </c>
      <c r="B96" s="26" t="s">
        <v>243</v>
      </c>
      <c r="C96" s="26" t="s">
        <v>241</v>
      </c>
      <c r="D96" s="30"/>
      <c r="E96" s="2" t="s">
        <v>14</v>
      </c>
      <c r="F96" s="2" t="s">
        <v>15</v>
      </c>
      <c r="G96" s="28">
        <v>6.5</v>
      </c>
      <c r="H96" s="20"/>
      <c r="I96" s="2">
        <f>IF(ISBLANK('kabeli i uvodnice'!G96),"",
IF('kabeli i uvodnice'!G96&lt;'rittal uvodnice'!$C$2,"PREMALEN",
IF('kabeli i uvodnice'!G96&lt;'rittal uvodnice'!$D$2,'rittal uvodnice'!$A$2,
IF('kabeli i uvodnice'!G96&lt;'rittal uvodnice'!$D$3,'rittal uvodnice'!$A$3,
IF('kabeli i uvodnice'!G96&lt;'rittal uvodnice'!$D$4,'rittal uvodnice'!$A$4,
IF('kabeli i uvodnice'!G96&lt;'rittal uvodnice'!$D$5,'rittal uvodnice'!$A$5,
IF('kabeli i uvodnice'!G96&lt;'rittal uvodnice'!$D$6,'rittal uvodnice'!$A$6,
IF('kabeli i uvodnice'!G96&lt;'rittal uvodnice'!$D$7,'rittal uvodnice'!$A$7,
IF('kabeli i uvodnice'!G96&lt;'rittal uvodnice'!$D$8,'rittal uvodnice'!$A$8,
IF('kabeli i uvodnice'!G96&lt;'rittal uvodnice'!$D$9,'rittal uvodnice'!$A$9,
"PREVELIK"))))))))))</f>
        <v>2411811</v>
      </c>
      <c r="J96" s="13" t="str">
        <f>IF(ISBLANK('kabeli i uvodnice'!G96),"",
IF('kabeli i uvodnice'!G96&lt;'rittal uvodnice'!$C$2,"PREMALEN",
IF('kabeli i uvodnice'!G96&lt;'rittal uvodnice'!$D$2,'rittal uvodnice'!$B$2,
IF('kabeli i uvodnice'!G96&lt;'rittal uvodnice'!$D$3,'rittal uvodnice'!$B$3,
IF('kabeli i uvodnice'!G96&lt;'rittal uvodnice'!$D$4,'rittal uvodnice'!$B$4,
IF('kabeli i uvodnice'!G96&lt;'rittal uvodnice'!$D$5,'rittal uvodnice'!$B$5,
IF('kabeli i uvodnice'!G96&lt;'rittal uvodnice'!$D$6,'rittal uvodnice'!$B$6,
IF('kabeli i uvodnice'!G96&lt;'rittal uvodnice'!$D$7,'rittal uvodnice'!$B$7,
IF('kabeli i uvodnice'!G96&lt;'rittal uvodnice'!$D$8,'rittal uvodnice'!$B$8,
IF('kabeli i uvodnice'!G96&lt;'rittal uvodnice'!$D$9,'rittal uvodnice'!$B$9,
"PREVELIK"))))))))))</f>
        <v>M16 x 1.5</v>
      </c>
      <c r="L96" s="6"/>
    </row>
    <row r="97" spans="1:12" x14ac:dyDescent="0.25">
      <c r="A97" s="23" t="s">
        <v>140</v>
      </c>
      <c r="B97" s="27" t="s">
        <v>146</v>
      </c>
      <c r="C97" s="27" t="s">
        <v>241</v>
      </c>
      <c r="D97" s="31"/>
      <c r="E97" s="5"/>
      <c r="F97" s="5"/>
      <c r="G97" s="29"/>
      <c r="H97" s="21"/>
      <c r="I97" s="4" t="str">
        <f>IF(ISBLANK('kabeli i uvodnice'!G97),"",
IF('kabeli i uvodnice'!G97&lt;'rittal uvodnice'!$C$2,"PREMALEN",
IF('kabeli i uvodnice'!G97&lt;'rittal uvodnice'!$D$2,'rittal uvodnice'!$A$2,
IF('kabeli i uvodnice'!G97&lt;'rittal uvodnice'!$D$3,'rittal uvodnice'!$A$3,
IF('kabeli i uvodnice'!G97&lt;'rittal uvodnice'!$D$4,'rittal uvodnice'!$A$4,
IF('kabeli i uvodnice'!G97&lt;'rittal uvodnice'!$D$5,'rittal uvodnice'!$A$5,
IF('kabeli i uvodnice'!G97&lt;'rittal uvodnice'!$D$6,'rittal uvodnice'!$A$6,
IF('kabeli i uvodnice'!G97&lt;'rittal uvodnice'!$D$7,'rittal uvodnice'!$A$7,
IF('kabeli i uvodnice'!G97&lt;'rittal uvodnice'!$D$8,'rittal uvodnice'!$A$8,
IF('kabeli i uvodnice'!G97&lt;'rittal uvodnice'!$D$9,'rittal uvodnice'!$A$9,
"PREVELIK"))))))))))</f>
        <v/>
      </c>
      <c r="J97" s="14" t="str">
        <f>IF(ISBLANK('kabeli i uvodnice'!G97),"",
IF('kabeli i uvodnice'!G97&lt;'rittal uvodnice'!$C$2,"PREMALEN",
IF('kabeli i uvodnice'!G97&lt;'rittal uvodnice'!$D$2,'rittal uvodnice'!$B$2,
IF('kabeli i uvodnice'!G97&lt;'rittal uvodnice'!$D$3,'rittal uvodnice'!$B$3,
IF('kabeli i uvodnice'!G97&lt;'rittal uvodnice'!$D$4,'rittal uvodnice'!$B$4,
IF('kabeli i uvodnice'!G97&lt;'rittal uvodnice'!$D$5,'rittal uvodnice'!$B$5,
IF('kabeli i uvodnice'!G97&lt;'rittal uvodnice'!$D$6,'rittal uvodnice'!$B$6,
IF('kabeli i uvodnice'!G97&lt;'rittal uvodnice'!$D$7,'rittal uvodnice'!$B$7,
IF('kabeli i uvodnice'!G97&lt;'rittal uvodnice'!$D$8,'rittal uvodnice'!$B$8,
IF('kabeli i uvodnice'!G97&lt;'rittal uvodnice'!$D$9,'rittal uvodnice'!$B$9,
"PREVELIK"))))))))))</f>
        <v/>
      </c>
      <c r="K97" s="7"/>
      <c r="L97" s="7"/>
    </row>
  </sheetData>
  <mergeCells count="3">
    <mergeCell ref="I1:J1"/>
    <mergeCell ref="L1:L2"/>
    <mergeCell ref="A1:G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82DB-EA8A-4139-A472-C7F4C302F638}">
  <dimension ref="A1:F9"/>
  <sheetViews>
    <sheetView workbookViewId="0">
      <selection activeCell="B4" sqref="B4"/>
    </sheetView>
  </sheetViews>
  <sheetFormatPr defaultRowHeight="15" x14ac:dyDescent="0.25"/>
  <cols>
    <col min="1" max="6" width="21.28515625" customWidth="1"/>
  </cols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9">
        <v>2411801</v>
      </c>
      <c r="B2" s="11" t="s">
        <v>22</v>
      </c>
      <c r="C2" s="10">
        <v>3</v>
      </c>
      <c r="D2" s="10">
        <v>6.5</v>
      </c>
      <c r="E2" s="10">
        <v>6</v>
      </c>
      <c r="F2" s="10">
        <v>14</v>
      </c>
    </row>
    <row r="3" spans="1:6" x14ac:dyDescent="0.25">
      <c r="A3" s="9">
        <v>2411811</v>
      </c>
      <c r="B3" s="11" t="s">
        <v>23</v>
      </c>
      <c r="C3" s="10">
        <v>5</v>
      </c>
      <c r="D3" s="10">
        <v>10</v>
      </c>
      <c r="E3" s="10">
        <v>7</v>
      </c>
      <c r="F3" s="10">
        <v>20</v>
      </c>
    </row>
    <row r="4" spans="1:6" x14ac:dyDescent="0.25">
      <c r="A4" s="9">
        <v>2411821</v>
      </c>
      <c r="B4" s="11" t="s">
        <v>24</v>
      </c>
      <c r="C4" s="10">
        <v>6</v>
      </c>
      <c r="D4" s="10">
        <v>12</v>
      </c>
      <c r="E4" s="10">
        <v>8</v>
      </c>
      <c r="F4" s="10">
        <v>22</v>
      </c>
    </row>
    <row r="5" spans="1:6" x14ac:dyDescent="0.25">
      <c r="A5" s="9">
        <v>2411831</v>
      </c>
      <c r="B5" s="11" t="s">
        <v>25</v>
      </c>
      <c r="C5" s="10">
        <v>11</v>
      </c>
      <c r="D5" s="10">
        <v>17</v>
      </c>
      <c r="E5" s="10">
        <v>8</v>
      </c>
      <c r="F5" s="10">
        <v>27</v>
      </c>
    </row>
    <row r="6" spans="1:6" x14ac:dyDescent="0.25">
      <c r="A6" s="9">
        <v>2411841</v>
      </c>
      <c r="B6" s="11" t="s">
        <v>26</v>
      </c>
      <c r="C6" s="10">
        <v>15</v>
      </c>
      <c r="D6" s="10">
        <v>21</v>
      </c>
      <c r="E6" s="10">
        <v>8</v>
      </c>
      <c r="F6" s="10">
        <v>34</v>
      </c>
    </row>
    <row r="7" spans="1:6" x14ac:dyDescent="0.25">
      <c r="A7" s="9">
        <v>2411851</v>
      </c>
      <c r="B7" s="11" t="s">
        <v>27</v>
      </c>
      <c r="C7" s="10">
        <v>19</v>
      </c>
      <c r="D7" s="10">
        <v>28</v>
      </c>
      <c r="E7" s="10">
        <v>9</v>
      </c>
      <c r="F7" s="10">
        <v>43</v>
      </c>
    </row>
    <row r="8" spans="1:6" x14ac:dyDescent="0.25">
      <c r="A8" s="9">
        <v>2411861</v>
      </c>
      <c r="B8" s="11" t="s">
        <v>28</v>
      </c>
      <c r="C8" s="10">
        <v>27</v>
      </c>
      <c r="D8" s="10">
        <v>38</v>
      </c>
      <c r="E8" s="10">
        <v>9</v>
      </c>
      <c r="F8" s="10">
        <v>58</v>
      </c>
    </row>
    <row r="9" spans="1:6" x14ac:dyDescent="0.25">
      <c r="A9" s="9">
        <v>2411871</v>
      </c>
      <c r="B9" s="11" t="s">
        <v>29</v>
      </c>
      <c r="C9" s="10">
        <v>34</v>
      </c>
      <c r="D9" s="10">
        <v>44</v>
      </c>
      <c r="E9" s="10">
        <v>14</v>
      </c>
      <c r="F9" s="10">
        <v>64</v>
      </c>
    </row>
  </sheetData>
  <hyperlinks>
    <hyperlink ref="A2" r:id="rId1" display="https://www.rittal.com/com-en/products/PG20231215ZUB101/PG20240405ZUB003/PG20240405ZUB006/PRO68835?variantId=2411801" xr:uid="{F303F76E-FA25-4F1A-AABB-FD95C4A4F221}"/>
    <hyperlink ref="A3" r:id="rId2" display="https://www.rittal.com/com-en/products/PG20231215ZUB101/PG20240405ZUB003/PG20240405ZUB006/PRO68835?variantId=2411811" xr:uid="{2D501938-077C-4580-937F-0EFD211B9503}"/>
    <hyperlink ref="A4" r:id="rId3" display="https://www.rittal.com/com-en/products/PG20231215ZUB101/PG20240405ZUB003/PG20240405ZUB006/PRO68835?variantId=2411821" xr:uid="{89F039BF-1F99-4E71-918B-496E70102707}"/>
    <hyperlink ref="A5" r:id="rId4" display="https://www.rittal.com/com-en/products/PG20231215ZUB101/PG20240405ZUB003/PG20240405ZUB006/PRO68835?variantId=2411831" xr:uid="{5E040636-1A02-4855-8272-AD29FF21829C}"/>
    <hyperlink ref="A6" r:id="rId5" display="https://www.rittal.com/com-en/products/PG20231215ZUB101/PG20240405ZUB003/PG20240405ZUB006/PRO68835?variantId=2411841" xr:uid="{E5CC201D-9264-4785-9BAF-0225C120810C}"/>
    <hyperlink ref="A7" r:id="rId6" display="https://www.rittal.com/com-en/products/PG20231215ZUB101/PG20240405ZUB003/PG20240405ZUB006/PRO68835?variantId=2411851" xr:uid="{F117268A-D04D-420C-A9EF-EF7E758E129C}"/>
    <hyperlink ref="A8" r:id="rId7" display="https://www.rittal.com/com-en/products/PG20231215ZUB101/PG20240405ZUB003/PG20240405ZUB006/PRO68835?variantId=2411861" xr:uid="{B648D7B6-E616-4E21-BF0C-66958002BA3E}"/>
    <hyperlink ref="A9" r:id="rId8" display="https://www.rittal.com/com-en/products/PG20231215ZUB101/PG20240405ZUB003/PG20240405ZUB006/PRO68835?variantId=2411871" xr:uid="{8C5DE46C-4403-41E4-BBF4-FA0B539067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kabeli i uvodnice</vt:lpstr>
      <vt:lpstr>rittal uvodnice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2026-08-26T14:31:53Z</dcterms:created>
  <dcterms:modified xsi:type="dcterms:W3CDTF">2026-08-28T14:44:49Z</dcterms:modified>
</cp:coreProperties>
</file>