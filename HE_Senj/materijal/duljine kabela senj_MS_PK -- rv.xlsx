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ojak\Brodotehna\Projekti\HE_Senj\kabeli\"/>
    </mc:Choice>
  </mc:AlternateContent>
  <xr:revisionPtr revIDLastSave="0" documentId="13_ncr:1_{A3A5ED59-D4FE-4C06-86C3-826D976B8608}" xr6:coauthVersionLast="47" xr6:coauthVersionMax="47" xr10:uidLastSave="{00000000-0000-0000-0000-000000000000}"/>
  <bookViews>
    <workbookView xWindow="19095" yWindow="0" windowWidth="19410" windowHeight="20985" xr2:uid="{573ABA55-08CA-4828-838B-BACF92458A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1" i="1" l="1"/>
  <c r="C15" i="1"/>
  <c r="C16" i="1"/>
  <c r="C12" i="1"/>
  <c r="C6" i="1"/>
  <c r="C5" i="1"/>
  <c r="C4" i="1"/>
</calcChain>
</file>

<file path=xl/sharedStrings.xml><?xml version="1.0" encoding="utf-8"?>
<sst xmlns="http://schemas.openxmlformats.org/spreadsheetml/2006/main" count="109" uniqueCount="72">
  <si>
    <t>+Y CDP01</t>
  </si>
  <si>
    <t>+Y BJP14</t>
  </si>
  <si>
    <t>-YBJP14/W44</t>
  </si>
  <si>
    <t>+Y BJP14 GH001</t>
  </si>
  <si>
    <t>DOVOD ISTOSMJERNOG NAPONA 220V</t>
  </si>
  <si>
    <t>N2XCH 2×10/10 mm2</t>
  </si>
  <si>
    <t>-YCDP01/W352</t>
  </si>
  <si>
    <t>MJERAČ SALINITETA U ODVODNOM TUNELU AGREGATA A</t>
  </si>
  <si>
    <t>MJERAČ SALINITETA U ODVODNOM TUNELU AGREGATA B</t>
  </si>
  <si>
    <t>YCDP01/W353</t>
  </si>
  <si>
    <t>YCDP01/W354</t>
  </si>
  <si>
    <t>MJERAČ SALINITETA U ODVODNOM TUNELU AGREGATA C</t>
  </si>
  <si>
    <t>N2XCH 2×2,5/2,5 mm2</t>
  </si>
  <si>
    <t>N2XCH 2×2,5/1,5 mm2</t>
  </si>
  <si>
    <t>+Y BJP11</t>
  </si>
  <si>
    <t>+Y BJP12</t>
  </si>
  <si>
    <t>+Y BJP13</t>
  </si>
  <si>
    <t>-YBJP11/W351</t>
  </si>
  <si>
    <t>-YBJP12/W351</t>
  </si>
  <si>
    <t>-YBJP13/W351</t>
  </si>
  <si>
    <t>N2XCH 12×1,5/2,5mm²</t>
  </si>
  <si>
    <t>+Y CND01</t>
  </si>
  <si>
    <t>N2XCH 7×1,5/2,5mm²</t>
  </si>
  <si>
    <t>+Y BFG04</t>
  </si>
  <si>
    <t>+Y BFG11</t>
  </si>
  <si>
    <t>REGULACIJSKI VENTIL POMOĆNOG SUSTAVA OPSKRBE RASHLADNOM VODOM NAPAJANJE</t>
  </si>
  <si>
    <t>YBJP14/W3</t>
  </si>
  <si>
    <t>-YBJP14/W4</t>
  </si>
  <si>
    <t>-YBFG11/W4</t>
  </si>
  <si>
    <t>-YBFG04/W4</t>
  </si>
  <si>
    <t>-YBJP14/W5</t>
  </si>
  <si>
    <t>DOVODNI VENTIL GLAVNOG SUSTAVA OPSKRBE RASHLADNOM VODOM NAPAJANJE</t>
  </si>
  <si>
    <t>FILTAR VODE NA ULAZU U RASHLADNI BAZEN (500μm) NAPAJANJE</t>
  </si>
  <si>
    <t>FILTAR VODE NA ULAZU U RASHLADNI BAZEN (200μm) NAPAJANJE</t>
  </si>
  <si>
    <t>FILTAR VODE NA GRAVITACIJSKOM CJEV. NAPAJANJE</t>
  </si>
  <si>
    <t>FILTAR VODE ZA SUSTAV KLIMATIZACIJE NAPAJANJE</t>
  </si>
  <si>
    <t>+Y CDD01</t>
  </si>
  <si>
    <t>ISKLJUČENJE CRPKI</t>
  </si>
  <si>
    <t>PLOVNA SKLOPKA MINIMALNA KOTA</t>
  </si>
  <si>
    <t>PLOVNA SKLOPKA KOTA UKLJUCENJA PRVE CRPKE</t>
  </si>
  <si>
    <t>PLOVNA SKLOPKA KOTA UKLJUCENJA DRUGE CRPKE</t>
  </si>
  <si>
    <t>N2XCH 4×16/16 mm²</t>
  </si>
  <si>
    <t>-YBJP14/W45</t>
  </si>
  <si>
    <t>N2XCH 3×2,5/2,5 mm²</t>
  </si>
  <si>
    <t>ja sam u autocadu izracunala 51,1</t>
  </si>
  <si>
    <t>DO</t>
  </si>
  <si>
    <t>KABEL</t>
  </si>
  <si>
    <t>VRSTA</t>
  </si>
  <si>
    <t>N2XCH 4×120/120 mm2</t>
  </si>
  <si>
    <t>-BBJQ01/W3</t>
  </si>
  <si>
    <t>Crpka rashlade 2</t>
  </si>
  <si>
    <t>DULJINA (m)</t>
  </si>
  <si>
    <t>Y BUA51 W136</t>
  </si>
  <si>
    <t>Y BUA52 W137</t>
  </si>
  <si>
    <t>ja sam u autocadu izracunala 51,1, ali ako uzmem 5 vise nego bjp14 do bjp14 gh001 onda je 75</t>
  </si>
  <si>
    <t xml:space="preserve">u autocadu sam izracunala 69, ali stavljam isto kao napajanje za bjp14 </t>
  </si>
  <si>
    <t>Od</t>
  </si>
  <si>
    <t>KOMENTAR</t>
  </si>
  <si>
    <t>Duljina iz GP</t>
  </si>
  <si>
    <t>Duljina iz GP kao stavka gore + 5m</t>
  </si>
  <si>
    <t>DULJINA - KONAČNO (m)</t>
  </si>
  <si>
    <t>ORMARI NA +7,03, Bazen ma +28,53, pumpe na - 2,67</t>
  </si>
  <si>
    <t>Isto kao za mjerače saliniteta</t>
  </si>
  <si>
    <t>10 m udaljenosti između agregata</t>
  </si>
  <si>
    <t xml:space="preserve">Iz GP-a </t>
  </si>
  <si>
    <t>Iz GP-a + 10m</t>
  </si>
  <si>
    <t>VENTIL POMOĆNOG SUSTAVA OPSKRBE RASHLADNOM VODOM NAPAJANJE</t>
  </si>
  <si>
    <t>Generalno Y CDP01 do bazena je 65 m</t>
  </si>
  <si>
    <t>Slično kao za filtar vode na grav. Cjev</t>
  </si>
  <si>
    <t>Sve od Y BJP14 Y CDP01 do bazena se može uzimati 65 pa ćemo vidjeti kolika će ispasti konačna količina kabela</t>
  </si>
  <si>
    <t>Najveća udaljenost od Y BJP14 Y CDP01 do POMOĆNOG SUSTAVA OPSKRBE je 40 m</t>
  </si>
  <si>
    <t>+B BJQ01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</si>
</sst>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3" fillId="0" borderId="1" xfId="0" applyFont="1" applyBorder="1"/>
    <xf numFmtId="49" fontId="3" fillId="0" borderId="1" xfId="0" applyNumberFormat="1" applyFont="1" applyBorder="1"/>
    <xf numFmtId="0" fontId="4" fillId="0" borderId="0" xfId="0" applyFont="1"/>
    <xf numFmtId="0" fontId="4" fillId="0" borderId="2" xfId="0" applyFont="1" applyBorder="1"/>
    <xf numFmtId="0" fontId="1" fillId="0" borderId="1" xfId="1" applyFont="1" applyFill="1" applyBorder="1"/>
    <xf numFmtId="49" fontId="0" fillId="0" borderId="1" xfId="0" applyNumberFormat="1" applyFont="1" applyFill="1" applyBorder="1"/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/>
    <xf numFmtId="49" fontId="0" fillId="0" borderId="1" xfId="0" quotePrefix="1" applyNumberFormat="1" applyFont="1" applyFill="1" applyBorder="1"/>
  </cellXfs>
  <cellStyles count="2">
    <cellStyle name="Neutral" xfId="1" builtinId="28"/>
    <cellStyle name="Normal" xfId="0" builtinId="0"/>
  </cellStyles>
  <dxfs count="1"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A5F76-F28E-4125-898F-6C20B00A40F7}">
  <dimension ref="A1:H30"/>
  <sheetViews>
    <sheetView tabSelected="1" zoomScale="96" zoomScaleNormal="96" workbookViewId="0">
      <selection activeCell="D12" sqref="D12"/>
    </sheetView>
  </sheetViews>
  <sheetFormatPr defaultRowHeight="15" x14ac:dyDescent="0.25"/>
  <cols>
    <col min="1" max="1" width="16.28515625" bestFit="1" customWidth="1"/>
    <col min="2" max="2" width="37.7109375" bestFit="1" customWidth="1"/>
    <col min="3" max="3" width="12.85546875" bestFit="1" customWidth="1"/>
    <col min="4" max="4" width="23.5703125" bestFit="1" customWidth="1"/>
    <col min="5" max="5" width="15.7109375" style="2" hidden="1" customWidth="1"/>
    <col min="6" max="6" width="24" bestFit="1" customWidth="1"/>
    <col min="7" max="7" width="68.7109375" style="1" bestFit="1" customWidth="1"/>
    <col min="8" max="8" width="101.140625" bestFit="1" customWidth="1"/>
  </cols>
  <sheetData>
    <row r="1" spans="1:8" ht="15.75" x14ac:dyDescent="0.25">
      <c r="A1" s="3" t="s">
        <v>56</v>
      </c>
      <c r="B1" s="3" t="s">
        <v>45</v>
      </c>
      <c r="C1" s="3" t="s">
        <v>51</v>
      </c>
      <c r="D1" s="3" t="s">
        <v>60</v>
      </c>
      <c r="E1" s="4" t="s">
        <v>46</v>
      </c>
      <c r="F1" s="3" t="s">
        <v>47</v>
      </c>
      <c r="G1" s="3" t="s">
        <v>57</v>
      </c>
      <c r="H1" s="5"/>
    </row>
    <row r="2" spans="1:8" ht="15.75" x14ac:dyDescent="0.25">
      <c r="A2" s="8" t="s">
        <v>0</v>
      </c>
      <c r="B2" s="9" t="s">
        <v>4</v>
      </c>
      <c r="C2" s="10">
        <v>147</v>
      </c>
      <c r="D2" s="10">
        <v>147</v>
      </c>
      <c r="E2" s="8" t="s">
        <v>52</v>
      </c>
      <c r="F2" s="10" t="s">
        <v>5</v>
      </c>
      <c r="G2" s="9" t="s">
        <v>58</v>
      </c>
      <c r="H2" s="5" t="s">
        <v>61</v>
      </c>
    </row>
    <row r="3" spans="1:8" ht="15.75" x14ac:dyDescent="0.25">
      <c r="A3" s="8" t="s">
        <v>0</v>
      </c>
      <c r="B3" s="9" t="s">
        <v>4</v>
      </c>
      <c r="C3" s="10">
        <v>152</v>
      </c>
      <c r="D3" s="10">
        <v>152</v>
      </c>
      <c r="E3" s="8" t="s">
        <v>53</v>
      </c>
      <c r="F3" s="10" t="s">
        <v>5</v>
      </c>
      <c r="G3" s="9" t="s">
        <v>59</v>
      </c>
      <c r="H3" s="6" t="s">
        <v>69</v>
      </c>
    </row>
    <row r="4" spans="1:8" ht="30" x14ac:dyDescent="0.25">
      <c r="A4" s="8" t="s">
        <v>0</v>
      </c>
      <c r="B4" s="10" t="s">
        <v>3</v>
      </c>
      <c r="C4" s="10">
        <f>2.5+0.8+4.5+9.3+2.7+0.5+10.5+21+7.5+2.5</f>
        <v>61.8</v>
      </c>
      <c r="D4" s="10">
        <v>65</v>
      </c>
      <c r="E4" s="8"/>
      <c r="F4" s="10"/>
      <c r="G4" s="9" t="s">
        <v>54</v>
      </c>
      <c r="H4" s="5" t="s">
        <v>70</v>
      </c>
    </row>
    <row r="5" spans="1:8" ht="15.75" x14ac:dyDescent="0.25">
      <c r="A5" s="11" t="s">
        <v>1</v>
      </c>
      <c r="B5" s="10" t="s">
        <v>3</v>
      </c>
      <c r="C5" s="10">
        <f>2.5+0.8+4.5+9.3+2.7+0.5+10.5+21+5.5+2.5</f>
        <v>59.8</v>
      </c>
      <c r="D5" s="10">
        <v>65</v>
      </c>
      <c r="E5" s="8"/>
      <c r="F5" s="10"/>
      <c r="G5" s="9" t="s">
        <v>44</v>
      </c>
      <c r="H5" s="5"/>
    </row>
    <row r="6" spans="1:8" ht="30" x14ac:dyDescent="0.25">
      <c r="A6" s="8" t="s">
        <v>0</v>
      </c>
      <c r="B6" s="9" t="s">
        <v>7</v>
      </c>
      <c r="C6" s="10">
        <f>2.5+27+10+7.5+2.5</f>
        <v>49.5</v>
      </c>
      <c r="D6" s="10">
        <v>50</v>
      </c>
      <c r="E6" s="8" t="s">
        <v>6</v>
      </c>
      <c r="F6" s="10" t="s">
        <v>13</v>
      </c>
      <c r="G6" s="9"/>
      <c r="H6" s="5"/>
    </row>
    <row r="7" spans="1:8" ht="30" x14ac:dyDescent="0.25">
      <c r="A7" s="8" t="s">
        <v>0</v>
      </c>
      <c r="B7" s="9" t="s">
        <v>8</v>
      </c>
      <c r="C7" s="10"/>
      <c r="D7" s="10">
        <v>40</v>
      </c>
      <c r="E7" s="8" t="s">
        <v>9</v>
      </c>
      <c r="F7" s="10" t="s">
        <v>12</v>
      </c>
      <c r="G7" s="9" t="s">
        <v>63</v>
      </c>
      <c r="H7" s="5"/>
    </row>
    <row r="8" spans="1:8" ht="30" x14ac:dyDescent="0.25">
      <c r="A8" s="8" t="s">
        <v>0</v>
      </c>
      <c r="B8" s="9" t="s">
        <v>11</v>
      </c>
      <c r="C8" s="10"/>
      <c r="D8" s="10">
        <v>30</v>
      </c>
      <c r="E8" s="8" t="s">
        <v>10</v>
      </c>
      <c r="F8" s="10" t="s">
        <v>12</v>
      </c>
      <c r="G8" s="9"/>
      <c r="H8" s="5"/>
    </row>
    <row r="9" spans="1:8" ht="15.75" x14ac:dyDescent="0.25">
      <c r="A9" s="8" t="s">
        <v>0</v>
      </c>
      <c r="B9" s="10" t="s">
        <v>14</v>
      </c>
      <c r="C9" s="10"/>
      <c r="D9" s="10">
        <v>50</v>
      </c>
      <c r="E9" s="8" t="s">
        <v>17</v>
      </c>
      <c r="F9" s="10" t="s">
        <v>20</v>
      </c>
      <c r="G9" s="9" t="s">
        <v>62</v>
      </c>
      <c r="H9" s="5"/>
    </row>
    <row r="10" spans="1:8" ht="15.75" x14ac:dyDescent="0.25">
      <c r="A10" s="8" t="s">
        <v>0</v>
      </c>
      <c r="B10" s="10" t="s">
        <v>15</v>
      </c>
      <c r="C10" s="10"/>
      <c r="D10" s="10">
        <v>40</v>
      </c>
      <c r="E10" s="8" t="s">
        <v>18</v>
      </c>
      <c r="F10" s="10" t="s">
        <v>20</v>
      </c>
      <c r="G10" s="9"/>
      <c r="H10" s="5"/>
    </row>
    <row r="11" spans="1:8" ht="15.75" x14ac:dyDescent="0.25">
      <c r="A11" s="8" t="s">
        <v>0</v>
      </c>
      <c r="B11" s="10" t="s">
        <v>16</v>
      </c>
      <c r="C11" s="10"/>
      <c r="D11" s="10">
        <v>30</v>
      </c>
      <c r="E11" s="8" t="s">
        <v>19</v>
      </c>
      <c r="F11" s="10" t="s">
        <v>20</v>
      </c>
      <c r="G11" s="9"/>
      <c r="H11" s="5"/>
    </row>
    <row r="12" spans="1:8" ht="15.75" x14ac:dyDescent="0.25">
      <c r="A12" s="8" t="s">
        <v>0</v>
      </c>
      <c r="B12" s="10" t="s">
        <v>21</v>
      </c>
      <c r="C12" s="10">
        <f>2.5+2.5+5+10+50+12+2.5</f>
        <v>84.5</v>
      </c>
      <c r="D12" s="10">
        <v>90</v>
      </c>
      <c r="E12" s="8"/>
      <c r="F12" s="10" t="s">
        <v>22</v>
      </c>
      <c r="G12" s="9" t="s">
        <v>55</v>
      </c>
      <c r="H12" s="5"/>
    </row>
    <row r="13" spans="1:8" ht="15.75" x14ac:dyDescent="0.25">
      <c r="A13" s="8" t="s">
        <v>1</v>
      </c>
      <c r="B13" s="10" t="s">
        <v>23</v>
      </c>
      <c r="C13" s="10">
        <v>92</v>
      </c>
      <c r="D13" s="10">
        <v>95</v>
      </c>
      <c r="E13" s="10" t="s">
        <v>29</v>
      </c>
      <c r="F13" s="10" t="s">
        <v>41</v>
      </c>
      <c r="G13" s="9" t="s">
        <v>64</v>
      </c>
      <c r="H13" s="5"/>
    </row>
    <row r="14" spans="1:8" ht="15.75" x14ac:dyDescent="0.25">
      <c r="A14" s="8" t="s">
        <v>1</v>
      </c>
      <c r="B14" s="10" t="s">
        <v>24</v>
      </c>
      <c r="C14" s="10">
        <v>102</v>
      </c>
      <c r="D14" s="10">
        <v>105</v>
      </c>
      <c r="E14" s="10" t="s">
        <v>28</v>
      </c>
      <c r="F14" s="10" t="s">
        <v>41</v>
      </c>
      <c r="G14" s="9" t="s">
        <v>65</v>
      </c>
      <c r="H14" s="5"/>
    </row>
    <row r="15" spans="1:8" ht="45" x14ac:dyDescent="0.25">
      <c r="A15" s="8" t="s">
        <v>1</v>
      </c>
      <c r="B15" s="9" t="s">
        <v>25</v>
      </c>
      <c r="C15" s="10">
        <f>2.5+7+5+12+5</f>
        <v>31.5</v>
      </c>
      <c r="D15" s="10">
        <v>40</v>
      </c>
      <c r="E15" s="10" t="s">
        <v>26</v>
      </c>
      <c r="F15" s="10"/>
      <c r="G15" s="9"/>
      <c r="H15" s="5"/>
    </row>
    <row r="16" spans="1:8" ht="30" x14ac:dyDescent="0.25">
      <c r="A16" s="8" t="s">
        <v>1</v>
      </c>
      <c r="B16" s="9" t="s">
        <v>66</v>
      </c>
      <c r="C16" s="10">
        <f>2.5+7+5+12+5</f>
        <v>31.5</v>
      </c>
      <c r="D16" s="10">
        <v>35</v>
      </c>
      <c r="E16" s="10" t="s">
        <v>27</v>
      </c>
      <c r="F16" s="10"/>
      <c r="G16" s="9"/>
      <c r="H16" s="5"/>
    </row>
    <row r="17" spans="1:8" ht="45" x14ac:dyDescent="0.25">
      <c r="A17" s="8" t="s">
        <v>1</v>
      </c>
      <c r="B17" s="9" t="s">
        <v>31</v>
      </c>
      <c r="C17" s="10">
        <v>65</v>
      </c>
      <c r="D17" s="10">
        <v>65</v>
      </c>
      <c r="E17" s="10" t="s">
        <v>30</v>
      </c>
      <c r="F17" s="10"/>
      <c r="G17" s="9" t="s">
        <v>67</v>
      </c>
      <c r="H17" s="5"/>
    </row>
    <row r="18" spans="1:8" ht="30" x14ac:dyDescent="0.25">
      <c r="A18" s="8" t="s">
        <v>1</v>
      </c>
      <c r="B18" s="9" t="s">
        <v>32</v>
      </c>
      <c r="C18" s="10">
        <v>65</v>
      </c>
      <c r="D18" s="10">
        <v>65</v>
      </c>
      <c r="E18" s="8"/>
      <c r="F18" s="10"/>
      <c r="G18" s="9"/>
      <c r="H18" s="5"/>
    </row>
    <row r="19" spans="1:8" ht="30" x14ac:dyDescent="0.25">
      <c r="A19" s="8" t="s">
        <v>1</v>
      </c>
      <c r="B19" s="9" t="s">
        <v>32</v>
      </c>
      <c r="C19" s="10">
        <v>65</v>
      </c>
      <c r="D19" s="10">
        <v>65</v>
      </c>
      <c r="E19" s="8"/>
      <c r="F19" s="10"/>
      <c r="G19" s="9"/>
      <c r="H19" s="5"/>
    </row>
    <row r="20" spans="1:8" ht="30" x14ac:dyDescent="0.25">
      <c r="A20" s="8" t="s">
        <v>1</v>
      </c>
      <c r="B20" s="9" t="s">
        <v>33</v>
      </c>
      <c r="C20" s="10">
        <v>65</v>
      </c>
      <c r="D20" s="10">
        <v>65</v>
      </c>
      <c r="E20" s="8"/>
      <c r="F20" s="10"/>
      <c r="G20" s="9"/>
      <c r="H20" s="5"/>
    </row>
    <row r="21" spans="1:8" ht="30" x14ac:dyDescent="0.25">
      <c r="A21" s="8" t="s">
        <v>1</v>
      </c>
      <c r="B21" s="9" t="s">
        <v>34</v>
      </c>
      <c r="C21" s="10">
        <f>2.5+7.5+10+10+2.5</f>
        <v>32.5</v>
      </c>
      <c r="D21" s="10">
        <v>35</v>
      </c>
      <c r="E21" s="8"/>
      <c r="F21" s="10"/>
      <c r="G21" s="9"/>
      <c r="H21" s="5"/>
    </row>
    <row r="22" spans="1:8" ht="30" x14ac:dyDescent="0.25">
      <c r="A22" s="8" t="s">
        <v>1</v>
      </c>
      <c r="B22" s="9" t="s">
        <v>35</v>
      </c>
      <c r="C22" s="10"/>
      <c r="D22" s="10">
        <v>35</v>
      </c>
      <c r="E22" s="8"/>
      <c r="F22" s="10"/>
      <c r="G22" s="9" t="s">
        <v>68</v>
      </c>
      <c r="H22" s="5"/>
    </row>
    <row r="23" spans="1:8" ht="15.75" x14ac:dyDescent="0.25">
      <c r="A23" s="8" t="s">
        <v>1</v>
      </c>
      <c r="B23" s="10" t="s">
        <v>3</v>
      </c>
      <c r="C23" s="10">
        <v>65</v>
      </c>
      <c r="D23" s="10">
        <v>65</v>
      </c>
      <c r="E23" s="7" t="s">
        <v>2</v>
      </c>
      <c r="F23" s="10" t="s">
        <v>43</v>
      </c>
      <c r="G23" s="9"/>
      <c r="H23" s="5"/>
    </row>
    <row r="24" spans="1:8" ht="15.75" x14ac:dyDescent="0.25">
      <c r="A24" s="8" t="s">
        <v>1</v>
      </c>
      <c r="B24" s="10" t="s">
        <v>36</v>
      </c>
      <c r="C24" s="10">
        <v>10</v>
      </c>
      <c r="D24" s="10"/>
      <c r="E24" s="10" t="s">
        <v>42</v>
      </c>
      <c r="F24" s="10"/>
      <c r="G24" s="9"/>
      <c r="H24" s="5"/>
    </row>
    <row r="25" spans="1:8" ht="15.75" x14ac:dyDescent="0.25">
      <c r="A25" s="8" t="s">
        <v>3</v>
      </c>
      <c r="B25" s="10" t="s">
        <v>1</v>
      </c>
      <c r="C25" s="10">
        <v>65</v>
      </c>
      <c r="D25" s="10">
        <v>65</v>
      </c>
      <c r="E25" s="8"/>
      <c r="F25" s="10"/>
      <c r="G25" s="9"/>
      <c r="H25" s="5"/>
    </row>
    <row r="26" spans="1:8" ht="15.75" x14ac:dyDescent="0.25">
      <c r="A26" s="8" t="s">
        <v>3</v>
      </c>
      <c r="B26" s="9" t="s">
        <v>38</v>
      </c>
      <c r="C26" s="10">
        <v>15</v>
      </c>
      <c r="D26" s="10">
        <v>15</v>
      </c>
      <c r="E26" s="8"/>
      <c r="F26" s="10"/>
      <c r="G26" s="9"/>
      <c r="H26" s="5"/>
    </row>
    <row r="27" spans="1:8" ht="30" x14ac:dyDescent="0.25">
      <c r="A27" s="8" t="s">
        <v>3</v>
      </c>
      <c r="B27" s="9" t="s">
        <v>39</v>
      </c>
      <c r="C27" s="10">
        <v>10</v>
      </c>
      <c r="D27" s="10">
        <v>10</v>
      </c>
      <c r="E27" s="8"/>
      <c r="F27" s="10"/>
      <c r="G27" s="9"/>
      <c r="H27" s="5"/>
    </row>
    <row r="28" spans="1:8" ht="30" x14ac:dyDescent="0.25">
      <c r="A28" s="8" t="s">
        <v>3</v>
      </c>
      <c r="B28" s="9" t="s">
        <v>40</v>
      </c>
      <c r="C28" s="10">
        <v>10</v>
      </c>
      <c r="D28" s="10">
        <v>10</v>
      </c>
      <c r="E28" s="8"/>
      <c r="F28" s="10"/>
      <c r="G28" s="9"/>
      <c r="H28" s="5"/>
    </row>
    <row r="29" spans="1:8" ht="15.75" x14ac:dyDescent="0.25">
      <c r="A29" s="8" t="s">
        <v>3</v>
      </c>
      <c r="B29" s="10" t="s">
        <v>37</v>
      </c>
      <c r="C29" s="10">
        <v>10</v>
      </c>
      <c r="D29" s="10">
        <v>10</v>
      </c>
      <c r="E29" s="8"/>
      <c r="F29" s="10"/>
      <c r="G29" s="9"/>
      <c r="H29" s="5"/>
    </row>
    <row r="30" spans="1:8" ht="15.75" x14ac:dyDescent="0.25">
      <c r="A30" s="8" t="s">
        <v>71</v>
      </c>
      <c r="B30" s="10" t="s">
        <v>15</v>
      </c>
      <c r="C30" s="10">
        <v>15</v>
      </c>
      <c r="D30" s="10">
        <v>15</v>
      </c>
      <c r="E30" s="10" t="s">
        <v>49</v>
      </c>
      <c r="F30" s="10" t="s">
        <v>48</v>
      </c>
      <c r="G30" s="9" t="s">
        <v>50</v>
      </c>
      <c r="H30" s="5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6770EA2D3243A4E871C258C6397ABCA" ma:contentTypeVersion="16" ma:contentTypeDescription="Stvaranje novog dokumenta." ma:contentTypeScope="" ma:versionID="1f70dd421eaced105b84c6f21802dadb">
  <xsd:schema xmlns:xsd="http://www.w3.org/2001/XMLSchema" xmlns:xs="http://www.w3.org/2001/XMLSchema" xmlns:p="http://schemas.microsoft.com/office/2006/metadata/properties" xmlns:ns2="cb99a263-0cc5-412a-ad04-307615702435" xmlns:ns3="a486d5e1-3a6b-439a-b9ea-fc051f5e5abb" targetNamespace="http://schemas.microsoft.com/office/2006/metadata/properties" ma:root="true" ma:fieldsID="8bb49020e3ff27458e9c0ff97c86a345" ns2:_="" ns3:_="">
    <xsd:import namespace="cb99a263-0cc5-412a-ad04-307615702435"/>
    <xsd:import namespace="a486d5e1-3a6b-439a-b9ea-fc051f5e5ab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99a263-0cc5-412a-ad04-3076157024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Zajednički se koristi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ji o zajedničkom korištenju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370db87-2c73-48f3-ac19-a91cfe41422e}" ma:internalName="TaxCatchAll" ma:showField="CatchAllData" ma:web="cb99a263-0cc5-412a-ad04-3076157024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86d5e1-3a6b-439a-b9ea-fc051f5e5a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Oznake slika" ma:readOnly="false" ma:fieldId="{5cf76f15-5ced-4ddc-b409-7134ff3c332f}" ma:taxonomyMulti="true" ma:sspId="ba2cfd72-6e19-40fc-b474-3fa01fc797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99a263-0cc5-412a-ad04-307615702435" xsi:nil="true"/>
    <lcf76f155ced4ddcb4097134ff3c332f xmlns="a486d5e1-3a6b-439a-b9ea-fc051f5e5a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A51E0A-9624-435D-94FB-D572BAAF80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99a263-0cc5-412a-ad04-307615702435"/>
    <ds:schemaRef ds:uri="a486d5e1-3a6b-439a-b9ea-fc051f5e5a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7A2077-F1FE-45A1-9BD1-96B6D114DD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079FFC-0449-4F67-905A-08E5E18E4774}">
  <ds:schemaRefs>
    <ds:schemaRef ds:uri="http://schemas.microsoft.com/office/2006/metadata/properties"/>
    <ds:schemaRef ds:uri="http://schemas.microsoft.com/office/infopath/2007/PartnerControls"/>
    <ds:schemaRef ds:uri="cb99a263-0cc5-412a-ad04-307615702435"/>
    <ds:schemaRef ds:uri="a486d5e1-3a6b-439a-b9ea-fc051f5e5ab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Magdalena Skoblar</dc:creator>
  <cp:lastModifiedBy>Fran Švarc</cp:lastModifiedBy>
  <dcterms:created xsi:type="dcterms:W3CDTF">2026-07-27T07:26:15Z</dcterms:created>
  <dcterms:modified xsi:type="dcterms:W3CDTF">2026-08-28T14:22:22Z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0x01010056770EA2D3243A4E871C258C6397ABCA</vt:lpwstr>
  </property>
  <property fmtid="{D5CDD505-2E9C-101B-9397-08002B2CF9AE}" pid="3" name="MediaServiceImageTags">
    <vt:lpwstr/>
  </property>
</Properties>
</file>