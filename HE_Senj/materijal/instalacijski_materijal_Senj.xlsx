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dojak\Brodotehna\Projekti\HE_Senj\materijal\"/>
    </mc:Choice>
  </mc:AlternateContent>
  <xr:revisionPtr revIDLastSave="0" documentId="13_ncr:1_{DC316736-9288-465A-8D62-8A119A19F926}" xr6:coauthVersionLast="47" xr6:coauthVersionMax="47" xr10:uidLastSave="{00000000-0000-0000-0000-000000000000}"/>
  <bookViews>
    <workbookView xWindow="-120" yWindow="-120" windowWidth="38640" windowHeight="21120" xr2:uid="{C49DCCE8-C980-47C6-9EFE-096C27DA33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  <c r="D12" i="1"/>
  <c r="D5" i="1" l="1"/>
  <c r="D6" i="1"/>
  <c r="D7" i="1"/>
  <c r="D3" i="1"/>
  <c r="H6" i="1"/>
  <c r="D4" i="1" s="1"/>
  <c r="H4" i="1"/>
</calcChain>
</file>

<file path=xl/sharedStrings.xml><?xml version="1.0" encoding="utf-8"?>
<sst xmlns="http://schemas.openxmlformats.org/spreadsheetml/2006/main" count="36" uniqueCount="36">
  <si>
    <t>PRESJEK</t>
  </si>
  <si>
    <t>UKUPNO ŽILA</t>
  </si>
  <si>
    <t>INSTALACIJSKI MATERIJAL</t>
  </si>
  <si>
    <t>r.b.</t>
  </si>
  <si>
    <t>oznaka elementa</t>
  </si>
  <si>
    <t>opis elementa</t>
  </si>
  <si>
    <t>količina (kom)</t>
  </si>
  <si>
    <t>HA270808</t>
  </si>
  <si>
    <t>TULJAK IZOL 1,5/8 CRNI (100)</t>
  </si>
  <si>
    <t>HA270810</t>
  </si>
  <si>
    <t>TULJAK IZOL 2,5/8 PLAVI (100)</t>
  </si>
  <si>
    <t>HA270803</t>
  </si>
  <si>
    <t>TULJAK IZOL 0,75/8 SIVI (100)</t>
  </si>
  <si>
    <t>HA270814</t>
  </si>
  <si>
    <t>TULJAK IZOL 4/10 SIVI (100)</t>
  </si>
  <si>
    <t>HA270818</t>
  </si>
  <si>
    <t>TULJAK IZOL 6/12 ŽUTI (100)</t>
  </si>
  <si>
    <t>KOLIČINA</t>
  </si>
  <si>
    <t>N2XCH 4x120/70 mm²</t>
  </si>
  <si>
    <t>N2XCH-J 4x16/16 mm²</t>
  </si>
  <si>
    <t>N2XCH 2x10/10 mm²</t>
  </si>
  <si>
    <t>STOPICA 16 mm²</t>
  </si>
  <si>
    <t>STOPICA 10 mm²</t>
  </si>
  <si>
    <t>STOPICA 2,5 mm²</t>
  </si>
  <si>
    <t>N2XCH 3x2,5/2,5 mm²</t>
  </si>
  <si>
    <t>N2XCH 2x2,5/2,5 mm²</t>
  </si>
  <si>
    <t>KABEL</t>
  </si>
  <si>
    <t>STOPICA 70 mm²</t>
  </si>
  <si>
    <t>STOPICA 1,5 mm²</t>
  </si>
  <si>
    <t>HSLCH-JZ 12x1,5 mm²</t>
  </si>
  <si>
    <t>HSLCH-JZ 7x1,5 mm²</t>
  </si>
  <si>
    <t>HSLCH-JZ 5x1,5 mm²</t>
  </si>
  <si>
    <t>HSLCH-JZ 3x1,5 mm²</t>
  </si>
  <si>
    <t>HSLCH 7x1,5 mm²</t>
  </si>
  <si>
    <t>HSLCH 5x1,5 mm²</t>
  </si>
  <si>
    <t>HSLCH-OZ 3x1,5 mm²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</si>
</sst>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49" fontId="1" fillId="0" borderId="0"/>
    <xf numFmtId="49" fontId="1" fillId="0" borderId="0"/>
  </cellStyleXfs>
  <cellXfs count="15">
    <xf numFmtId="0" fontId="0" fillId="0" borderId="0" xfId="0"/>
    <xf numFmtId="0" fontId="2" fillId="0" borderId="1" xfId="1" applyNumberFormat="1" applyFont="1" applyBorder="1"/>
    <xf numFmtId="0" fontId="2" fillId="0" borderId="2" xfId="2" applyNumberFormat="1" applyFont="1" applyBorder="1"/>
    <xf numFmtId="0" fontId="1" fillId="0" borderId="4" xfId="2" applyNumberFormat="1" applyBorder="1"/>
    <xf numFmtId="0" fontId="0" fillId="0" borderId="4" xfId="0" applyBorder="1"/>
    <xf numFmtId="0" fontId="2" fillId="0" borderId="7" xfId="0" applyFont="1" applyBorder="1"/>
    <xf numFmtId="0" fontId="1" fillId="2" borderId="4" xfId="2" applyNumberFormat="1" applyFill="1" applyBorder="1"/>
    <xf numFmtId="0" fontId="1" fillId="2" borderId="6" xfId="2" applyNumberFormat="1" applyFill="1" applyBorder="1"/>
    <xf numFmtId="0" fontId="0" fillId="2" borderId="3" xfId="0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0" borderId="3" xfId="0" applyBorder="1"/>
    <xf numFmtId="0" fontId="2" fillId="0" borderId="1" xfId="0" applyFont="1" applyBorder="1"/>
    <xf numFmtId="0" fontId="2" fillId="0" borderId="2" xfId="0" applyFont="1" applyBorder="1"/>
    <xf numFmtId="0" fontId="2" fillId="0" borderId="0" xfId="0" applyFont="1" applyAlignment="1">
      <alignment horizontal="center"/>
    </xf>
  </cellXfs>
  <cellStyles count="3">
    <cellStyle name="ColStyle7" xfId="1" xr:uid="{3EED7DA7-F8D0-4CC7-9509-DA0855E2A673}"/>
    <cellStyle name="ColStyle8" xfId="2" xr:uid="{8D649186-F4CA-4EDA-9724-8FAFF63E1BE1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BBBB-04B2-4DEB-AB54-74889ECE6FF4}">
  <dimension ref="A1:K14"/>
  <sheetViews>
    <sheetView tabSelected="1" zoomScaleNormal="100" workbookViewId="0">
      <selection activeCell="U12" sqref="U12"/>
    </sheetView>
  </sheetViews>
  <sheetFormatPr defaultRowHeight="15" x14ac:dyDescent="0.25"/>
  <cols>
    <col min="1" max="1" width="11.140625" customWidth="1"/>
    <col min="2" max="2" width="21.7109375" customWidth="1"/>
    <col min="3" max="3" width="30.7109375" customWidth="1"/>
    <col min="4" max="4" width="21.7109375" customWidth="1"/>
    <col min="7" max="8" width="22.5703125" customWidth="1"/>
    <col min="10" max="11" width="24.140625" customWidth="1"/>
  </cols>
  <sheetData>
    <row r="1" spans="1:11" ht="15.75" thickBot="1" x14ac:dyDescent="0.3">
      <c r="A1" s="14" t="s">
        <v>2</v>
      </c>
      <c r="B1" s="14"/>
      <c r="C1" s="14"/>
      <c r="D1" s="14"/>
    </row>
    <row r="2" spans="1:11" ht="15.75" thickBot="1" x14ac:dyDescent="0.3">
      <c r="A2" s="5" t="s">
        <v>3</v>
      </c>
      <c r="B2" s="5" t="s">
        <v>4</v>
      </c>
      <c r="C2" s="5" t="s">
        <v>5</v>
      </c>
      <c r="D2" s="5" t="s">
        <v>6</v>
      </c>
      <c r="G2" s="1" t="s">
        <v>0</v>
      </c>
      <c r="H2" s="2" t="s">
        <v>1</v>
      </c>
      <c r="J2" s="12" t="s">
        <v>26</v>
      </c>
      <c r="K2" s="13" t="s">
        <v>17</v>
      </c>
    </row>
    <row r="3" spans="1:11" ht="15.75" thickTop="1" x14ac:dyDescent="0.25">
      <c r="A3">
        <v>1</v>
      </c>
      <c r="B3" t="s">
        <v>7</v>
      </c>
      <c r="C3" t="s">
        <v>8</v>
      </c>
      <c r="D3">
        <f>IFERROR(2*_xlfn.XLOOKUP(_xlfn.NUMBERVALUE(_xlfn.TEXTBEFORE(_xlfn.TEXTAFTER(C3,"IZOL "),"/")),$G$3:$G$8,$H$3:$H$8),"")</f>
        <v>90</v>
      </c>
      <c r="G3" s="8">
        <v>120</v>
      </c>
      <c r="H3" s="6">
        <v>4</v>
      </c>
      <c r="J3" s="11" t="s">
        <v>18</v>
      </c>
      <c r="K3" s="4">
        <v>2</v>
      </c>
    </row>
    <row r="4" spans="1:11" x14ac:dyDescent="0.25">
      <c r="A4">
        <v>2</v>
      </c>
      <c r="B4" t="s">
        <v>9</v>
      </c>
      <c r="C4" t="s">
        <v>10</v>
      </c>
      <c r="D4">
        <f>IFERROR(2*_xlfn.XLOOKUP(_xlfn.NUMBERVALUE(_xlfn.TEXTBEFORE(_xlfn.TEXTAFTER(C4,"IZOL "),"/")),$G$3:$G$8,$H$3:$H$8),"")</f>
        <v>10</v>
      </c>
      <c r="G4" s="9">
        <v>1.5</v>
      </c>
      <c r="H4" s="4">
        <f>3+3+5+7+5+12+7+3</f>
        <v>45</v>
      </c>
      <c r="J4" s="11" t="s">
        <v>19</v>
      </c>
      <c r="K4" s="4">
        <v>2</v>
      </c>
    </row>
    <row r="5" spans="1:11" x14ac:dyDescent="0.25">
      <c r="A5">
        <v>3</v>
      </c>
      <c r="B5" t="s">
        <v>11</v>
      </c>
      <c r="C5" t="s">
        <v>12</v>
      </c>
      <c r="D5" t="str">
        <f>IFERROR(2*_xlfn.XLOOKUP(_xlfn.NUMBERVALUE(_xlfn.TEXTBEFORE(_xlfn.TEXTAFTER(C5,"IZOL "),"/")),$G$3:$G$8,$H$3:$H$8),"")</f>
        <v/>
      </c>
      <c r="G5" s="8">
        <v>16</v>
      </c>
      <c r="H5" s="6">
        <v>4</v>
      </c>
      <c r="J5" s="11" t="s">
        <v>20</v>
      </c>
      <c r="K5" s="4">
        <v>2</v>
      </c>
    </row>
    <row r="6" spans="1:11" x14ac:dyDescent="0.25">
      <c r="A6">
        <v>4</v>
      </c>
      <c r="B6" t="s">
        <v>13</v>
      </c>
      <c r="C6" t="s">
        <v>14</v>
      </c>
      <c r="D6" t="str">
        <f>IFERROR(2*_xlfn.XLOOKUP(_xlfn.NUMBERVALUE(_xlfn.TEXTBEFORE(_xlfn.TEXTAFTER(C6,"IZOL "),"/")),$G$3:$G$8,$H$3:$H$8),"")</f>
        <v/>
      </c>
      <c r="G6" s="9">
        <v>2.5</v>
      </c>
      <c r="H6" s="3">
        <f>3+2</f>
        <v>5</v>
      </c>
      <c r="J6" s="11" t="s">
        <v>24</v>
      </c>
      <c r="K6" s="4">
        <v>8</v>
      </c>
    </row>
    <row r="7" spans="1:11" x14ac:dyDescent="0.25">
      <c r="A7">
        <v>5</v>
      </c>
      <c r="B7" t="s">
        <v>15</v>
      </c>
      <c r="C7" t="s">
        <v>16</v>
      </c>
      <c r="D7" t="str">
        <f>IFERROR(2*_xlfn.XLOOKUP(_xlfn.NUMBERVALUE(_xlfn.TEXTBEFORE(_xlfn.TEXTAFTER(C7,"IZOL "),"/")),$G$3:$G$8,$H$3:$H$8),"")</f>
        <v/>
      </c>
      <c r="G7" s="8">
        <v>25</v>
      </c>
      <c r="H7" s="6">
        <v>1</v>
      </c>
      <c r="J7" s="11" t="s">
        <v>25</v>
      </c>
      <c r="K7" s="4">
        <v>16</v>
      </c>
    </row>
    <row r="8" spans="1:11" x14ac:dyDescent="0.25">
      <c r="G8" s="10">
        <v>10</v>
      </c>
      <c r="H8" s="7">
        <v>2</v>
      </c>
      <c r="J8" s="11" t="s">
        <v>29</v>
      </c>
      <c r="K8" s="4">
        <v>9</v>
      </c>
    </row>
    <row r="9" spans="1:11" x14ac:dyDescent="0.25">
      <c r="C9" t="s">
        <v>27</v>
      </c>
      <c r="D9">
        <v>2</v>
      </c>
      <c r="J9" s="11" t="s">
        <v>30</v>
      </c>
      <c r="K9" s="4">
        <v>4</v>
      </c>
    </row>
    <row r="10" spans="1:11" x14ac:dyDescent="0.25">
      <c r="C10" t="s">
        <v>21</v>
      </c>
      <c r="D10">
        <v>2</v>
      </c>
      <c r="J10" s="11" t="s">
        <v>31</v>
      </c>
      <c r="K10" s="4">
        <v>5</v>
      </c>
    </row>
    <row r="11" spans="1:11" x14ac:dyDescent="0.25">
      <c r="C11" t="s">
        <v>22</v>
      </c>
      <c r="D11">
        <v>2</v>
      </c>
      <c r="J11" s="11" t="s">
        <v>32</v>
      </c>
      <c r="K11" s="4">
        <v>22</v>
      </c>
    </row>
    <row r="12" spans="1:11" x14ac:dyDescent="0.25">
      <c r="C12" t="s">
        <v>23</v>
      </c>
      <c r="D12">
        <f>16+8</f>
        <v>24</v>
      </c>
      <c r="J12" s="11" t="s">
        <v>33</v>
      </c>
      <c r="K12" s="4">
        <v>1</v>
      </c>
    </row>
    <row r="13" spans="1:11" x14ac:dyDescent="0.25">
      <c r="C13" t="s">
        <v>28</v>
      </c>
      <c r="D13">
        <f>SUM(K8:K14)</f>
        <v>47</v>
      </c>
      <c r="J13" s="11" t="s">
        <v>34</v>
      </c>
      <c r="K13" s="4">
        <v>1</v>
      </c>
    </row>
    <row r="14" spans="1:11" x14ac:dyDescent="0.25">
      <c r="J14" s="11" t="s">
        <v>35</v>
      </c>
      <c r="K14" s="4">
        <v>5</v>
      </c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 Švarc</dc:creator>
  <cp:lastModifiedBy>Fran Švarc</cp:lastModifiedBy>
  <dcterms:created xsi:type="dcterms:W3CDTF">2026-08-31T14:59:59Z</dcterms:created>
  <dcterms:modified xsi:type="dcterms:W3CDTF">2026-09-01T12:45:30Z</dcterms:modified>
</cp:coreProperties>
</file>