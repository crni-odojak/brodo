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ojak\Brodotehna\Projekti\HE_Senj\materijal\"/>
    </mc:Choice>
  </mc:AlternateContent>
  <xr:revisionPtr revIDLastSave="0" documentId="13_ncr:1_{0C8E5E40-ACFA-4BD2-AF73-F0193461E73B}" xr6:coauthVersionLast="47" xr6:coauthVersionMax="47" xr10:uidLastSave="{00000000-0000-0000-0000-000000000000}"/>
  <bookViews>
    <workbookView xWindow="-120" yWindow="-120" windowWidth="38640" windowHeight="21120" xr2:uid="{C49DCCE8-C980-47C6-9EFE-096C27DA33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" i="1" l="1"/>
  <c r="I7" i="1"/>
  <c r="I6" i="1" l="1"/>
  <c r="D6" i="1" s="1"/>
  <c r="D5" i="1"/>
  <c r="I5" i="1"/>
  <c r="D7" i="1" s="1"/>
  <c r="D4" i="1"/>
  <c r="I3" i="1"/>
  <c r="D13" i="1" l="1"/>
  <c r="D12" i="1"/>
</calcChain>
</file>

<file path=xl/sharedStrings.xml><?xml version="1.0" encoding="utf-8"?>
<sst xmlns="http://schemas.openxmlformats.org/spreadsheetml/2006/main" count="69" uniqueCount="63">
  <si>
    <t>PRESJEK</t>
  </si>
  <si>
    <t>UKUPNO ŽILA</t>
  </si>
  <si>
    <t>INSTALACIJSKI MATERIJAL</t>
  </si>
  <si>
    <t>r.b.</t>
  </si>
  <si>
    <t>oznaka elementa</t>
  </si>
  <si>
    <t>opis elementa</t>
  </si>
  <si>
    <t>količina (kom)</t>
  </si>
  <si>
    <t>HA270808</t>
  </si>
  <si>
    <t>TULJAK IZOL 1,5/8 CRNI (100)</t>
  </si>
  <si>
    <t>HA270810</t>
  </si>
  <si>
    <t>TULJAK IZOL 2,5/8 PLAVI (100)</t>
  </si>
  <si>
    <t>KOLIČINA</t>
  </si>
  <si>
    <t>N2XCH 4x120/70 mm²</t>
  </si>
  <si>
    <t>N2XCH-J 4x16/16 mm²</t>
  </si>
  <si>
    <t>N2XCH 2x10/10 mm²</t>
  </si>
  <si>
    <t>N2XCH 3x2,5/2,5 mm²</t>
  </si>
  <si>
    <t>N2XCH 2x2,5/2,5 mm²</t>
  </si>
  <si>
    <t>HSLCH-JZ 12x1,5 mm²</t>
  </si>
  <si>
    <t>HSLCH-JZ 7x1,5 mm²</t>
  </si>
  <si>
    <t>HSLCH-JZ 5x1,5 mm²</t>
  </si>
  <si>
    <t>HSLCH-JZ 3x1,5 mm²</t>
  </si>
  <si>
    <t>HSLCH 7x1,5 mm²</t>
  </si>
  <si>
    <t>HSLCH 5x1,5 mm²</t>
  </si>
  <si>
    <t>HSLCH-OZ 3x1,5 mm²</t>
  </si>
  <si>
    <t>HA270805</t>
  </si>
  <si>
    <t>TULJAK IZOL 1/8 CRVENI (500)</t>
  </si>
  <si>
    <t>HA270822</t>
  </si>
  <si>
    <t>TULJAK IZOL 10/12 CRVENI (100)</t>
  </si>
  <si>
    <t>HA270826</t>
  </si>
  <si>
    <t>TULJAK IZOL 16/12 PLAVI (100)</t>
  </si>
  <si>
    <t>HA290988</t>
  </si>
  <si>
    <t>STOPICA CIJEVNA 70/10 (25)</t>
  </si>
  <si>
    <t>HA290952</t>
  </si>
  <si>
    <t>STOPICA CIJEVNA 16/8 (100)</t>
  </si>
  <si>
    <t>HA290942</t>
  </si>
  <si>
    <t>STOPICA CIJEVNA 10/8 (100)</t>
  </si>
  <si>
    <t>STOPICA CIJEVNA 2,5/5 (100)</t>
  </si>
  <si>
    <t>HA290916</t>
  </si>
  <si>
    <t>HA290908</t>
  </si>
  <si>
    <t>STOPICA CIJEVNA 1,5/5 (100)</t>
  </si>
  <si>
    <t>NAPOMENA</t>
  </si>
  <si>
    <t>postoje pakiranja od 25 i 100 kom</t>
  </si>
  <si>
    <t>postoje pakiranja od 25 i 500 kom</t>
  </si>
  <si>
    <t>postoji pakiranje od 10 kom</t>
  </si>
  <si>
    <t>moguća opcija HA290450</t>
  </si>
  <si>
    <t>moguća opcija HA290412</t>
  </si>
  <si>
    <t>moguća opcija HA290418 (50 kom)</t>
  </si>
  <si>
    <t>DULJINA UKUPNO (m)</t>
  </si>
  <si>
    <t>N2XCH 3x2.5/2.5 mm²</t>
  </si>
  <si>
    <t>N2XCH 2x2.5/2.5 mm²</t>
  </si>
  <si>
    <t>HSLCH 3x1.5 mm²</t>
  </si>
  <si>
    <t>HSLCH-JZ 3x1.5 mm²</t>
  </si>
  <si>
    <t>NYY-J 1x25 mm²</t>
  </si>
  <si>
    <t>HSLCH-JZ 5x1.5 mm²</t>
  </si>
  <si>
    <t>HSLCH-JZ 7x1.5 mm²</t>
  </si>
  <si>
    <t>HSLCH 5x1.5 mm²</t>
  </si>
  <si>
    <t>HSLCH-JZ 12x1.5 mm²</t>
  </si>
  <si>
    <t>HSLCH 7x1.5 mm²</t>
  </si>
  <si>
    <t>HSLCH-OZ 3x1.5 mm²</t>
  </si>
  <si>
    <t>ETHERLINE Y CAT5 2X2XAWG22</t>
  </si>
  <si>
    <t>OPTIKA</t>
  </si>
  <si>
    <t>SHIRM KABELI</t>
  </si>
  <si>
    <t>SVI KABELI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</si>
</sst>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9" fontId="1" fillId="0" borderId="0"/>
    <xf numFmtId="49" fontId="1" fillId="0" borderId="0"/>
  </cellStyleXfs>
  <cellXfs count="22">
    <xf numFmtId="0" fontId="0" fillId="0" borderId="0" xfId="0"/>
    <xf numFmtId="0" fontId="2" fillId="0" borderId="1" xfId="1" applyNumberFormat="1" applyFont="1" applyBorder="1"/>
    <xf numFmtId="0" fontId="2" fillId="0" borderId="2" xfId="2" applyNumberFormat="1" applyFont="1" applyBorder="1"/>
    <xf numFmtId="0" fontId="1" fillId="0" borderId="4" xfId="2" applyNumberFormat="1" applyBorder="1"/>
    <xf numFmtId="0" fontId="0" fillId="0" borderId="4" xfId="0" applyBorder="1"/>
    <xf numFmtId="0" fontId="2" fillId="0" borderId="7" xfId="0" applyFont="1" applyBorder="1"/>
    <xf numFmtId="0" fontId="0" fillId="0" borderId="3" xfId="0" applyBorder="1" applyAlignment="1">
      <alignment horizontal="left"/>
    </xf>
    <xf numFmtId="0" fontId="0" fillId="0" borderId="3" xfId="0" applyBorder="1"/>
    <xf numFmtId="0" fontId="2" fillId="0" borderId="1" xfId="0" applyFont="1" applyBorder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0" fillId="0" borderId="3" xfId="0" applyFill="1" applyBorder="1" applyAlignment="1">
      <alignment horizontal="left"/>
    </xf>
    <xf numFmtId="0" fontId="1" fillId="0" borderId="4" xfId="2" applyNumberFormat="1" applyFill="1" applyBorder="1"/>
    <xf numFmtId="0" fontId="0" fillId="0" borderId="0" xfId="0" applyAlignment="1">
      <alignment horizontal="right"/>
    </xf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5" xfId="0" applyBorder="1"/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  <xf numFmtId="0" fontId="2" fillId="0" borderId="8" xfId="0" applyFont="1" applyBorder="1"/>
    <xf numFmtId="0" fontId="0" fillId="0" borderId="0" xfId="0" applyBorder="1"/>
    <xf numFmtId="0" fontId="0" fillId="0" borderId="9" xfId="0" applyBorder="1"/>
  </cellXfs>
  <cellStyles count="3">
    <cellStyle name="ColStyle7" xfId="1" xr:uid="{3EED7DA7-F8D0-4CC7-9509-DA0855E2A673}"/>
    <cellStyle name="ColStyle8" xfId="2" xr:uid="{8D649186-F4CA-4EDA-9724-8FAFF63E1BE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4BBBB-04B2-4DEB-AB54-74889ECE6FF4}">
  <dimension ref="A1:P18"/>
  <sheetViews>
    <sheetView tabSelected="1" zoomScaleNormal="100" workbookViewId="0">
      <selection activeCell="D34" sqref="D34"/>
    </sheetView>
  </sheetViews>
  <sheetFormatPr defaultRowHeight="15" x14ac:dyDescent="0.25"/>
  <cols>
    <col min="1" max="1" width="11.140625" customWidth="1"/>
    <col min="2" max="2" width="21.7109375" customWidth="1"/>
    <col min="3" max="4" width="30.7109375" customWidth="1"/>
    <col min="5" max="5" width="34.28515625" style="17" customWidth="1"/>
    <col min="6" max="7" width="11.85546875" customWidth="1"/>
    <col min="8" max="9" width="22.5703125" customWidth="1"/>
    <col min="11" max="12" width="24.140625" customWidth="1"/>
    <col min="14" max="14" width="27.85546875" bestFit="1" customWidth="1"/>
    <col min="15" max="16" width="22" customWidth="1"/>
  </cols>
  <sheetData>
    <row r="1" spans="1:16" ht="15.75" thickBot="1" x14ac:dyDescent="0.3">
      <c r="A1" s="10" t="s">
        <v>2</v>
      </c>
      <c r="B1" s="10"/>
      <c r="C1" s="10"/>
      <c r="D1" s="10"/>
      <c r="E1" s="18"/>
    </row>
    <row r="2" spans="1:16" ht="15.75" thickBot="1" x14ac:dyDescent="0.3">
      <c r="A2" s="5" t="s">
        <v>3</v>
      </c>
      <c r="B2" s="5" t="s">
        <v>4</v>
      </c>
      <c r="C2" s="5" t="s">
        <v>5</v>
      </c>
      <c r="D2" s="5" t="s">
        <v>6</v>
      </c>
      <c r="E2" s="5" t="s">
        <v>40</v>
      </c>
      <c r="H2" s="1" t="s">
        <v>0</v>
      </c>
      <c r="I2" s="2" t="s">
        <v>1</v>
      </c>
      <c r="K2" s="8" t="s">
        <v>61</v>
      </c>
      <c r="L2" s="9" t="s">
        <v>11</v>
      </c>
      <c r="N2" s="8" t="s">
        <v>62</v>
      </c>
      <c r="O2" s="19" t="s">
        <v>11</v>
      </c>
      <c r="P2" s="9" t="s">
        <v>47</v>
      </c>
    </row>
    <row r="3" spans="1:16" ht="15.75" thickTop="1" x14ac:dyDescent="0.25">
      <c r="B3" t="s">
        <v>24</v>
      </c>
      <c r="C3" t="s">
        <v>25</v>
      </c>
      <c r="E3" s="17" t="s">
        <v>41</v>
      </c>
      <c r="H3" s="11">
        <v>120</v>
      </c>
      <c r="I3" s="12">
        <f>4*2</f>
        <v>8</v>
      </c>
      <c r="K3" s="7" t="s">
        <v>12</v>
      </c>
      <c r="L3" s="4">
        <v>2</v>
      </c>
      <c r="N3" s="7" t="s">
        <v>12</v>
      </c>
      <c r="O3" s="20">
        <v>2</v>
      </c>
      <c r="P3" s="4">
        <v>15</v>
      </c>
    </row>
    <row r="4" spans="1:16" x14ac:dyDescent="0.25">
      <c r="B4" t="s">
        <v>7</v>
      </c>
      <c r="C4" t="s">
        <v>8</v>
      </c>
      <c r="D4">
        <f>2*I8</f>
        <v>532</v>
      </c>
      <c r="E4" s="17" t="s">
        <v>42</v>
      </c>
      <c r="H4" s="11">
        <v>25</v>
      </c>
      <c r="I4" s="12">
        <v>1</v>
      </c>
      <c r="K4" s="7" t="s">
        <v>13</v>
      </c>
      <c r="L4" s="4">
        <v>2</v>
      </c>
      <c r="N4" s="7" t="s">
        <v>13</v>
      </c>
      <c r="O4" s="20">
        <v>2</v>
      </c>
      <c r="P4" s="4">
        <v>200</v>
      </c>
    </row>
    <row r="5" spans="1:16" x14ac:dyDescent="0.25">
      <c r="B5" t="s">
        <v>9</v>
      </c>
      <c r="C5" t="s">
        <v>10</v>
      </c>
      <c r="D5">
        <f>2*I7</f>
        <v>112</v>
      </c>
      <c r="E5" s="17" t="s">
        <v>42</v>
      </c>
      <c r="H5" s="11">
        <v>16</v>
      </c>
      <c r="I5" s="12">
        <f>4*2</f>
        <v>8</v>
      </c>
      <c r="K5" s="7" t="s">
        <v>14</v>
      </c>
      <c r="L5" s="4">
        <v>2</v>
      </c>
      <c r="N5" s="7" t="s">
        <v>48</v>
      </c>
      <c r="O5" s="20">
        <v>8</v>
      </c>
      <c r="P5" s="4">
        <v>405</v>
      </c>
    </row>
    <row r="6" spans="1:16" x14ac:dyDescent="0.25">
      <c r="B6" t="s">
        <v>26</v>
      </c>
      <c r="C6" t="s">
        <v>27</v>
      </c>
      <c r="D6">
        <f>2*I6</f>
        <v>8</v>
      </c>
      <c r="E6" s="17" t="s">
        <v>43</v>
      </c>
      <c r="H6" s="11">
        <v>10</v>
      </c>
      <c r="I6" s="12">
        <f>2*2</f>
        <v>4</v>
      </c>
      <c r="K6" s="7" t="s">
        <v>15</v>
      </c>
      <c r="L6" s="4">
        <v>8</v>
      </c>
      <c r="N6" s="7" t="s">
        <v>49</v>
      </c>
      <c r="O6" s="20">
        <v>16</v>
      </c>
      <c r="P6" s="4">
        <v>680</v>
      </c>
    </row>
    <row r="7" spans="1:16" x14ac:dyDescent="0.25">
      <c r="B7" t="s">
        <v>28</v>
      </c>
      <c r="C7" t="s">
        <v>29</v>
      </c>
      <c r="D7">
        <f>2*I5</f>
        <v>16</v>
      </c>
      <c r="E7" s="17" t="s">
        <v>43</v>
      </c>
      <c r="H7" s="6">
        <v>2.5</v>
      </c>
      <c r="I7" s="3">
        <f>3*8+2*16</f>
        <v>56</v>
      </c>
      <c r="K7" s="7" t="s">
        <v>16</v>
      </c>
      <c r="L7" s="4">
        <v>16</v>
      </c>
      <c r="N7" s="7" t="s">
        <v>50</v>
      </c>
      <c r="O7" s="20">
        <v>4</v>
      </c>
      <c r="P7" s="4">
        <v>45</v>
      </c>
    </row>
    <row r="8" spans="1:16" x14ac:dyDescent="0.25">
      <c r="H8" s="14">
        <v>1.5</v>
      </c>
      <c r="I8" s="15">
        <f>3*4+3*22+5*5+7*4+5*1+12*9+7*1+3*5</f>
        <v>266</v>
      </c>
      <c r="K8" s="7" t="s">
        <v>17</v>
      </c>
      <c r="L8" s="4">
        <v>9</v>
      </c>
      <c r="N8" s="7" t="s">
        <v>51</v>
      </c>
      <c r="O8" s="20">
        <v>22</v>
      </c>
      <c r="P8" s="4">
        <v>475</v>
      </c>
    </row>
    <row r="9" spans="1:16" x14ac:dyDescent="0.25">
      <c r="B9" t="s">
        <v>30</v>
      </c>
      <c r="C9" t="s">
        <v>31</v>
      </c>
      <c r="D9">
        <v>2</v>
      </c>
      <c r="E9" s="17" t="s">
        <v>44</v>
      </c>
      <c r="K9" s="7" t="s">
        <v>18</v>
      </c>
      <c r="L9" s="4">
        <v>4</v>
      </c>
      <c r="N9" s="7" t="s">
        <v>52</v>
      </c>
      <c r="O9" s="20">
        <v>1</v>
      </c>
      <c r="P9" s="4">
        <v>0</v>
      </c>
    </row>
    <row r="10" spans="1:16" x14ac:dyDescent="0.25">
      <c r="B10" t="s">
        <v>32</v>
      </c>
      <c r="C10" t="s">
        <v>33</v>
      </c>
      <c r="D10">
        <v>2</v>
      </c>
      <c r="E10" s="17" t="s">
        <v>46</v>
      </c>
      <c r="K10" s="7" t="s">
        <v>19</v>
      </c>
      <c r="L10" s="4">
        <v>5</v>
      </c>
      <c r="N10" s="7" t="s">
        <v>14</v>
      </c>
      <c r="O10" s="20">
        <v>2</v>
      </c>
      <c r="P10" s="4">
        <v>299</v>
      </c>
    </row>
    <row r="11" spans="1:16" x14ac:dyDescent="0.25">
      <c r="B11" t="s">
        <v>34</v>
      </c>
      <c r="C11" t="s">
        <v>35</v>
      </c>
      <c r="D11">
        <v>2</v>
      </c>
      <c r="E11" s="17" t="s">
        <v>45</v>
      </c>
      <c r="K11" s="7" t="s">
        <v>20</v>
      </c>
      <c r="L11" s="4">
        <v>22</v>
      </c>
      <c r="N11" s="7" t="s">
        <v>53</v>
      </c>
      <c r="O11" s="20">
        <v>5</v>
      </c>
      <c r="P11" s="4">
        <v>140</v>
      </c>
    </row>
    <row r="12" spans="1:16" x14ac:dyDescent="0.25">
      <c r="B12" t="s">
        <v>37</v>
      </c>
      <c r="C12" t="s">
        <v>36</v>
      </c>
      <c r="D12">
        <f>16+8</f>
        <v>24</v>
      </c>
      <c r="F12" s="13"/>
      <c r="G12" s="13"/>
      <c r="K12" s="7" t="s">
        <v>21</v>
      </c>
      <c r="L12" s="4">
        <v>1</v>
      </c>
      <c r="N12" s="7" t="s">
        <v>54</v>
      </c>
      <c r="O12" s="20">
        <v>4</v>
      </c>
      <c r="P12" s="4">
        <v>90</v>
      </c>
    </row>
    <row r="13" spans="1:16" x14ac:dyDescent="0.25">
      <c r="B13" t="s">
        <v>38</v>
      </c>
      <c r="C13" t="s">
        <v>39</v>
      </c>
      <c r="D13">
        <f>SUM(L8:L14)</f>
        <v>47</v>
      </c>
      <c r="F13" s="13"/>
      <c r="G13" s="13"/>
      <c r="K13" s="7" t="s">
        <v>22</v>
      </c>
      <c r="L13" s="4">
        <v>1</v>
      </c>
      <c r="N13" s="7" t="s">
        <v>55</v>
      </c>
      <c r="O13" s="20">
        <v>1</v>
      </c>
      <c r="P13" s="4">
        <v>65</v>
      </c>
    </row>
    <row r="14" spans="1:16" x14ac:dyDescent="0.25">
      <c r="F14" s="13"/>
      <c r="G14" s="13"/>
      <c r="K14" s="16" t="s">
        <v>23</v>
      </c>
      <c r="L14" s="15">
        <v>5</v>
      </c>
      <c r="N14" s="7" t="s">
        <v>56</v>
      </c>
      <c r="O14" s="20">
        <v>9</v>
      </c>
      <c r="P14" s="4">
        <v>240</v>
      </c>
    </row>
    <row r="15" spans="1:16" x14ac:dyDescent="0.25">
      <c r="N15" s="7" t="s">
        <v>57</v>
      </c>
      <c r="O15" s="20">
        <v>1</v>
      </c>
      <c r="P15" s="4">
        <v>65</v>
      </c>
    </row>
    <row r="16" spans="1:16" x14ac:dyDescent="0.25">
      <c r="N16" s="7" t="s">
        <v>58</v>
      </c>
      <c r="O16" s="20">
        <v>5</v>
      </c>
      <c r="P16" s="4">
        <v>0</v>
      </c>
    </row>
    <row r="17" spans="14:16" x14ac:dyDescent="0.25">
      <c r="N17" s="7" t="s">
        <v>59</v>
      </c>
      <c r="O17" s="20">
        <v>3</v>
      </c>
      <c r="P17" s="4">
        <v>120</v>
      </c>
    </row>
    <row r="18" spans="14:16" x14ac:dyDescent="0.25">
      <c r="N18" s="16" t="s">
        <v>60</v>
      </c>
      <c r="O18" s="21">
        <v>1</v>
      </c>
      <c r="P18" s="15">
        <v>90</v>
      </c>
    </row>
  </sheetData>
  <mergeCells count="1"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Švarc</dc:creator>
  <cp:lastModifiedBy>Fran Švarc</cp:lastModifiedBy>
  <dcterms:created xsi:type="dcterms:W3CDTF">2026-08-31T14:59:59Z</dcterms:created>
  <dcterms:modified xsi:type="dcterms:W3CDTF">2026-09-02T09:03:17Z</dcterms:modified>
</cp:coreProperties>
</file>