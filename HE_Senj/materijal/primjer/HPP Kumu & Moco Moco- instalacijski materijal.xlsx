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onnections.xml" ContentType="application/vnd.openxmlformats-officedocument.spreadsheetml.connection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brodotehna.sharepoint.com/Zajednicki dokumenti/PROJECTS/2023/23003_4_HPP Kumu &amp; HPP Moco Moco/Radno/LB/Instalacijski materijal/"/>
    </mc:Choice>
  </mc:AlternateContent>
  <xr:revisionPtr revIDLastSave="0" documentId="13_ncr:1_{40F652B9-802F-4CCC-9402-1C4689EF7A35}" xr6:coauthVersionLast="47" xr6:coauthVersionMax="47" xr10:uidLastSave="{00000000-0000-0000-0000-000000000000}"/>
  <bookViews>
    <workbookView xWindow="-38520" yWindow="-120" windowWidth="38640" windowHeight="21240" activeTab="2" xr2:uid="{00000000-000D-0000-FFFF-FFFF00000000}"/>
  </bookViews>
  <sheets>
    <sheet name="Instalacijski materijal-konačno" sheetId="20" r:id="rId1"/>
    <sheet name="Instalacijski materijal" sheetId="23" r:id="rId2"/>
    <sheet name="Instalacijski materijal-podloga" sheetId="21" r:id="rId3"/>
  </sheets>
  <externalReferences>
    <externalReference r:id="rId4"/>
    <externalReference r:id="rId5"/>
    <externalReference r:id="rId6"/>
  </externalReferences>
  <definedNames>
    <definedName name="e">#REF!</definedName>
    <definedName name="EPL_HEADER">#REF!</definedName>
    <definedName name="EPL_VALUES">#REF!</definedName>
    <definedName name="eur">#REF!</definedName>
    <definedName name="eurinr">[1]Transport!$D$28</definedName>
    <definedName name="eurkn">[2]Transport!$D$27</definedName>
    <definedName name="eurmkd">[1]Transport!#REF!</definedName>
    <definedName name="euro">#REF!</definedName>
    <definedName name="eurokn">#REF!</definedName>
    <definedName name="euromkd">#REF!</definedName>
    <definedName name="ew">#REF!</definedName>
    <definedName name="fac">#REF!</definedName>
    <definedName name="range1">[3]Sheet1!$M$3:$M$11</definedName>
    <definedName name="range2">[3]Sheet1!$N$3:$N$11</definedName>
    <definedName name="range3">[3]Sheet1!$O$3:$O$11</definedName>
    <definedName name="range4">[3]Sheet1!$P$3:$P$11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23" l="1"/>
  <c r="E20" i="23"/>
  <c r="H20" i="23" s="1"/>
  <c r="E17" i="23"/>
  <c r="H17" i="23" s="1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8" i="23"/>
  <c r="H19" i="23"/>
  <c r="H2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8" i="23"/>
  <c r="E19" i="23"/>
  <c r="E2" i="23"/>
  <c r="H22" i="23" l="1"/>
  <c r="H23" i="23" s="1"/>
  <c r="H28" i="23" s="1"/>
  <c r="G27" i="21" l="1"/>
  <c r="G26" i="21"/>
  <c r="G25" i="21"/>
  <c r="G29" i="21" s="1"/>
  <c r="G30" i="21" s="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20" i="21" s="1"/>
  <c r="G21" i="21" s="1"/>
  <c r="G5" i="21"/>
  <c r="G4" i="21"/>
  <c r="G3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010FBE-AECE-4933-AC23-E56E88F5016B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2" xr16:uid="{9A93D5DE-B941-4757-8D82-A123B43FE85A}" keepAlive="1" name="Query - Table005 (Page 3)" description="Connection to the 'Table005 (Page 3)' query in the workbook." type="5" refreshedVersion="0" background="1">
    <dbPr connection="Provider=Microsoft.Mashup.OleDb.1;Data Source=$Workbook$;Location=&quot;Table005 (Page 3)&quot;;Extended Properties=&quot;&quot;" command="SELECT * FROM [Table005 (Page 3)]"/>
  </connection>
  <connection id="3" xr16:uid="{15F80CEC-CC43-4937-91D6-3CC466528F5B}" keepAlive="1" name="Query - Table079 (Page 48-50)" description="Connection to the 'Table079 (Page 48-50)' query in the workbook." type="5" refreshedVersion="0" background="1">
    <dbPr connection="Provider=Microsoft.Mashup.OleDb.1;Data Source=$Workbook$;Location=&quot;Table079 (Page 48-50)&quot;;Extended Properties=&quot;&quot;" command="SELECT * FROM [Table079 (Page 48-50)]"/>
  </connection>
</connections>
</file>

<file path=xl/sharedStrings.xml><?xml version="1.0" encoding="utf-8"?>
<sst xmlns="http://schemas.openxmlformats.org/spreadsheetml/2006/main" count="112" uniqueCount="57">
  <si>
    <t>Opis</t>
  </si>
  <si>
    <t>Kataloški broj</t>
  </si>
  <si>
    <t>Količina</t>
  </si>
  <si>
    <t>Rb</t>
  </si>
  <si>
    <t>r.b.</t>
  </si>
  <si>
    <t>oznaka elementa</t>
  </si>
  <si>
    <t>opis elementa</t>
  </si>
  <si>
    <t>količina (kom)</t>
  </si>
  <si>
    <t>cijena</t>
  </si>
  <si>
    <t xml:space="preserve">rabat </t>
  </si>
  <si>
    <t>konačna cijena</t>
  </si>
  <si>
    <t>NAPOMENA:</t>
  </si>
  <si>
    <t>HA270808</t>
  </si>
  <si>
    <t>TULJAK IZOL 1,5/8 CRNI (100)</t>
  </si>
  <si>
    <t>HA270810</t>
  </si>
  <si>
    <t>TULJAK IZOL 2,5/8 PLAVI (100)</t>
  </si>
  <si>
    <t>HA270803</t>
  </si>
  <si>
    <t>TULJAK IZOL 0,75/8 SIVI (100)</t>
  </si>
  <si>
    <t>HA270814</t>
  </si>
  <si>
    <t>TULJAK IZOL 4/10 SIVI (100)</t>
  </si>
  <si>
    <t>HA270818</t>
  </si>
  <si>
    <t>TULJAK IZOL 6/12 ŽUTI (100)</t>
  </si>
  <si>
    <t>HA262602</t>
  </si>
  <si>
    <t>VEZICA 100X2,5 CRNA UV (100-25000)</t>
  </si>
  <si>
    <t>HA262622</t>
  </si>
  <si>
    <t>VEZICA 368X4,8 CRNA UV (100-4000)</t>
  </si>
  <si>
    <t>HA262610</t>
  </si>
  <si>
    <t>VEZICA 292X3,6 CRNA UV (100-7000)</t>
  </si>
  <si>
    <t>HA262609/1</t>
  </si>
  <si>
    <t>VEZICA 203X3,6 CRNA UV (100-10000)</t>
  </si>
  <si>
    <t>HA290988</t>
  </si>
  <si>
    <t>STOPICA CIJEVNA 70/10 (25)</t>
  </si>
  <si>
    <t>HA290998</t>
  </si>
  <si>
    <t>STOPICA CIJEVNA 95/12 (25)</t>
  </si>
  <si>
    <t>HA263800</t>
  </si>
  <si>
    <t>TRAKA IZOLIR 10m X 15 CRNA (10/120)</t>
  </si>
  <si>
    <t>HA290418</t>
  </si>
  <si>
    <t>STOPICA CIJEVNA 16/8 (50) DIN</t>
  </si>
  <si>
    <t>HA290420</t>
  </si>
  <si>
    <t>STOPICA CIJEVNA 16/10 (50) DIN</t>
  </si>
  <si>
    <t>HA290404</t>
  </si>
  <si>
    <t>STOPICA CIJEVNA 6/6 (100) DIN</t>
  </si>
  <si>
    <t>HA210805K</t>
  </si>
  <si>
    <t>KLIJEŠTA ZA STOPICE I ČAHURE 6-50 mm "DIN"</t>
  </si>
  <si>
    <t>UKUPNO</t>
  </si>
  <si>
    <t>s PDV-om</t>
  </si>
  <si>
    <t>Insulated end sleeves red 1.0 / 8</t>
  </si>
  <si>
    <t>Cable tie black UV-resistant 523x 8.0 mm</t>
  </si>
  <si>
    <t>Set Heat shrinkable tubing 2:1; black; 160 pcs</t>
  </si>
  <si>
    <t>Lipapromet - ponuda - 23-010-003542 - ZIMBABWE</t>
  </si>
  <si>
    <t>Lipapromet - ponuda - 1732023-1 - ZIMBABWE</t>
  </si>
  <si>
    <t>količina (kom)
Zimbabwe</t>
  </si>
  <si>
    <t>količina (kom)
Kumu &amp; MM</t>
  </si>
  <si>
    <t>edit</t>
  </si>
  <si>
    <t>izbaciti?</t>
  </si>
  <si>
    <t>crveno</t>
  </si>
  <si>
    <t>UKUPNO s PDVom - crveno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</si>
</sst>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\ &quot;kom&quot;"/>
    <numFmt numFmtId="165" formatCode="0.00\ &quot;€&quot;"/>
    <numFmt numFmtId="166" formatCode="0.00\ &quot;%&quot;"/>
    <numFmt numFmtId="167" formatCode="0\ &quot;pak&quot;"/>
    <numFmt numFmtId="168" formatCode="0\ &quot;€&quot;"/>
    <numFmt numFmtId="169" formatCode="0.0\ &quot;€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5" fillId="0" borderId="0" xfId="4"/>
    <xf numFmtId="0" fontId="5" fillId="0" borderId="3" xfId="4" applyBorder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0" fontId="6" fillId="0" borderId="3" xfId="4" applyFont="1" applyBorder="1" applyAlignment="1">
      <alignment horizontal="center"/>
    </xf>
    <xf numFmtId="0" fontId="7" fillId="0" borderId="3" xfId="4" applyFont="1" applyBorder="1" applyAlignment="1">
      <alignment horizontal="center"/>
    </xf>
    <xf numFmtId="0" fontId="1" fillId="0" borderId="0" xfId="5"/>
    <xf numFmtId="0" fontId="1" fillId="0" borderId="0" xfId="5" applyAlignment="1">
      <alignment horizontal="center" vertical="center"/>
    </xf>
    <xf numFmtId="164" fontId="1" fillId="0" borderId="0" xfId="5" applyNumberFormat="1"/>
    <xf numFmtId="165" fontId="1" fillId="0" borderId="0" xfId="5" applyNumberFormat="1"/>
    <xf numFmtId="166" fontId="1" fillId="0" borderId="0" xfId="5" applyNumberFormat="1"/>
    <xf numFmtId="167" fontId="1" fillId="0" borderId="0" xfId="5" applyNumberFormat="1"/>
    <xf numFmtId="168" fontId="1" fillId="0" borderId="0" xfId="5" applyNumberFormat="1"/>
    <xf numFmtId="169" fontId="1" fillId="0" borderId="0" xfId="5" applyNumberFormat="1"/>
    <xf numFmtId="0" fontId="6" fillId="0" borderId="3" xfId="4" applyFont="1" applyBorder="1" applyAlignment="1">
      <alignment horizontal="center" wrapText="1"/>
    </xf>
    <xf numFmtId="0" fontId="5" fillId="2" borderId="0" xfId="4" applyFill="1"/>
    <xf numFmtId="164" fontId="1" fillId="2" borderId="0" xfId="5" applyNumberFormat="1" applyFill="1"/>
    <xf numFmtId="0" fontId="1" fillId="3" borderId="0" xfId="5" applyFill="1"/>
    <xf numFmtId="0" fontId="8" fillId="3" borderId="0" xfId="5" applyFont="1" applyFill="1"/>
    <xf numFmtId="0" fontId="8" fillId="3" borderId="0" xfId="5" applyFont="1" applyFill="1" applyAlignment="1">
      <alignment horizontal="center" vertical="center"/>
    </xf>
    <xf numFmtId="164" fontId="8" fillId="3" borderId="0" xfId="5" applyNumberFormat="1" applyFont="1" applyFill="1"/>
    <xf numFmtId="165" fontId="8" fillId="3" borderId="0" xfId="5" applyNumberFormat="1" applyFont="1" applyFill="1"/>
    <xf numFmtId="166" fontId="8" fillId="3" borderId="0" xfId="5" applyNumberFormat="1" applyFont="1" applyFill="1"/>
    <xf numFmtId="0" fontId="8" fillId="0" borderId="0" xfId="5" applyFont="1"/>
    <xf numFmtId="0" fontId="8" fillId="0" borderId="0" xfId="5" applyFont="1" applyAlignment="1">
      <alignment horizontal="center" vertical="center"/>
    </xf>
    <xf numFmtId="164" fontId="8" fillId="0" borderId="0" xfId="5" applyNumberFormat="1" applyFont="1"/>
    <xf numFmtId="165" fontId="8" fillId="0" borderId="0" xfId="5" applyNumberFormat="1" applyFont="1"/>
    <xf numFmtId="166" fontId="8" fillId="0" borderId="0" xfId="5" applyNumberFormat="1" applyFont="1"/>
    <xf numFmtId="0" fontId="1" fillId="3" borderId="0" xfId="5" applyFill="1" applyAlignment="1">
      <alignment horizontal="center" vertical="center"/>
    </xf>
    <xf numFmtId="164" fontId="1" fillId="3" borderId="0" xfId="5" applyNumberFormat="1" applyFill="1"/>
    <xf numFmtId="165" fontId="1" fillId="3" borderId="0" xfId="5" applyNumberFormat="1" applyFill="1"/>
    <xf numFmtId="166" fontId="1" fillId="3" borderId="0" xfId="5" applyNumberFormat="1" applyFill="1"/>
    <xf numFmtId="167" fontId="1" fillId="3" borderId="0" xfId="5" applyNumberFormat="1" applyFill="1"/>
    <xf numFmtId="0" fontId="5" fillId="0" borderId="2" xfId="4" applyBorder="1" applyAlignment="1">
      <alignment horizontal="center" vertical="center"/>
    </xf>
  </cellXfs>
  <cellStyles count="6">
    <cellStyle name="Hyperlink 2" xfId="3" xr:uid="{90FE0568-7A68-4C3C-B0AA-32BF04FD2E78}"/>
    <cellStyle name="Normal" xfId="0" builtinId="0"/>
    <cellStyle name="Normal 2" xfId="1" xr:uid="{7AB257E7-39F3-4BBD-B044-DDAA15FDF0CA}"/>
    <cellStyle name="Normal 3" xfId="2" xr:uid="{D7AFC843-24D8-4A6D-B328-EC1E4346B684}"/>
    <cellStyle name="Normalno 2" xfId="4" xr:uid="{7ACBC03A-D9AF-4486-8BD2-EF2630B902D7}"/>
    <cellStyle name="Normalno 3" xfId="5" xr:uid="{9FC4C3EC-9B62-4985-9683-8EB1691839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81%20HEPP%20Veer%20(Stipe%20Smoljo)\1%20Projekt\PI-0081%20HEPP%20VEER%20-%20Troskov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87%20Makedonija%20-%20Izgradnja%202%20MHE_Drugovo,%20Slatino%20(Stipe%20Smoljo)\01%20MHE%20Drugovo\1%20Projekt\PI-0087-L002-00%20MHE%20Drugovo%20-%20Troskov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orary%20Internet%20Files\Content.IE5\CYZIP26A\Fazno%20izvje&#353;&#263;e\Intervencije-eview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port"/>
      <sheetName val="Dnevnice, smještaj"/>
      <sheetName val="Radni sati"/>
      <sheetName val="Oprema"/>
      <sheetName val="Partneri"/>
      <sheetName val="Ukupno"/>
    </sheetNames>
    <sheetDataSet>
      <sheetData sheetId="0" refreshError="1">
        <row r="28">
          <cell r="D28" t="str">
            <v>60,355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port"/>
      <sheetName val="Dnevnice, smještaj"/>
      <sheetName val="Radni sati"/>
      <sheetName val="Oprema"/>
      <sheetName val="Partneri"/>
      <sheetName val="Ukupno"/>
      <sheetName val="Dodatna oprema"/>
    </sheetNames>
    <sheetDataSet>
      <sheetData sheetId="0" refreshError="1">
        <row r="27">
          <cell r="D27">
            <v>7.35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relacije - sve"/>
      <sheetName val="korelacije"/>
      <sheetName val="INPUT"/>
      <sheetName val="eviews"/>
      <sheetName val="Sheet4"/>
      <sheetName val="Statistika"/>
      <sheetName val="Sheet1"/>
      <sheetName val="grafikoni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M3">
            <v>108</v>
          </cell>
          <cell r="N3">
            <v>57.555</v>
          </cell>
          <cell r="O3">
            <v>50.445</v>
          </cell>
          <cell r="P3">
            <v>50.445</v>
          </cell>
        </row>
        <row r="4">
          <cell r="N4">
            <v>226.94788</v>
          </cell>
          <cell r="O4">
            <v>-226.94788</v>
          </cell>
          <cell r="P4">
            <v>226.94788</v>
          </cell>
        </row>
        <row r="5">
          <cell r="N5">
            <v>156.15596500000001</v>
          </cell>
          <cell r="O5">
            <v>-156.15596500000001</v>
          </cell>
          <cell r="P5">
            <v>156.15596500000001</v>
          </cell>
        </row>
        <row r="6">
          <cell r="N6">
            <v>30.3095</v>
          </cell>
          <cell r="O6">
            <v>-30.3095</v>
          </cell>
          <cell r="P6">
            <v>30.3095</v>
          </cell>
        </row>
        <row r="7">
          <cell r="N7">
            <v>224.752656</v>
          </cell>
          <cell r="O7">
            <v>-224.752656</v>
          </cell>
          <cell r="P7">
            <v>224.752656</v>
          </cell>
        </row>
        <row r="8">
          <cell r="M8">
            <v>109.57214</v>
          </cell>
          <cell r="N8">
            <v>126.116</v>
          </cell>
          <cell r="O8">
            <v>-16.543859999999995</v>
          </cell>
          <cell r="P8">
            <v>16.543859999999995</v>
          </cell>
        </row>
        <row r="9">
          <cell r="M9">
            <v>72.419127000000003</v>
          </cell>
          <cell r="O9">
            <v>72.419127000000003</v>
          </cell>
          <cell r="P9">
            <v>72.419127000000003</v>
          </cell>
        </row>
        <row r="10">
          <cell r="N10">
            <v>191.989272</v>
          </cell>
          <cell r="O10">
            <v>-191.989272</v>
          </cell>
          <cell r="P10">
            <v>191.989272</v>
          </cell>
        </row>
        <row r="11">
          <cell r="M11">
            <v>112.337924</v>
          </cell>
          <cell r="O11">
            <v>112.337924</v>
          </cell>
          <cell r="P11">
            <v>112.337924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1598-1586-4BC3-809F-ACCABCAEFB11}">
  <dimension ref="A1:D21"/>
  <sheetViews>
    <sheetView zoomScale="205" zoomScaleNormal="205" workbookViewId="0">
      <selection activeCell="A2" sqref="A2:A21"/>
    </sheetView>
  </sheetViews>
  <sheetFormatPr defaultRowHeight="15" x14ac:dyDescent="0.25"/>
  <cols>
    <col min="1" max="1" width="5.140625" customWidth="1"/>
    <col min="2" max="2" width="31.5703125" bestFit="1" customWidth="1"/>
    <col min="3" max="3" width="13.1406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2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B88D-4E33-4492-AF04-280D3A985607}">
  <dimension ref="A1:K33"/>
  <sheetViews>
    <sheetView zoomScale="175" zoomScaleNormal="175" workbookViewId="0">
      <selection activeCell="B19" sqref="B19"/>
    </sheetView>
  </sheetViews>
  <sheetFormatPr defaultRowHeight="15" x14ac:dyDescent="0.25"/>
  <cols>
    <col min="1" max="1" width="3.85546875" style="8" bestFit="1" customWidth="1"/>
    <col min="2" max="2" width="15.5703125" style="8" bestFit="1" customWidth="1"/>
    <col min="3" max="3" width="40" style="8" bestFit="1" customWidth="1"/>
    <col min="4" max="4" width="13.140625" style="8" bestFit="1" customWidth="1"/>
    <col min="5" max="7" width="13.140625" style="8" customWidth="1"/>
    <col min="8" max="8" width="13.7109375" style="8" bestFit="1" customWidth="1"/>
    <col min="9" max="9" width="12.140625" style="8" bestFit="1" customWidth="1"/>
    <col min="10" max="257" width="8.85546875" style="8"/>
    <col min="258" max="258" width="3.85546875" style="8" bestFit="1" customWidth="1"/>
    <col min="259" max="259" width="15.5703125" style="8" bestFit="1" customWidth="1"/>
    <col min="260" max="260" width="40" style="8" bestFit="1" customWidth="1"/>
    <col min="261" max="261" width="13.140625" style="8" bestFit="1" customWidth="1"/>
    <col min="262" max="263" width="13.140625" style="8" customWidth="1"/>
    <col min="264" max="264" width="13.7109375" style="8" bestFit="1" customWidth="1"/>
    <col min="265" max="265" width="12.140625" style="8" bestFit="1" customWidth="1"/>
    <col min="266" max="513" width="8.85546875" style="8"/>
    <col min="514" max="514" width="3.85546875" style="8" bestFit="1" customWidth="1"/>
    <col min="515" max="515" width="15.5703125" style="8" bestFit="1" customWidth="1"/>
    <col min="516" max="516" width="40" style="8" bestFit="1" customWidth="1"/>
    <col min="517" max="517" width="13.140625" style="8" bestFit="1" customWidth="1"/>
    <col min="518" max="519" width="13.140625" style="8" customWidth="1"/>
    <col min="520" max="520" width="13.7109375" style="8" bestFit="1" customWidth="1"/>
    <col min="521" max="521" width="12.140625" style="8" bestFit="1" customWidth="1"/>
    <col min="522" max="769" width="8.85546875" style="8"/>
    <col min="770" max="770" width="3.85546875" style="8" bestFit="1" customWidth="1"/>
    <col min="771" max="771" width="15.5703125" style="8" bestFit="1" customWidth="1"/>
    <col min="772" max="772" width="40" style="8" bestFit="1" customWidth="1"/>
    <col min="773" max="773" width="13.140625" style="8" bestFit="1" customWidth="1"/>
    <col min="774" max="775" width="13.140625" style="8" customWidth="1"/>
    <col min="776" max="776" width="13.7109375" style="8" bestFit="1" customWidth="1"/>
    <col min="777" max="777" width="12.140625" style="8" bestFit="1" customWidth="1"/>
    <col min="778" max="1025" width="8.85546875" style="8"/>
    <col min="1026" max="1026" width="3.85546875" style="8" bestFit="1" customWidth="1"/>
    <col min="1027" max="1027" width="15.5703125" style="8" bestFit="1" customWidth="1"/>
    <col min="1028" max="1028" width="40" style="8" bestFit="1" customWidth="1"/>
    <col min="1029" max="1029" width="13.140625" style="8" bestFit="1" customWidth="1"/>
    <col min="1030" max="1031" width="13.140625" style="8" customWidth="1"/>
    <col min="1032" max="1032" width="13.7109375" style="8" bestFit="1" customWidth="1"/>
    <col min="1033" max="1033" width="12.140625" style="8" bestFit="1" customWidth="1"/>
    <col min="1034" max="1281" width="8.85546875" style="8"/>
    <col min="1282" max="1282" width="3.85546875" style="8" bestFit="1" customWidth="1"/>
    <col min="1283" max="1283" width="15.5703125" style="8" bestFit="1" customWidth="1"/>
    <col min="1284" max="1284" width="40" style="8" bestFit="1" customWidth="1"/>
    <col min="1285" max="1285" width="13.140625" style="8" bestFit="1" customWidth="1"/>
    <col min="1286" max="1287" width="13.140625" style="8" customWidth="1"/>
    <col min="1288" max="1288" width="13.7109375" style="8" bestFit="1" customWidth="1"/>
    <col min="1289" max="1289" width="12.140625" style="8" bestFit="1" customWidth="1"/>
    <col min="1290" max="1537" width="8.85546875" style="8"/>
    <col min="1538" max="1538" width="3.85546875" style="8" bestFit="1" customWidth="1"/>
    <col min="1539" max="1539" width="15.5703125" style="8" bestFit="1" customWidth="1"/>
    <col min="1540" max="1540" width="40" style="8" bestFit="1" customWidth="1"/>
    <col min="1541" max="1541" width="13.140625" style="8" bestFit="1" customWidth="1"/>
    <col min="1542" max="1543" width="13.140625" style="8" customWidth="1"/>
    <col min="1544" max="1544" width="13.7109375" style="8" bestFit="1" customWidth="1"/>
    <col min="1545" max="1545" width="12.140625" style="8" bestFit="1" customWidth="1"/>
    <col min="1546" max="1793" width="8.85546875" style="8"/>
    <col min="1794" max="1794" width="3.85546875" style="8" bestFit="1" customWidth="1"/>
    <col min="1795" max="1795" width="15.5703125" style="8" bestFit="1" customWidth="1"/>
    <col min="1796" max="1796" width="40" style="8" bestFit="1" customWidth="1"/>
    <col min="1797" max="1797" width="13.140625" style="8" bestFit="1" customWidth="1"/>
    <col min="1798" max="1799" width="13.140625" style="8" customWidth="1"/>
    <col min="1800" max="1800" width="13.7109375" style="8" bestFit="1" customWidth="1"/>
    <col min="1801" max="1801" width="12.140625" style="8" bestFit="1" customWidth="1"/>
    <col min="1802" max="2049" width="8.85546875" style="8"/>
    <col min="2050" max="2050" width="3.85546875" style="8" bestFit="1" customWidth="1"/>
    <col min="2051" max="2051" width="15.5703125" style="8" bestFit="1" customWidth="1"/>
    <col min="2052" max="2052" width="40" style="8" bestFit="1" customWidth="1"/>
    <col min="2053" max="2053" width="13.140625" style="8" bestFit="1" customWidth="1"/>
    <col min="2054" max="2055" width="13.140625" style="8" customWidth="1"/>
    <col min="2056" max="2056" width="13.7109375" style="8" bestFit="1" customWidth="1"/>
    <col min="2057" max="2057" width="12.140625" style="8" bestFit="1" customWidth="1"/>
    <col min="2058" max="2305" width="8.85546875" style="8"/>
    <col min="2306" max="2306" width="3.85546875" style="8" bestFit="1" customWidth="1"/>
    <col min="2307" max="2307" width="15.5703125" style="8" bestFit="1" customWidth="1"/>
    <col min="2308" max="2308" width="40" style="8" bestFit="1" customWidth="1"/>
    <col min="2309" max="2309" width="13.140625" style="8" bestFit="1" customWidth="1"/>
    <col min="2310" max="2311" width="13.140625" style="8" customWidth="1"/>
    <col min="2312" max="2312" width="13.7109375" style="8" bestFit="1" customWidth="1"/>
    <col min="2313" max="2313" width="12.140625" style="8" bestFit="1" customWidth="1"/>
    <col min="2314" max="2561" width="8.85546875" style="8"/>
    <col min="2562" max="2562" width="3.85546875" style="8" bestFit="1" customWidth="1"/>
    <col min="2563" max="2563" width="15.5703125" style="8" bestFit="1" customWidth="1"/>
    <col min="2564" max="2564" width="40" style="8" bestFit="1" customWidth="1"/>
    <col min="2565" max="2565" width="13.140625" style="8" bestFit="1" customWidth="1"/>
    <col min="2566" max="2567" width="13.140625" style="8" customWidth="1"/>
    <col min="2568" max="2568" width="13.7109375" style="8" bestFit="1" customWidth="1"/>
    <col min="2569" max="2569" width="12.140625" style="8" bestFit="1" customWidth="1"/>
    <col min="2570" max="2817" width="8.85546875" style="8"/>
    <col min="2818" max="2818" width="3.85546875" style="8" bestFit="1" customWidth="1"/>
    <col min="2819" max="2819" width="15.5703125" style="8" bestFit="1" customWidth="1"/>
    <col min="2820" max="2820" width="40" style="8" bestFit="1" customWidth="1"/>
    <col min="2821" max="2821" width="13.140625" style="8" bestFit="1" customWidth="1"/>
    <col min="2822" max="2823" width="13.140625" style="8" customWidth="1"/>
    <col min="2824" max="2824" width="13.7109375" style="8" bestFit="1" customWidth="1"/>
    <col min="2825" max="2825" width="12.140625" style="8" bestFit="1" customWidth="1"/>
    <col min="2826" max="3073" width="8.85546875" style="8"/>
    <col min="3074" max="3074" width="3.85546875" style="8" bestFit="1" customWidth="1"/>
    <col min="3075" max="3075" width="15.5703125" style="8" bestFit="1" customWidth="1"/>
    <col min="3076" max="3076" width="40" style="8" bestFit="1" customWidth="1"/>
    <col min="3077" max="3077" width="13.140625" style="8" bestFit="1" customWidth="1"/>
    <col min="3078" max="3079" width="13.140625" style="8" customWidth="1"/>
    <col min="3080" max="3080" width="13.7109375" style="8" bestFit="1" customWidth="1"/>
    <col min="3081" max="3081" width="12.140625" style="8" bestFit="1" customWidth="1"/>
    <col min="3082" max="3329" width="8.85546875" style="8"/>
    <col min="3330" max="3330" width="3.85546875" style="8" bestFit="1" customWidth="1"/>
    <col min="3331" max="3331" width="15.5703125" style="8" bestFit="1" customWidth="1"/>
    <col min="3332" max="3332" width="40" style="8" bestFit="1" customWidth="1"/>
    <col min="3333" max="3333" width="13.140625" style="8" bestFit="1" customWidth="1"/>
    <col min="3334" max="3335" width="13.140625" style="8" customWidth="1"/>
    <col min="3336" max="3336" width="13.7109375" style="8" bestFit="1" customWidth="1"/>
    <col min="3337" max="3337" width="12.140625" style="8" bestFit="1" customWidth="1"/>
    <col min="3338" max="3585" width="8.85546875" style="8"/>
    <col min="3586" max="3586" width="3.85546875" style="8" bestFit="1" customWidth="1"/>
    <col min="3587" max="3587" width="15.5703125" style="8" bestFit="1" customWidth="1"/>
    <col min="3588" max="3588" width="40" style="8" bestFit="1" customWidth="1"/>
    <col min="3589" max="3589" width="13.140625" style="8" bestFit="1" customWidth="1"/>
    <col min="3590" max="3591" width="13.140625" style="8" customWidth="1"/>
    <col min="3592" max="3592" width="13.7109375" style="8" bestFit="1" customWidth="1"/>
    <col min="3593" max="3593" width="12.140625" style="8" bestFit="1" customWidth="1"/>
    <col min="3594" max="3841" width="8.85546875" style="8"/>
    <col min="3842" max="3842" width="3.85546875" style="8" bestFit="1" customWidth="1"/>
    <col min="3843" max="3843" width="15.5703125" style="8" bestFit="1" customWidth="1"/>
    <col min="3844" max="3844" width="40" style="8" bestFit="1" customWidth="1"/>
    <col min="3845" max="3845" width="13.140625" style="8" bestFit="1" customWidth="1"/>
    <col min="3846" max="3847" width="13.140625" style="8" customWidth="1"/>
    <col min="3848" max="3848" width="13.7109375" style="8" bestFit="1" customWidth="1"/>
    <col min="3849" max="3849" width="12.140625" style="8" bestFit="1" customWidth="1"/>
    <col min="3850" max="4097" width="8.85546875" style="8"/>
    <col min="4098" max="4098" width="3.85546875" style="8" bestFit="1" customWidth="1"/>
    <col min="4099" max="4099" width="15.5703125" style="8" bestFit="1" customWidth="1"/>
    <col min="4100" max="4100" width="40" style="8" bestFit="1" customWidth="1"/>
    <col min="4101" max="4101" width="13.140625" style="8" bestFit="1" customWidth="1"/>
    <col min="4102" max="4103" width="13.140625" style="8" customWidth="1"/>
    <col min="4104" max="4104" width="13.7109375" style="8" bestFit="1" customWidth="1"/>
    <col min="4105" max="4105" width="12.140625" style="8" bestFit="1" customWidth="1"/>
    <col min="4106" max="4353" width="8.85546875" style="8"/>
    <col min="4354" max="4354" width="3.85546875" style="8" bestFit="1" customWidth="1"/>
    <col min="4355" max="4355" width="15.5703125" style="8" bestFit="1" customWidth="1"/>
    <col min="4356" max="4356" width="40" style="8" bestFit="1" customWidth="1"/>
    <col min="4357" max="4357" width="13.140625" style="8" bestFit="1" customWidth="1"/>
    <col min="4358" max="4359" width="13.140625" style="8" customWidth="1"/>
    <col min="4360" max="4360" width="13.7109375" style="8" bestFit="1" customWidth="1"/>
    <col min="4361" max="4361" width="12.140625" style="8" bestFit="1" customWidth="1"/>
    <col min="4362" max="4609" width="8.85546875" style="8"/>
    <col min="4610" max="4610" width="3.85546875" style="8" bestFit="1" customWidth="1"/>
    <col min="4611" max="4611" width="15.5703125" style="8" bestFit="1" customWidth="1"/>
    <col min="4612" max="4612" width="40" style="8" bestFit="1" customWidth="1"/>
    <col min="4613" max="4613" width="13.140625" style="8" bestFit="1" customWidth="1"/>
    <col min="4614" max="4615" width="13.140625" style="8" customWidth="1"/>
    <col min="4616" max="4616" width="13.7109375" style="8" bestFit="1" customWidth="1"/>
    <col min="4617" max="4617" width="12.140625" style="8" bestFit="1" customWidth="1"/>
    <col min="4618" max="4865" width="8.85546875" style="8"/>
    <col min="4866" max="4866" width="3.85546875" style="8" bestFit="1" customWidth="1"/>
    <col min="4867" max="4867" width="15.5703125" style="8" bestFit="1" customWidth="1"/>
    <col min="4868" max="4868" width="40" style="8" bestFit="1" customWidth="1"/>
    <col min="4869" max="4869" width="13.140625" style="8" bestFit="1" customWidth="1"/>
    <col min="4870" max="4871" width="13.140625" style="8" customWidth="1"/>
    <col min="4872" max="4872" width="13.7109375" style="8" bestFit="1" customWidth="1"/>
    <col min="4873" max="4873" width="12.140625" style="8" bestFit="1" customWidth="1"/>
    <col min="4874" max="5121" width="8.85546875" style="8"/>
    <col min="5122" max="5122" width="3.85546875" style="8" bestFit="1" customWidth="1"/>
    <col min="5123" max="5123" width="15.5703125" style="8" bestFit="1" customWidth="1"/>
    <col min="5124" max="5124" width="40" style="8" bestFit="1" customWidth="1"/>
    <col min="5125" max="5125" width="13.140625" style="8" bestFit="1" customWidth="1"/>
    <col min="5126" max="5127" width="13.140625" style="8" customWidth="1"/>
    <col min="5128" max="5128" width="13.7109375" style="8" bestFit="1" customWidth="1"/>
    <col min="5129" max="5129" width="12.140625" style="8" bestFit="1" customWidth="1"/>
    <col min="5130" max="5377" width="8.85546875" style="8"/>
    <col min="5378" max="5378" width="3.85546875" style="8" bestFit="1" customWidth="1"/>
    <col min="5379" max="5379" width="15.5703125" style="8" bestFit="1" customWidth="1"/>
    <col min="5380" max="5380" width="40" style="8" bestFit="1" customWidth="1"/>
    <col min="5381" max="5381" width="13.140625" style="8" bestFit="1" customWidth="1"/>
    <col min="5382" max="5383" width="13.140625" style="8" customWidth="1"/>
    <col min="5384" max="5384" width="13.7109375" style="8" bestFit="1" customWidth="1"/>
    <col min="5385" max="5385" width="12.140625" style="8" bestFit="1" customWidth="1"/>
    <col min="5386" max="5633" width="8.85546875" style="8"/>
    <col min="5634" max="5634" width="3.85546875" style="8" bestFit="1" customWidth="1"/>
    <col min="5635" max="5635" width="15.5703125" style="8" bestFit="1" customWidth="1"/>
    <col min="5636" max="5636" width="40" style="8" bestFit="1" customWidth="1"/>
    <col min="5637" max="5637" width="13.140625" style="8" bestFit="1" customWidth="1"/>
    <col min="5638" max="5639" width="13.140625" style="8" customWidth="1"/>
    <col min="5640" max="5640" width="13.7109375" style="8" bestFit="1" customWidth="1"/>
    <col min="5641" max="5641" width="12.140625" style="8" bestFit="1" customWidth="1"/>
    <col min="5642" max="5889" width="8.85546875" style="8"/>
    <col min="5890" max="5890" width="3.85546875" style="8" bestFit="1" customWidth="1"/>
    <col min="5891" max="5891" width="15.5703125" style="8" bestFit="1" customWidth="1"/>
    <col min="5892" max="5892" width="40" style="8" bestFit="1" customWidth="1"/>
    <col min="5893" max="5893" width="13.140625" style="8" bestFit="1" customWidth="1"/>
    <col min="5894" max="5895" width="13.140625" style="8" customWidth="1"/>
    <col min="5896" max="5896" width="13.7109375" style="8" bestFit="1" customWidth="1"/>
    <col min="5897" max="5897" width="12.140625" style="8" bestFit="1" customWidth="1"/>
    <col min="5898" max="6145" width="8.85546875" style="8"/>
    <col min="6146" max="6146" width="3.85546875" style="8" bestFit="1" customWidth="1"/>
    <col min="6147" max="6147" width="15.5703125" style="8" bestFit="1" customWidth="1"/>
    <col min="6148" max="6148" width="40" style="8" bestFit="1" customWidth="1"/>
    <col min="6149" max="6149" width="13.140625" style="8" bestFit="1" customWidth="1"/>
    <col min="6150" max="6151" width="13.140625" style="8" customWidth="1"/>
    <col min="6152" max="6152" width="13.7109375" style="8" bestFit="1" customWidth="1"/>
    <col min="6153" max="6153" width="12.140625" style="8" bestFit="1" customWidth="1"/>
    <col min="6154" max="6401" width="8.85546875" style="8"/>
    <col min="6402" max="6402" width="3.85546875" style="8" bestFit="1" customWidth="1"/>
    <col min="6403" max="6403" width="15.5703125" style="8" bestFit="1" customWidth="1"/>
    <col min="6404" max="6404" width="40" style="8" bestFit="1" customWidth="1"/>
    <col min="6405" max="6405" width="13.140625" style="8" bestFit="1" customWidth="1"/>
    <col min="6406" max="6407" width="13.140625" style="8" customWidth="1"/>
    <col min="6408" max="6408" width="13.7109375" style="8" bestFit="1" customWidth="1"/>
    <col min="6409" max="6409" width="12.140625" style="8" bestFit="1" customWidth="1"/>
    <col min="6410" max="6657" width="8.85546875" style="8"/>
    <col min="6658" max="6658" width="3.85546875" style="8" bestFit="1" customWidth="1"/>
    <col min="6659" max="6659" width="15.5703125" style="8" bestFit="1" customWidth="1"/>
    <col min="6660" max="6660" width="40" style="8" bestFit="1" customWidth="1"/>
    <col min="6661" max="6661" width="13.140625" style="8" bestFit="1" customWidth="1"/>
    <col min="6662" max="6663" width="13.140625" style="8" customWidth="1"/>
    <col min="6664" max="6664" width="13.7109375" style="8" bestFit="1" customWidth="1"/>
    <col min="6665" max="6665" width="12.140625" style="8" bestFit="1" customWidth="1"/>
    <col min="6666" max="6913" width="8.85546875" style="8"/>
    <col min="6914" max="6914" width="3.85546875" style="8" bestFit="1" customWidth="1"/>
    <col min="6915" max="6915" width="15.5703125" style="8" bestFit="1" customWidth="1"/>
    <col min="6916" max="6916" width="40" style="8" bestFit="1" customWidth="1"/>
    <col min="6917" max="6917" width="13.140625" style="8" bestFit="1" customWidth="1"/>
    <col min="6918" max="6919" width="13.140625" style="8" customWidth="1"/>
    <col min="6920" max="6920" width="13.7109375" style="8" bestFit="1" customWidth="1"/>
    <col min="6921" max="6921" width="12.140625" style="8" bestFit="1" customWidth="1"/>
    <col min="6922" max="7169" width="8.85546875" style="8"/>
    <col min="7170" max="7170" width="3.85546875" style="8" bestFit="1" customWidth="1"/>
    <col min="7171" max="7171" width="15.5703125" style="8" bestFit="1" customWidth="1"/>
    <col min="7172" max="7172" width="40" style="8" bestFit="1" customWidth="1"/>
    <col min="7173" max="7173" width="13.140625" style="8" bestFit="1" customWidth="1"/>
    <col min="7174" max="7175" width="13.140625" style="8" customWidth="1"/>
    <col min="7176" max="7176" width="13.7109375" style="8" bestFit="1" customWidth="1"/>
    <col min="7177" max="7177" width="12.140625" style="8" bestFit="1" customWidth="1"/>
    <col min="7178" max="7425" width="8.85546875" style="8"/>
    <col min="7426" max="7426" width="3.85546875" style="8" bestFit="1" customWidth="1"/>
    <col min="7427" max="7427" width="15.5703125" style="8" bestFit="1" customWidth="1"/>
    <col min="7428" max="7428" width="40" style="8" bestFit="1" customWidth="1"/>
    <col min="7429" max="7429" width="13.140625" style="8" bestFit="1" customWidth="1"/>
    <col min="7430" max="7431" width="13.140625" style="8" customWidth="1"/>
    <col min="7432" max="7432" width="13.7109375" style="8" bestFit="1" customWidth="1"/>
    <col min="7433" max="7433" width="12.140625" style="8" bestFit="1" customWidth="1"/>
    <col min="7434" max="7681" width="8.85546875" style="8"/>
    <col min="7682" max="7682" width="3.85546875" style="8" bestFit="1" customWidth="1"/>
    <col min="7683" max="7683" width="15.5703125" style="8" bestFit="1" customWidth="1"/>
    <col min="7684" max="7684" width="40" style="8" bestFit="1" customWidth="1"/>
    <col min="7685" max="7685" width="13.140625" style="8" bestFit="1" customWidth="1"/>
    <col min="7686" max="7687" width="13.140625" style="8" customWidth="1"/>
    <col min="7688" max="7688" width="13.7109375" style="8" bestFit="1" customWidth="1"/>
    <col min="7689" max="7689" width="12.140625" style="8" bestFit="1" customWidth="1"/>
    <col min="7690" max="7937" width="8.85546875" style="8"/>
    <col min="7938" max="7938" width="3.85546875" style="8" bestFit="1" customWidth="1"/>
    <col min="7939" max="7939" width="15.5703125" style="8" bestFit="1" customWidth="1"/>
    <col min="7940" max="7940" width="40" style="8" bestFit="1" customWidth="1"/>
    <col min="7941" max="7941" width="13.140625" style="8" bestFit="1" customWidth="1"/>
    <col min="7942" max="7943" width="13.140625" style="8" customWidth="1"/>
    <col min="7944" max="7944" width="13.7109375" style="8" bestFit="1" customWidth="1"/>
    <col min="7945" max="7945" width="12.140625" style="8" bestFit="1" customWidth="1"/>
    <col min="7946" max="8193" width="8.85546875" style="8"/>
    <col min="8194" max="8194" width="3.85546875" style="8" bestFit="1" customWidth="1"/>
    <col min="8195" max="8195" width="15.5703125" style="8" bestFit="1" customWidth="1"/>
    <col min="8196" max="8196" width="40" style="8" bestFit="1" customWidth="1"/>
    <col min="8197" max="8197" width="13.140625" style="8" bestFit="1" customWidth="1"/>
    <col min="8198" max="8199" width="13.140625" style="8" customWidth="1"/>
    <col min="8200" max="8200" width="13.7109375" style="8" bestFit="1" customWidth="1"/>
    <col min="8201" max="8201" width="12.140625" style="8" bestFit="1" customWidth="1"/>
    <col min="8202" max="8449" width="8.85546875" style="8"/>
    <col min="8450" max="8450" width="3.85546875" style="8" bestFit="1" customWidth="1"/>
    <col min="8451" max="8451" width="15.5703125" style="8" bestFit="1" customWidth="1"/>
    <col min="8452" max="8452" width="40" style="8" bestFit="1" customWidth="1"/>
    <col min="8453" max="8453" width="13.140625" style="8" bestFit="1" customWidth="1"/>
    <col min="8454" max="8455" width="13.140625" style="8" customWidth="1"/>
    <col min="8456" max="8456" width="13.7109375" style="8" bestFit="1" customWidth="1"/>
    <col min="8457" max="8457" width="12.140625" style="8" bestFit="1" customWidth="1"/>
    <col min="8458" max="8705" width="8.85546875" style="8"/>
    <col min="8706" max="8706" width="3.85546875" style="8" bestFit="1" customWidth="1"/>
    <col min="8707" max="8707" width="15.5703125" style="8" bestFit="1" customWidth="1"/>
    <col min="8708" max="8708" width="40" style="8" bestFit="1" customWidth="1"/>
    <col min="8709" max="8709" width="13.140625" style="8" bestFit="1" customWidth="1"/>
    <col min="8710" max="8711" width="13.140625" style="8" customWidth="1"/>
    <col min="8712" max="8712" width="13.7109375" style="8" bestFit="1" customWidth="1"/>
    <col min="8713" max="8713" width="12.140625" style="8" bestFit="1" customWidth="1"/>
    <col min="8714" max="8961" width="8.85546875" style="8"/>
    <col min="8962" max="8962" width="3.85546875" style="8" bestFit="1" customWidth="1"/>
    <col min="8963" max="8963" width="15.5703125" style="8" bestFit="1" customWidth="1"/>
    <col min="8964" max="8964" width="40" style="8" bestFit="1" customWidth="1"/>
    <col min="8965" max="8965" width="13.140625" style="8" bestFit="1" customWidth="1"/>
    <col min="8966" max="8967" width="13.140625" style="8" customWidth="1"/>
    <col min="8968" max="8968" width="13.7109375" style="8" bestFit="1" customWidth="1"/>
    <col min="8969" max="8969" width="12.140625" style="8" bestFit="1" customWidth="1"/>
    <col min="8970" max="9217" width="8.85546875" style="8"/>
    <col min="9218" max="9218" width="3.85546875" style="8" bestFit="1" customWidth="1"/>
    <col min="9219" max="9219" width="15.5703125" style="8" bestFit="1" customWidth="1"/>
    <col min="9220" max="9220" width="40" style="8" bestFit="1" customWidth="1"/>
    <col min="9221" max="9221" width="13.140625" style="8" bestFit="1" customWidth="1"/>
    <col min="9222" max="9223" width="13.140625" style="8" customWidth="1"/>
    <col min="9224" max="9224" width="13.7109375" style="8" bestFit="1" customWidth="1"/>
    <col min="9225" max="9225" width="12.140625" style="8" bestFit="1" customWidth="1"/>
    <col min="9226" max="9473" width="8.85546875" style="8"/>
    <col min="9474" max="9474" width="3.85546875" style="8" bestFit="1" customWidth="1"/>
    <col min="9475" max="9475" width="15.5703125" style="8" bestFit="1" customWidth="1"/>
    <col min="9476" max="9476" width="40" style="8" bestFit="1" customWidth="1"/>
    <col min="9477" max="9477" width="13.140625" style="8" bestFit="1" customWidth="1"/>
    <col min="9478" max="9479" width="13.140625" style="8" customWidth="1"/>
    <col min="9480" max="9480" width="13.7109375" style="8" bestFit="1" customWidth="1"/>
    <col min="9481" max="9481" width="12.140625" style="8" bestFit="1" customWidth="1"/>
    <col min="9482" max="9729" width="8.85546875" style="8"/>
    <col min="9730" max="9730" width="3.85546875" style="8" bestFit="1" customWidth="1"/>
    <col min="9731" max="9731" width="15.5703125" style="8" bestFit="1" customWidth="1"/>
    <col min="9732" max="9732" width="40" style="8" bestFit="1" customWidth="1"/>
    <col min="9733" max="9733" width="13.140625" style="8" bestFit="1" customWidth="1"/>
    <col min="9734" max="9735" width="13.140625" style="8" customWidth="1"/>
    <col min="9736" max="9736" width="13.7109375" style="8" bestFit="1" customWidth="1"/>
    <col min="9737" max="9737" width="12.140625" style="8" bestFit="1" customWidth="1"/>
    <col min="9738" max="9985" width="8.85546875" style="8"/>
    <col min="9986" max="9986" width="3.85546875" style="8" bestFit="1" customWidth="1"/>
    <col min="9987" max="9987" width="15.5703125" style="8" bestFit="1" customWidth="1"/>
    <col min="9988" max="9988" width="40" style="8" bestFit="1" customWidth="1"/>
    <col min="9989" max="9989" width="13.140625" style="8" bestFit="1" customWidth="1"/>
    <col min="9990" max="9991" width="13.140625" style="8" customWidth="1"/>
    <col min="9992" max="9992" width="13.7109375" style="8" bestFit="1" customWidth="1"/>
    <col min="9993" max="9993" width="12.140625" style="8" bestFit="1" customWidth="1"/>
    <col min="9994" max="10241" width="8.85546875" style="8"/>
    <col min="10242" max="10242" width="3.85546875" style="8" bestFit="1" customWidth="1"/>
    <col min="10243" max="10243" width="15.5703125" style="8" bestFit="1" customWidth="1"/>
    <col min="10244" max="10244" width="40" style="8" bestFit="1" customWidth="1"/>
    <col min="10245" max="10245" width="13.140625" style="8" bestFit="1" customWidth="1"/>
    <col min="10246" max="10247" width="13.140625" style="8" customWidth="1"/>
    <col min="10248" max="10248" width="13.7109375" style="8" bestFit="1" customWidth="1"/>
    <col min="10249" max="10249" width="12.140625" style="8" bestFit="1" customWidth="1"/>
    <col min="10250" max="10497" width="8.85546875" style="8"/>
    <col min="10498" max="10498" width="3.85546875" style="8" bestFit="1" customWidth="1"/>
    <col min="10499" max="10499" width="15.5703125" style="8" bestFit="1" customWidth="1"/>
    <col min="10500" max="10500" width="40" style="8" bestFit="1" customWidth="1"/>
    <col min="10501" max="10501" width="13.140625" style="8" bestFit="1" customWidth="1"/>
    <col min="10502" max="10503" width="13.140625" style="8" customWidth="1"/>
    <col min="10504" max="10504" width="13.7109375" style="8" bestFit="1" customWidth="1"/>
    <col min="10505" max="10505" width="12.140625" style="8" bestFit="1" customWidth="1"/>
    <col min="10506" max="10753" width="8.85546875" style="8"/>
    <col min="10754" max="10754" width="3.85546875" style="8" bestFit="1" customWidth="1"/>
    <col min="10755" max="10755" width="15.5703125" style="8" bestFit="1" customWidth="1"/>
    <col min="10756" max="10756" width="40" style="8" bestFit="1" customWidth="1"/>
    <col min="10757" max="10757" width="13.140625" style="8" bestFit="1" customWidth="1"/>
    <col min="10758" max="10759" width="13.140625" style="8" customWidth="1"/>
    <col min="10760" max="10760" width="13.7109375" style="8" bestFit="1" customWidth="1"/>
    <col min="10761" max="10761" width="12.140625" style="8" bestFit="1" customWidth="1"/>
    <col min="10762" max="11009" width="8.85546875" style="8"/>
    <col min="11010" max="11010" width="3.85546875" style="8" bestFit="1" customWidth="1"/>
    <col min="11011" max="11011" width="15.5703125" style="8" bestFit="1" customWidth="1"/>
    <col min="11012" max="11012" width="40" style="8" bestFit="1" customWidth="1"/>
    <col min="11013" max="11013" width="13.140625" style="8" bestFit="1" customWidth="1"/>
    <col min="11014" max="11015" width="13.140625" style="8" customWidth="1"/>
    <col min="11016" max="11016" width="13.7109375" style="8" bestFit="1" customWidth="1"/>
    <col min="11017" max="11017" width="12.140625" style="8" bestFit="1" customWidth="1"/>
    <col min="11018" max="11265" width="8.85546875" style="8"/>
    <col min="11266" max="11266" width="3.85546875" style="8" bestFit="1" customWidth="1"/>
    <col min="11267" max="11267" width="15.5703125" style="8" bestFit="1" customWidth="1"/>
    <col min="11268" max="11268" width="40" style="8" bestFit="1" customWidth="1"/>
    <col min="11269" max="11269" width="13.140625" style="8" bestFit="1" customWidth="1"/>
    <col min="11270" max="11271" width="13.140625" style="8" customWidth="1"/>
    <col min="11272" max="11272" width="13.7109375" style="8" bestFit="1" customWidth="1"/>
    <col min="11273" max="11273" width="12.140625" style="8" bestFit="1" customWidth="1"/>
    <col min="11274" max="11521" width="8.85546875" style="8"/>
    <col min="11522" max="11522" width="3.85546875" style="8" bestFit="1" customWidth="1"/>
    <col min="11523" max="11523" width="15.5703125" style="8" bestFit="1" customWidth="1"/>
    <col min="11524" max="11524" width="40" style="8" bestFit="1" customWidth="1"/>
    <col min="11525" max="11525" width="13.140625" style="8" bestFit="1" customWidth="1"/>
    <col min="11526" max="11527" width="13.140625" style="8" customWidth="1"/>
    <col min="11528" max="11528" width="13.7109375" style="8" bestFit="1" customWidth="1"/>
    <col min="11529" max="11529" width="12.140625" style="8" bestFit="1" customWidth="1"/>
    <col min="11530" max="11777" width="8.85546875" style="8"/>
    <col min="11778" max="11778" width="3.85546875" style="8" bestFit="1" customWidth="1"/>
    <col min="11779" max="11779" width="15.5703125" style="8" bestFit="1" customWidth="1"/>
    <col min="11780" max="11780" width="40" style="8" bestFit="1" customWidth="1"/>
    <col min="11781" max="11781" width="13.140625" style="8" bestFit="1" customWidth="1"/>
    <col min="11782" max="11783" width="13.140625" style="8" customWidth="1"/>
    <col min="11784" max="11784" width="13.7109375" style="8" bestFit="1" customWidth="1"/>
    <col min="11785" max="11785" width="12.140625" style="8" bestFit="1" customWidth="1"/>
    <col min="11786" max="12033" width="8.85546875" style="8"/>
    <col min="12034" max="12034" width="3.85546875" style="8" bestFit="1" customWidth="1"/>
    <col min="12035" max="12035" width="15.5703125" style="8" bestFit="1" customWidth="1"/>
    <col min="12036" max="12036" width="40" style="8" bestFit="1" customWidth="1"/>
    <col min="12037" max="12037" width="13.140625" style="8" bestFit="1" customWidth="1"/>
    <col min="12038" max="12039" width="13.140625" style="8" customWidth="1"/>
    <col min="12040" max="12040" width="13.7109375" style="8" bestFit="1" customWidth="1"/>
    <col min="12041" max="12041" width="12.140625" style="8" bestFit="1" customWidth="1"/>
    <col min="12042" max="12289" width="8.85546875" style="8"/>
    <col min="12290" max="12290" width="3.85546875" style="8" bestFit="1" customWidth="1"/>
    <col min="12291" max="12291" width="15.5703125" style="8" bestFit="1" customWidth="1"/>
    <col min="12292" max="12292" width="40" style="8" bestFit="1" customWidth="1"/>
    <col min="12293" max="12293" width="13.140625" style="8" bestFit="1" customWidth="1"/>
    <col min="12294" max="12295" width="13.140625" style="8" customWidth="1"/>
    <col min="12296" max="12296" width="13.7109375" style="8" bestFit="1" customWidth="1"/>
    <col min="12297" max="12297" width="12.140625" style="8" bestFit="1" customWidth="1"/>
    <col min="12298" max="12545" width="8.85546875" style="8"/>
    <col min="12546" max="12546" width="3.85546875" style="8" bestFit="1" customWidth="1"/>
    <col min="12547" max="12547" width="15.5703125" style="8" bestFit="1" customWidth="1"/>
    <col min="12548" max="12548" width="40" style="8" bestFit="1" customWidth="1"/>
    <col min="12549" max="12549" width="13.140625" style="8" bestFit="1" customWidth="1"/>
    <col min="12550" max="12551" width="13.140625" style="8" customWidth="1"/>
    <col min="12552" max="12552" width="13.7109375" style="8" bestFit="1" customWidth="1"/>
    <col min="12553" max="12553" width="12.140625" style="8" bestFit="1" customWidth="1"/>
    <col min="12554" max="12801" width="8.85546875" style="8"/>
    <col min="12802" max="12802" width="3.85546875" style="8" bestFit="1" customWidth="1"/>
    <col min="12803" max="12803" width="15.5703125" style="8" bestFit="1" customWidth="1"/>
    <col min="12804" max="12804" width="40" style="8" bestFit="1" customWidth="1"/>
    <col min="12805" max="12805" width="13.140625" style="8" bestFit="1" customWidth="1"/>
    <col min="12806" max="12807" width="13.140625" style="8" customWidth="1"/>
    <col min="12808" max="12808" width="13.7109375" style="8" bestFit="1" customWidth="1"/>
    <col min="12809" max="12809" width="12.140625" style="8" bestFit="1" customWidth="1"/>
    <col min="12810" max="13057" width="8.85546875" style="8"/>
    <col min="13058" max="13058" width="3.85546875" style="8" bestFit="1" customWidth="1"/>
    <col min="13059" max="13059" width="15.5703125" style="8" bestFit="1" customWidth="1"/>
    <col min="13060" max="13060" width="40" style="8" bestFit="1" customWidth="1"/>
    <col min="13061" max="13061" width="13.140625" style="8" bestFit="1" customWidth="1"/>
    <col min="13062" max="13063" width="13.140625" style="8" customWidth="1"/>
    <col min="13064" max="13064" width="13.7109375" style="8" bestFit="1" customWidth="1"/>
    <col min="13065" max="13065" width="12.140625" style="8" bestFit="1" customWidth="1"/>
    <col min="13066" max="13313" width="8.85546875" style="8"/>
    <col min="13314" max="13314" width="3.85546875" style="8" bestFit="1" customWidth="1"/>
    <col min="13315" max="13315" width="15.5703125" style="8" bestFit="1" customWidth="1"/>
    <col min="13316" max="13316" width="40" style="8" bestFit="1" customWidth="1"/>
    <col min="13317" max="13317" width="13.140625" style="8" bestFit="1" customWidth="1"/>
    <col min="13318" max="13319" width="13.140625" style="8" customWidth="1"/>
    <col min="13320" max="13320" width="13.7109375" style="8" bestFit="1" customWidth="1"/>
    <col min="13321" max="13321" width="12.140625" style="8" bestFit="1" customWidth="1"/>
    <col min="13322" max="13569" width="8.85546875" style="8"/>
    <col min="13570" max="13570" width="3.85546875" style="8" bestFit="1" customWidth="1"/>
    <col min="13571" max="13571" width="15.5703125" style="8" bestFit="1" customWidth="1"/>
    <col min="13572" max="13572" width="40" style="8" bestFit="1" customWidth="1"/>
    <col min="13573" max="13573" width="13.140625" style="8" bestFit="1" customWidth="1"/>
    <col min="13574" max="13575" width="13.140625" style="8" customWidth="1"/>
    <col min="13576" max="13576" width="13.7109375" style="8" bestFit="1" customWidth="1"/>
    <col min="13577" max="13577" width="12.140625" style="8" bestFit="1" customWidth="1"/>
    <col min="13578" max="13825" width="8.85546875" style="8"/>
    <col min="13826" max="13826" width="3.85546875" style="8" bestFit="1" customWidth="1"/>
    <col min="13827" max="13827" width="15.5703125" style="8" bestFit="1" customWidth="1"/>
    <col min="13828" max="13828" width="40" style="8" bestFit="1" customWidth="1"/>
    <col min="13829" max="13829" width="13.140625" style="8" bestFit="1" customWidth="1"/>
    <col min="13830" max="13831" width="13.140625" style="8" customWidth="1"/>
    <col min="13832" max="13832" width="13.7109375" style="8" bestFit="1" customWidth="1"/>
    <col min="13833" max="13833" width="12.140625" style="8" bestFit="1" customWidth="1"/>
    <col min="13834" max="14081" width="8.85546875" style="8"/>
    <col min="14082" max="14082" width="3.85546875" style="8" bestFit="1" customWidth="1"/>
    <col min="14083" max="14083" width="15.5703125" style="8" bestFit="1" customWidth="1"/>
    <col min="14084" max="14084" width="40" style="8" bestFit="1" customWidth="1"/>
    <col min="14085" max="14085" width="13.140625" style="8" bestFit="1" customWidth="1"/>
    <col min="14086" max="14087" width="13.140625" style="8" customWidth="1"/>
    <col min="14088" max="14088" width="13.7109375" style="8" bestFit="1" customWidth="1"/>
    <col min="14089" max="14089" width="12.140625" style="8" bestFit="1" customWidth="1"/>
    <col min="14090" max="14337" width="8.85546875" style="8"/>
    <col min="14338" max="14338" width="3.85546875" style="8" bestFit="1" customWidth="1"/>
    <col min="14339" max="14339" width="15.5703125" style="8" bestFit="1" customWidth="1"/>
    <col min="14340" max="14340" width="40" style="8" bestFit="1" customWidth="1"/>
    <col min="14341" max="14341" width="13.140625" style="8" bestFit="1" customWidth="1"/>
    <col min="14342" max="14343" width="13.140625" style="8" customWidth="1"/>
    <col min="14344" max="14344" width="13.7109375" style="8" bestFit="1" customWidth="1"/>
    <col min="14345" max="14345" width="12.140625" style="8" bestFit="1" customWidth="1"/>
    <col min="14346" max="14593" width="8.85546875" style="8"/>
    <col min="14594" max="14594" width="3.85546875" style="8" bestFit="1" customWidth="1"/>
    <col min="14595" max="14595" width="15.5703125" style="8" bestFit="1" customWidth="1"/>
    <col min="14596" max="14596" width="40" style="8" bestFit="1" customWidth="1"/>
    <col min="14597" max="14597" width="13.140625" style="8" bestFit="1" customWidth="1"/>
    <col min="14598" max="14599" width="13.140625" style="8" customWidth="1"/>
    <col min="14600" max="14600" width="13.7109375" style="8" bestFit="1" customWidth="1"/>
    <col min="14601" max="14601" width="12.140625" style="8" bestFit="1" customWidth="1"/>
    <col min="14602" max="14849" width="8.85546875" style="8"/>
    <col min="14850" max="14850" width="3.85546875" style="8" bestFit="1" customWidth="1"/>
    <col min="14851" max="14851" width="15.5703125" style="8" bestFit="1" customWidth="1"/>
    <col min="14852" max="14852" width="40" style="8" bestFit="1" customWidth="1"/>
    <col min="14853" max="14853" width="13.140625" style="8" bestFit="1" customWidth="1"/>
    <col min="14854" max="14855" width="13.140625" style="8" customWidth="1"/>
    <col min="14856" max="14856" width="13.7109375" style="8" bestFit="1" customWidth="1"/>
    <col min="14857" max="14857" width="12.140625" style="8" bestFit="1" customWidth="1"/>
    <col min="14858" max="15105" width="8.85546875" style="8"/>
    <col min="15106" max="15106" width="3.85546875" style="8" bestFit="1" customWidth="1"/>
    <col min="15107" max="15107" width="15.5703125" style="8" bestFit="1" customWidth="1"/>
    <col min="15108" max="15108" width="40" style="8" bestFit="1" customWidth="1"/>
    <col min="15109" max="15109" width="13.140625" style="8" bestFit="1" customWidth="1"/>
    <col min="15110" max="15111" width="13.140625" style="8" customWidth="1"/>
    <col min="15112" max="15112" width="13.7109375" style="8" bestFit="1" customWidth="1"/>
    <col min="15113" max="15113" width="12.140625" style="8" bestFit="1" customWidth="1"/>
    <col min="15114" max="15361" width="8.85546875" style="8"/>
    <col min="15362" max="15362" width="3.85546875" style="8" bestFit="1" customWidth="1"/>
    <col min="15363" max="15363" width="15.5703125" style="8" bestFit="1" customWidth="1"/>
    <col min="15364" max="15364" width="40" style="8" bestFit="1" customWidth="1"/>
    <col min="15365" max="15365" width="13.140625" style="8" bestFit="1" customWidth="1"/>
    <col min="15366" max="15367" width="13.140625" style="8" customWidth="1"/>
    <col min="15368" max="15368" width="13.7109375" style="8" bestFit="1" customWidth="1"/>
    <col min="15369" max="15369" width="12.140625" style="8" bestFit="1" customWidth="1"/>
    <col min="15370" max="15617" width="8.85546875" style="8"/>
    <col min="15618" max="15618" width="3.85546875" style="8" bestFit="1" customWidth="1"/>
    <col min="15619" max="15619" width="15.5703125" style="8" bestFit="1" customWidth="1"/>
    <col min="15620" max="15620" width="40" style="8" bestFit="1" customWidth="1"/>
    <col min="15621" max="15621" width="13.140625" style="8" bestFit="1" customWidth="1"/>
    <col min="15622" max="15623" width="13.140625" style="8" customWidth="1"/>
    <col min="15624" max="15624" width="13.7109375" style="8" bestFit="1" customWidth="1"/>
    <col min="15625" max="15625" width="12.140625" style="8" bestFit="1" customWidth="1"/>
    <col min="15626" max="15873" width="8.85546875" style="8"/>
    <col min="15874" max="15874" width="3.85546875" style="8" bestFit="1" customWidth="1"/>
    <col min="15875" max="15875" width="15.5703125" style="8" bestFit="1" customWidth="1"/>
    <col min="15876" max="15876" width="40" style="8" bestFit="1" customWidth="1"/>
    <col min="15877" max="15877" width="13.140625" style="8" bestFit="1" customWidth="1"/>
    <col min="15878" max="15879" width="13.140625" style="8" customWidth="1"/>
    <col min="15880" max="15880" width="13.7109375" style="8" bestFit="1" customWidth="1"/>
    <col min="15881" max="15881" width="12.140625" style="8" bestFit="1" customWidth="1"/>
    <col min="15882" max="16129" width="8.85546875" style="8"/>
    <col min="16130" max="16130" width="3.85546875" style="8" bestFit="1" customWidth="1"/>
    <col min="16131" max="16131" width="15.5703125" style="8" bestFit="1" customWidth="1"/>
    <col min="16132" max="16132" width="40" style="8" bestFit="1" customWidth="1"/>
    <col min="16133" max="16133" width="13.140625" style="8" bestFit="1" customWidth="1"/>
    <col min="16134" max="16135" width="13.140625" style="8" customWidth="1"/>
    <col min="16136" max="16136" width="13.7109375" style="8" bestFit="1" customWidth="1"/>
    <col min="16137" max="16137" width="12.140625" style="8" bestFit="1" customWidth="1"/>
    <col min="16138" max="16384" width="8.85546875" style="8"/>
  </cols>
  <sheetData>
    <row r="1" spans="1:11" s="3" customFormat="1" ht="45.75" thickBot="1" x14ac:dyDescent="0.3">
      <c r="A1" s="4" t="s">
        <v>4</v>
      </c>
      <c r="B1" s="5" t="s">
        <v>5</v>
      </c>
      <c r="C1" s="6" t="s">
        <v>6</v>
      </c>
      <c r="D1" s="16" t="s">
        <v>51</v>
      </c>
      <c r="E1" s="16" t="s">
        <v>52</v>
      </c>
      <c r="F1" s="6" t="s">
        <v>8</v>
      </c>
      <c r="G1" s="6" t="s">
        <v>9</v>
      </c>
      <c r="H1" s="6" t="s">
        <v>10</v>
      </c>
      <c r="I1" s="7" t="s">
        <v>11</v>
      </c>
      <c r="K1" s="17" t="s">
        <v>53</v>
      </c>
    </row>
    <row r="2" spans="1:11" ht="15.75" thickTop="1" x14ac:dyDescent="0.25">
      <c r="A2" s="8">
        <v>1</v>
      </c>
      <c r="B2" s="9" t="s">
        <v>12</v>
      </c>
      <c r="C2" s="8" t="s">
        <v>13</v>
      </c>
      <c r="D2" s="10">
        <v>3000</v>
      </c>
      <c r="E2" s="10">
        <f>D2*1.5</f>
        <v>4500</v>
      </c>
      <c r="F2" s="11">
        <v>0.01</v>
      </c>
      <c r="G2" s="12">
        <v>0</v>
      </c>
      <c r="H2" s="11">
        <f>F2*E2</f>
        <v>45</v>
      </c>
    </row>
    <row r="3" spans="1:11" x14ac:dyDescent="0.25">
      <c r="A3" s="8">
        <v>2</v>
      </c>
      <c r="B3" s="9" t="s">
        <v>14</v>
      </c>
      <c r="C3" s="8" t="s">
        <v>15</v>
      </c>
      <c r="D3" s="10">
        <v>2000</v>
      </c>
      <c r="E3" s="10">
        <f t="shared" ref="E3:E19" si="0">D3*1.5</f>
        <v>3000</v>
      </c>
      <c r="F3" s="11">
        <v>0.01</v>
      </c>
      <c r="G3" s="12">
        <v>0</v>
      </c>
      <c r="H3" s="11">
        <f t="shared" ref="H3:H20" si="1">F3*E3</f>
        <v>30</v>
      </c>
      <c r="K3" s="19" t="s">
        <v>54</v>
      </c>
    </row>
    <row r="4" spans="1:11" x14ac:dyDescent="0.25">
      <c r="A4" s="8">
        <v>3</v>
      </c>
      <c r="B4" s="9" t="s">
        <v>16</v>
      </c>
      <c r="C4" s="8" t="s">
        <v>17</v>
      </c>
      <c r="D4" s="10">
        <v>2000</v>
      </c>
      <c r="E4" s="10">
        <f t="shared" si="0"/>
        <v>3000</v>
      </c>
      <c r="F4" s="11">
        <v>0.01</v>
      </c>
      <c r="G4" s="12">
        <v>0</v>
      </c>
      <c r="H4" s="11">
        <f t="shared" si="1"/>
        <v>30</v>
      </c>
    </row>
    <row r="5" spans="1:11" x14ac:dyDescent="0.25">
      <c r="A5" s="8">
        <v>4</v>
      </c>
      <c r="B5" s="9" t="s">
        <v>18</v>
      </c>
      <c r="C5" s="8" t="s">
        <v>19</v>
      </c>
      <c r="D5" s="10">
        <v>1000</v>
      </c>
      <c r="E5" s="10">
        <f t="shared" si="0"/>
        <v>1500</v>
      </c>
      <c r="F5" s="11">
        <v>0.02</v>
      </c>
      <c r="G5" s="12">
        <v>0</v>
      </c>
      <c r="H5" s="11">
        <f t="shared" si="1"/>
        <v>30</v>
      </c>
    </row>
    <row r="6" spans="1:11" x14ac:dyDescent="0.25">
      <c r="A6" s="8">
        <v>5</v>
      </c>
      <c r="B6" s="9" t="s">
        <v>20</v>
      </c>
      <c r="C6" s="8" t="s">
        <v>21</v>
      </c>
      <c r="D6" s="10">
        <v>500</v>
      </c>
      <c r="E6" s="10">
        <f t="shared" si="0"/>
        <v>750</v>
      </c>
      <c r="F6" s="11">
        <v>0.03</v>
      </c>
      <c r="G6" s="12">
        <v>0</v>
      </c>
      <c r="H6" s="11">
        <f t="shared" si="1"/>
        <v>22.5</v>
      </c>
    </row>
    <row r="7" spans="1:11" x14ac:dyDescent="0.25">
      <c r="A7" s="8">
        <v>6</v>
      </c>
      <c r="B7" s="9" t="s">
        <v>22</v>
      </c>
      <c r="C7" s="8" t="s">
        <v>23</v>
      </c>
      <c r="D7" s="13">
        <v>30</v>
      </c>
      <c r="E7" s="10">
        <f t="shared" si="0"/>
        <v>45</v>
      </c>
      <c r="F7" s="11">
        <v>0.46</v>
      </c>
      <c r="G7" s="12">
        <v>0</v>
      </c>
      <c r="H7" s="11">
        <f t="shared" si="1"/>
        <v>20.7</v>
      </c>
    </row>
    <row r="8" spans="1:11" x14ac:dyDescent="0.25">
      <c r="A8" s="8">
        <v>7</v>
      </c>
      <c r="B8" s="9" t="s">
        <v>24</v>
      </c>
      <c r="C8" s="8" t="s">
        <v>25</v>
      </c>
      <c r="D8" s="13">
        <v>20</v>
      </c>
      <c r="E8" s="10">
        <f t="shared" si="0"/>
        <v>30</v>
      </c>
      <c r="F8" s="11">
        <v>5.26</v>
      </c>
      <c r="G8" s="12">
        <v>0</v>
      </c>
      <c r="H8" s="11">
        <f t="shared" si="1"/>
        <v>157.79999999999998</v>
      </c>
    </row>
    <row r="9" spans="1:11" x14ac:dyDescent="0.25">
      <c r="A9" s="8">
        <v>8</v>
      </c>
      <c r="B9" s="9" t="s">
        <v>26</v>
      </c>
      <c r="C9" s="8" t="s">
        <v>27</v>
      </c>
      <c r="D9" s="13">
        <v>5</v>
      </c>
      <c r="E9" s="10">
        <f t="shared" si="0"/>
        <v>7.5</v>
      </c>
      <c r="F9" s="11">
        <v>2.4500000000000002</v>
      </c>
      <c r="G9" s="12">
        <v>0</v>
      </c>
      <c r="H9" s="11">
        <f t="shared" si="1"/>
        <v>18.375</v>
      </c>
    </row>
    <row r="10" spans="1:11" x14ac:dyDescent="0.25">
      <c r="A10" s="19">
        <v>9</v>
      </c>
      <c r="B10" s="30" t="s">
        <v>28</v>
      </c>
      <c r="C10" s="19" t="s">
        <v>29</v>
      </c>
      <c r="D10" s="34">
        <v>5</v>
      </c>
      <c r="E10" s="31">
        <f t="shared" si="0"/>
        <v>7.5</v>
      </c>
      <c r="F10" s="32">
        <v>1.86</v>
      </c>
      <c r="G10" s="33">
        <v>0</v>
      </c>
      <c r="H10" s="32">
        <f t="shared" si="1"/>
        <v>13.950000000000001</v>
      </c>
    </row>
    <row r="11" spans="1:11" x14ac:dyDescent="0.25">
      <c r="A11" s="19">
        <v>10</v>
      </c>
      <c r="B11" s="30" t="s">
        <v>30</v>
      </c>
      <c r="C11" s="19" t="s">
        <v>31</v>
      </c>
      <c r="D11" s="31">
        <v>50</v>
      </c>
      <c r="E11" s="31">
        <f t="shared" si="0"/>
        <v>75</v>
      </c>
      <c r="F11" s="32">
        <v>1.36</v>
      </c>
      <c r="G11" s="33">
        <v>0</v>
      </c>
      <c r="H11" s="32">
        <f t="shared" si="1"/>
        <v>102.00000000000001</v>
      </c>
    </row>
    <row r="12" spans="1:11" x14ac:dyDescent="0.25">
      <c r="A12" s="19">
        <v>11</v>
      </c>
      <c r="B12" s="30" t="s">
        <v>32</v>
      </c>
      <c r="C12" s="19" t="s">
        <v>33</v>
      </c>
      <c r="D12" s="31">
        <v>50</v>
      </c>
      <c r="E12" s="31">
        <f t="shared" si="0"/>
        <v>75</v>
      </c>
      <c r="F12" s="32">
        <v>1.72</v>
      </c>
      <c r="G12" s="33">
        <v>0</v>
      </c>
      <c r="H12" s="32">
        <f t="shared" si="1"/>
        <v>129</v>
      </c>
    </row>
    <row r="13" spans="1:11" x14ac:dyDescent="0.25">
      <c r="A13" s="8">
        <v>12</v>
      </c>
      <c r="B13" s="9" t="s">
        <v>34</v>
      </c>
      <c r="C13" s="8" t="s">
        <v>35</v>
      </c>
      <c r="D13" s="10">
        <v>10</v>
      </c>
      <c r="E13" s="10">
        <f t="shared" si="0"/>
        <v>15</v>
      </c>
      <c r="F13" s="11">
        <v>0.3</v>
      </c>
      <c r="G13" s="12">
        <v>0</v>
      </c>
      <c r="H13" s="11">
        <f t="shared" si="1"/>
        <v>4.5</v>
      </c>
    </row>
    <row r="14" spans="1:11" x14ac:dyDescent="0.25">
      <c r="A14" s="25">
        <v>13</v>
      </c>
      <c r="B14" s="26" t="s">
        <v>36</v>
      </c>
      <c r="C14" s="25" t="s">
        <v>37</v>
      </c>
      <c r="D14" s="27">
        <v>100</v>
      </c>
      <c r="E14" s="27">
        <f t="shared" si="0"/>
        <v>150</v>
      </c>
      <c r="F14" s="28">
        <v>0.48</v>
      </c>
      <c r="G14" s="29">
        <v>0</v>
      </c>
      <c r="H14" s="28">
        <f t="shared" si="1"/>
        <v>72</v>
      </c>
    </row>
    <row r="15" spans="1:11" x14ac:dyDescent="0.25">
      <c r="A15" s="20">
        <v>14</v>
      </c>
      <c r="B15" s="21" t="s">
        <v>38</v>
      </c>
      <c r="C15" s="20" t="s">
        <v>39</v>
      </c>
      <c r="D15" s="22">
        <v>100</v>
      </c>
      <c r="E15" s="22">
        <f t="shared" si="0"/>
        <v>150</v>
      </c>
      <c r="F15" s="23">
        <v>0.49</v>
      </c>
      <c r="G15" s="24">
        <v>0</v>
      </c>
      <c r="H15" s="23">
        <f t="shared" si="1"/>
        <v>73.5</v>
      </c>
    </row>
    <row r="16" spans="1:11" x14ac:dyDescent="0.25">
      <c r="A16" s="8">
        <v>15</v>
      </c>
      <c r="B16" s="9" t="s">
        <v>40</v>
      </c>
      <c r="C16" s="8" t="s">
        <v>41</v>
      </c>
      <c r="D16" s="10">
        <v>200</v>
      </c>
      <c r="E16" s="10">
        <f t="shared" si="0"/>
        <v>300</v>
      </c>
      <c r="F16" s="11">
        <v>0.14000000000000001</v>
      </c>
      <c r="G16" s="12">
        <v>0</v>
      </c>
      <c r="H16" s="11">
        <f t="shared" si="1"/>
        <v>42.000000000000007</v>
      </c>
    </row>
    <row r="17" spans="1:8" x14ac:dyDescent="0.25">
      <c r="A17" s="8">
        <v>16</v>
      </c>
      <c r="B17" s="9" t="s">
        <v>42</v>
      </c>
      <c r="C17" s="8" t="s">
        <v>43</v>
      </c>
      <c r="D17" s="10">
        <v>1</v>
      </c>
      <c r="E17" s="18">
        <f>D17</f>
        <v>1</v>
      </c>
      <c r="F17" s="11">
        <v>129</v>
      </c>
      <c r="G17" s="12">
        <v>0</v>
      </c>
      <c r="H17" s="11">
        <f t="shared" si="1"/>
        <v>129</v>
      </c>
    </row>
    <row r="18" spans="1:8" x14ac:dyDescent="0.25">
      <c r="A18" s="8">
        <v>17</v>
      </c>
      <c r="B18" s="9">
        <v>270805</v>
      </c>
      <c r="C18" s="8" t="s">
        <v>46</v>
      </c>
      <c r="D18" s="10">
        <v>1000</v>
      </c>
      <c r="E18" s="10">
        <f t="shared" si="0"/>
        <v>1500</v>
      </c>
      <c r="F18" s="11">
        <v>0.01</v>
      </c>
      <c r="G18" s="12">
        <v>0</v>
      </c>
      <c r="H18" s="11">
        <f t="shared" si="1"/>
        <v>15</v>
      </c>
    </row>
    <row r="19" spans="1:8" x14ac:dyDescent="0.25">
      <c r="A19" s="19">
        <v>18</v>
      </c>
      <c r="B19" s="30">
        <v>262637</v>
      </c>
      <c r="C19" s="19" t="s">
        <v>47</v>
      </c>
      <c r="D19" s="31">
        <v>800</v>
      </c>
      <c r="E19" s="31">
        <f t="shared" si="0"/>
        <v>1200</v>
      </c>
      <c r="F19" s="32">
        <v>0.21</v>
      </c>
      <c r="G19" s="33">
        <v>0</v>
      </c>
      <c r="H19" s="32">
        <f t="shared" si="1"/>
        <v>252</v>
      </c>
    </row>
    <row r="20" spans="1:8" x14ac:dyDescent="0.25">
      <c r="A20" s="8">
        <v>19</v>
      </c>
      <c r="B20" s="9">
        <v>267200</v>
      </c>
      <c r="C20" s="8" t="s">
        <v>48</v>
      </c>
      <c r="D20" s="10">
        <v>8</v>
      </c>
      <c r="E20" s="18">
        <f>D20</f>
        <v>8</v>
      </c>
      <c r="F20" s="11">
        <v>11.9</v>
      </c>
      <c r="G20" s="12">
        <v>0</v>
      </c>
      <c r="H20" s="11">
        <f t="shared" si="1"/>
        <v>95.2</v>
      </c>
    </row>
    <row r="21" spans="1:8" x14ac:dyDescent="0.25">
      <c r="F21" s="11"/>
      <c r="G21" s="12"/>
    </row>
    <row r="22" spans="1:8" x14ac:dyDescent="0.25">
      <c r="D22" s="10" t="s">
        <v>44</v>
      </c>
      <c r="E22" s="10"/>
      <c r="F22" s="11"/>
      <c r="G22" s="12"/>
      <c r="H22" s="15">
        <f>SUM(H2:H20)</f>
        <v>1282.5250000000001</v>
      </c>
    </row>
    <row r="23" spans="1:8" x14ac:dyDescent="0.25">
      <c r="D23" s="10" t="s">
        <v>45</v>
      </c>
      <c r="E23" s="10"/>
      <c r="F23" s="11"/>
      <c r="G23" s="12"/>
      <c r="H23" s="15">
        <f>H22*(0.25)+H22</f>
        <v>1603.15625</v>
      </c>
    </row>
    <row r="24" spans="1:8" x14ac:dyDescent="0.25">
      <c r="F24" s="11"/>
      <c r="G24" s="12"/>
    </row>
    <row r="25" spans="1:8" x14ac:dyDescent="0.25">
      <c r="D25" s="8" t="s">
        <v>55</v>
      </c>
      <c r="E25" s="11">
        <f>SUM(H10:H12,H15,H19)</f>
        <v>570.45000000000005</v>
      </c>
      <c r="F25" s="11"/>
      <c r="G25" s="12"/>
    </row>
    <row r="26" spans="1:8" x14ac:dyDescent="0.25">
      <c r="F26" s="11"/>
    </row>
    <row r="27" spans="1:8" x14ac:dyDescent="0.25">
      <c r="D27" s="10" t="s">
        <v>44</v>
      </c>
      <c r="F27" s="11"/>
    </row>
    <row r="28" spans="1:8" x14ac:dyDescent="0.25">
      <c r="D28" s="10" t="s">
        <v>56</v>
      </c>
      <c r="F28" s="11"/>
      <c r="H28" s="15">
        <f>H23-E25</f>
        <v>1032.70625</v>
      </c>
    </row>
    <row r="29" spans="1:8" x14ac:dyDescent="0.25">
      <c r="F29" s="11"/>
    </row>
    <row r="30" spans="1:8" x14ac:dyDescent="0.25">
      <c r="F30" s="11"/>
    </row>
    <row r="31" spans="1:8" x14ac:dyDescent="0.25">
      <c r="F31" s="11"/>
    </row>
    <row r="32" spans="1:8" x14ac:dyDescent="0.25">
      <c r="F32" s="11"/>
    </row>
    <row r="33" spans="6:6" x14ac:dyDescent="0.25">
      <c r="F33" s="1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F872-17F8-4B28-9E22-352B74DEC06D}">
  <dimension ref="A1:H40"/>
  <sheetViews>
    <sheetView tabSelected="1" zoomScale="175" zoomScaleNormal="175" workbookViewId="0">
      <selection activeCell="B27" sqref="B27"/>
    </sheetView>
  </sheetViews>
  <sheetFormatPr defaultRowHeight="15" x14ac:dyDescent="0.25"/>
  <cols>
    <col min="1" max="1" width="3.85546875" style="8" bestFit="1" customWidth="1"/>
    <col min="2" max="2" width="15.5703125" style="8" bestFit="1" customWidth="1"/>
    <col min="3" max="3" width="40" style="8" bestFit="1" customWidth="1"/>
    <col min="4" max="4" width="13.140625" style="8" bestFit="1" customWidth="1"/>
    <col min="5" max="6" width="13.140625" style="8" customWidth="1"/>
    <col min="7" max="7" width="13.7109375" style="8" bestFit="1" customWidth="1"/>
    <col min="8" max="8" width="12.140625" style="8" bestFit="1" customWidth="1"/>
    <col min="9" max="256" width="8.85546875" style="8"/>
    <col min="257" max="257" width="3.85546875" style="8" bestFit="1" customWidth="1"/>
    <col min="258" max="258" width="15.5703125" style="8" bestFit="1" customWidth="1"/>
    <col min="259" max="259" width="40" style="8" bestFit="1" customWidth="1"/>
    <col min="260" max="260" width="13.140625" style="8" bestFit="1" customWidth="1"/>
    <col min="261" max="262" width="13.140625" style="8" customWidth="1"/>
    <col min="263" max="263" width="13.7109375" style="8" bestFit="1" customWidth="1"/>
    <col min="264" max="264" width="12.140625" style="8" bestFit="1" customWidth="1"/>
    <col min="265" max="512" width="8.85546875" style="8"/>
    <col min="513" max="513" width="3.85546875" style="8" bestFit="1" customWidth="1"/>
    <col min="514" max="514" width="15.5703125" style="8" bestFit="1" customWidth="1"/>
    <col min="515" max="515" width="40" style="8" bestFit="1" customWidth="1"/>
    <col min="516" max="516" width="13.140625" style="8" bestFit="1" customWidth="1"/>
    <col min="517" max="518" width="13.140625" style="8" customWidth="1"/>
    <col min="519" max="519" width="13.7109375" style="8" bestFit="1" customWidth="1"/>
    <col min="520" max="520" width="12.140625" style="8" bestFit="1" customWidth="1"/>
    <col min="521" max="768" width="8.85546875" style="8"/>
    <col min="769" max="769" width="3.85546875" style="8" bestFit="1" customWidth="1"/>
    <col min="770" max="770" width="15.5703125" style="8" bestFit="1" customWidth="1"/>
    <col min="771" max="771" width="40" style="8" bestFit="1" customWidth="1"/>
    <col min="772" max="772" width="13.140625" style="8" bestFit="1" customWidth="1"/>
    <col min="773" max="774" width="13.140625" style="8" customWidth="1"/>
    <col min="775" max="775" width="13.7109375" style="8" bestFit="1" customWidth="1"/>
    <col min="776" max="776" width="12.140625" style="8" bestFit="1" customWidth="1"/>
    <col min="777" max="1024" width="8.85546875" style="8"/>
    <col min="1025" max="1025" width="3.85546875" style="8" bestFit="1" customWidth="1"/>
    <col min="1026" max="1026" width="15.5703125" style="8" bestFit="1" customWidth="1"/>
    <col min="1027" max="1027" width="40" style="8" bestFit="1" customWidth="1"/>
    <col min="1028" max="1028" width="13.140625" style="8" bestFit="1" customWidth="1"/>
    <col min="1029" max="1030" width="13.140625" style="8" customWidth="1"/>
    <col min="1031" max="1031" width="13.7109375" style="8" bestFit="1" customWidth="1"/>
    <col min="1032" max="1032" width="12.140625" style="8" bestFit="1" customWidth="1"/>
    <col min="1033" max="1280" width="8.85546875" style="8"/>
    <col min="1281" max="1281" width="3.85546875" style="8" bestFit="1" customWidth="1"/>
    <col min="1282" max="1282" width="15.5703125" style="8" bestFit="1" customWidth="1"/>
    <col min="1283" max="1283" width="40" style="8" bestFit="1" customWidth="1"/>
    <col min="1284" max="1284" width="13.140625" style="8" bestFit="1" customWidth="1"/>
    <col min="1285" max="1286" width="13.140625" style="8" customWidth="1"/>
    <col min="1287" max="1287" width="13.7109375" style="8" bestFit="1" customWidth="1"/>
    <col min="1288" max="1288" width="12.140625" style="8" bestFit="1" customWidth="1"/>
    <col min="1289" max="1536" width="8.85546875" style="8"/>
    <col min="1537" max="1537" width="3.85546875" style="8" bestFit="1" customWidth="1"/>
    <col min="1538" max="1538" width="15.5703125" style="8" bestFit="1" customWidth="1"/>
    <col min="1539" max="1539" width="40" style="8" bestFit="1" customWidth="1"/>
    <col min="1540" max="1540" width="13.140625" style="8" bestFit="1" customWidth="1"/>
    <col min="1541" max="1542" width="13.140625" style="8" customWidth="1"/>
    <col min="1543" max="1543" width="13.7109375" style="8" bestFit="1" customWidth="1"/>
    <col min="1544" max="1544" width="12.140625" style="8" bestFit="1" customWidth="1"/>
    <col min="1545" max="1792" width="8.85546875" style="8"/>
    <col min="1793" max="1793" width="3.85546875" style="8" bestFit="1" customWidth="1"/>
    <col min="1794" max="1794" width="15.5703125" style="8" bestFit="1" customWidth="1"/>
    <col min="1795" max="1795" width="40" style="8" bestFit="1" customWidth="1"/>
    <col min="1796" max="1796" width="13.140625" style="8" bestFit="1" customWidth="1"/>
    <col min="1797" max="1798" width="13.140625" style="8" customWidth="1"/>
    <col min="1799" max="1799" width="13.7109375" style="8" bestFit="1" customWidth="1"/>
    <col min="1800" max="1800" width="12.140625" style="8" bestFit="1" customWidth="1"/>
    <col min="1801" max="2048" width="8.85546875" style="8"/>
    <col min="2049" max="2049" width="3.85546875" style="8" bestFit="1" customWidth="1"/>
    <col min="2050" max="2050" width="15.5703125" style="8" bestFit="1" customWidth="1"/>
    <col min="2051" max="2051" width="40" style="8" bestFit="1" customWidth="1"/>
    <col min="2052" max="2052" width="13.140625" style="8" bestFit="1" customWidth="1"/>
    <col min="2053" max="2054" width="13.140625" style="8" customWidth="1"/>
    <col min="2055" max="2055" width="13.7109375" style="8" bestFit="1" customWidth="1"/>
    <col min="2056" max="2056" width="12.140625" style="8" bestFit="1" customWidth="1"/>
    <col min="2057" max="2304" width="8.85546875" style="8"/>
    <col min="2305" max="2305" width="3.85546875" style="8" bestFit="1" customWidth="1"/>
    <col min="2306" max="2306" width="15.5703125" style="8" bestFit="1" customWidth="1"/>
    <col min="2307" max="2307" width="40" style="8" bestFit="1" customWidth="1"/>
    <col min="2308" max="2308" width="13.140625" style="8" bestFit="1" customWidth="1"/>
    <col min="2309" max="2310" width="13.140625" style="8" customWidth="1"/>
    <col min="2311" max="2311" width="13.7109375" style="8" bestFit="1" customWidth="1"/>
    <col min="2312" max="2312" width="12.140625" style="8" bestFit="1" customWidth="1"/>
    <col min="2313" max="2560" width="8.85546875" style="8"/>
    <col min="2561" max="2561" width="3.85546875" style="8" bestFit="1" customWidth="1"/>
    <col min="2562" max="2562" width="15.5703125" style="8" bestFit="1" customWidth="1"/>
    <col min="2563" max="2563" width="40" style="8" bestFit="1" customWidth="1"/>
    <col min="2564" max="2564" width="13.140625" style="8" bestFit="1" customWidth="1"/>
    <col min="2565" max="2566" width="13.140625" style="8" customWidth="1"/>
    <col min="2567" max="2567" width="13.7109375" style="8" bestFit="1" customWidth="1"/>
    <col min="2568" max="2568" width="12.140625" style="8" bestFit="1" customWidth="1"/>
    <col min="2569" max="2816" width="8.85546875" style="8"/>
    <col min="2817" max="2817" width="3.85546875" style="8" bestFit="1" customWidth="1"/>
    <col min="2818" max="2818" width="15.5703125" style="8" bestFit="1" customWidth="1"/>
    <col min="2819" max="2819" width="40" style="8" bestFit="1" customWidth="1"/>
    <col min="2820" max="2820" width="13.140625" style="8" bestFit="1" customWidth="1"/>
    <col min="2821" max="2822" width="13.140625" style="8" customWidth="1"/>
    <col min="2823" max="2823" width="13.7109375" style="8" bestFit="1" customWidth="1"/>
    <col min="2824" max="2824" width="12.140625" style="8" bestFit="1" customWidth="1"/>
    <col min="2825" max="3072" width="8.85546875" style="8"/>
    <col min="3073" max="3073" width="3.85546875" style="8" bestFit="1" customWidth="1"/>
    <col min="3074" max="3074" width="15.5703125" style="8" bestFit="1" customWidth="1"/>
    <col min="3075" max="3075" width="40" style="8" bestFit="1" customWidth="1"/>
    <col min="3076" max="3076" width="13.140625" style="8" bestFit="1" customWidth="1"/>
    <col min="3077" max="3078" width="13.140625" style="8" customWidth="1"/>
    <col min="3079" max="3079" width="13.7109375" style="8" bestFit="1" customWidth="1"/>
    <col min="3080" max="3080" width="12.140625" style="8" bestFit="1" customWidth="1"/>
    <col min="3081" max="3328" width="8.85546875" style="8"/>
    <col min="3329" max="3329" width="3.85546875" style="8" bestFit="1" customWidth="1"/>
    <col min="3330" max="3330" width="15.5703125" style="8" bestFit="1" customWidth="1"/>
    <col min="3331" max="3331" width="40" style="8" bestFit="1" customWidth="1"/>
    <col min="3332" max="3332" width="13.140625" style="8" bestFit="1" customWidth="1"/>
    <col min="3333" max="3334" width="13.140625" style="8" customWidth="1"/>
    <col min="3335" max="3335" width="13.7109375" style="8" bestFit="1" customWidth="1"/>
    <col min="3336" max="3336" width="12.140625" style="8" bestFit="1" customWidth="1"/>
    <col min="3337" max="3584" width="8.85546875" style="8"/>
    <col min="3585" max="3585" width="3.85546875" style="8" bestFit="1" customWidth="1"/>
    <col min="3586" max="3586" width="15.5703125" style="8" bestFit="1" customWidth="1"/>
    <col min="3587" max="3587" width="40" style="8" bestFit="1" customWidth="1"/>
    <col min="3588" max="3588" width="13.140625" style="8" bestFit="1" customWidth="1"/>
    <col min="3589" max="3590" width="13.140625" style="8" customWidth="1"/>
    <col min="3591" max="3591" width="13.7109375" style="8" bestFit="1" customWidth="1"/>
    <col min="3592" max="3592" width="12.140625" style="8" bestFit="1" customWidth="1"/>
    <col min="3593" max="3840" width="8.85546875" style="8"/>
    <col min="3841" max="3841" width="3.85546875" style="8" bestFit="1" customWidth="1"/>
    <col min="3842" max="3842" width="15.5703125" style="8" bestFit="1" customWidth="1"/>
    <col min="3843" max="3843" width="40" style="8" bestFit="1" customWidth="1"/>
    <col min="3844" max="3844" width="13.140625" style="8" bestFit="1" customWidth="1"/>
    <col min="3845" max="3846" width="13.140625" style="8" customWidth="1"/>
    <col min="3847" max="3847" width="13.7109375" style="8" bestFit="1" customWidth="1"/>
    <col min="3848" max="3848" width="12.140625" style="8" bestFit="1" customWidth="1"/>
    <col min="3849" max="4096" width="8.85546875" style="8"/>
    <col min="4097" max="4097" width="3.85546875" style="8" bestFit="1" customWidth="1"/>
    <col min="4098" max="4098" width="15.5703125" style="8" bestFit="1" customWidth="1"/>
    <col min="4099" max="4099" width="40" style="8" bestFit="1" customWidth="1"/>
    <col min="4100" max="4100" width="13.140625" style="8" bestFit="1" customWidth="1"/>
    <col min="4101" max="4102" width="13.140625" style="8" customWidth="1"/>
    <col min="4103" max="4103" width="13.7109375" style="8" bestFit="1" customWidth="1"/>
    <col min="4104" max="4104" width="12.140625" style="8" bestFit="1" customWidth="1"/>
    <col min="4105" max="4352" width="8.85546875" style="8"/>
    <col min="4353" max="4353" width="3.85546875" style="8" bestFit="1" customWidth="1"/>
    <col min="4354" max="4354" width="15.5703125" style="8" bestFit="1" customWidth="1"/>
    <col min="4355" max="4355" width="40" style="8" bestFit="1" customWidth="1"/>
    <col min="4356" max="4356" width="13.140625" style="8" bestFit="1" customWidth="1"/>
    <col min="4357" max="4358" width="13.140625" style="8" customWidth="1"/>
    <col min="4359" max="4359" width="13.7109375" style="8" bestFit="1" customWidth="1"/>
    <col min="4360" max="4360" width="12.140625" style="8" bestFit="1" customWidth="1"/>
    <col min="4361" max="4608" width="8.85546875" style="8"/>
    <col min="4609" max="4609" width="3.85546875" style="8" bestFit="1" customWidth="1"/>
    <col min="4610" max="4610" width="15.5703125" style="8" bestFit="1" customWidth="1"/>
    <col min="4611" max="4611" width="40" style="8" bestFit="1" customWidth="1"/>
    <col min="4612" max="4612" width="13.140625" style="8" bestFit="1" customWidth="1"/>
    <col min="4613" max="4614" width="13.140625" style="8" customWidth="1"/>
    <col min="4615" max="4615" width="13.7109375" style="8" bestFit="1" customWidth="1"/>
    <col min="4616" max="4616" width="12.140625" style="8" bestFit="1" customWidth="1"/>
    <col min="4617" max="4864" width="8.85546875" style="8"/>
    <col min="4865" max="4865" width="3.85546875" style="8" bestFit="1" customWidth="1"/>
    <col min="4866" max="4866" width="15.5703125" style="8" bestFit="1" customWidth="1"/>
    <col min="4867" max="4867" width="40" style="8" bestFit="1" customWidth="1"/>
    <col min="4868" max="4868" width="13.140625" style="8" bestFit="1" customWidth="1"/>
    <col min="4869" max="4870" width="13.140625" style="8" customWidth="1"/>
    <col min="4871" max="4871" width="13.7109375" style="8" bestFit="1" customWidth="1"/>
    <col min="4872" max="4872" width="12.140625" style="8" bestFit="1" customWidth="1"/>
    <col min="4873" max="5120" width="8.85546875" style="8"/>
    <col min="5121" max="5121" width="3.85546875" style="8" bestFit="1" customWidth="1"/>
    <col min="5122" max="5122" width="15.5703125" style="8" bestFit="1" customWidth="1"/>
    <col min="5123" max="5123" width="40" style="8" bestFit="1" customWidth="1"/>
    <col min="5124" max="5124" width="13.140625" style="8" bestFit="1" customWidth="1"/>
    <col min="5125" max="5126" width="13.140625" style="8" customWidth="1"/>
    <col min="5127" max="5127" width="13.7109375" style="8" bestFit="1" customWidth="1"/>
    <col min="5128" max="5128" width="12.140625" style="8" bestFit="1" customWidth="1"/>
    <col min="5129" max="5376" width="8.85546875" style="8"/>
    <col min="5377" max="5377" width="3.85546875" style="8" bestFit="1" customWidth="1"/>
    <col min="5378" max="5378" width="15.5703125" style="8" bestFit="1" customWidth="1"/>
    <col min="5379" max="5379" width="40" style="8" bestFit="1" customWidth="1"/>
    <col min="5380" max="5380" width="13.140625" style="8" bestFit="1" customWidth="1"/>
    <col min="5381" max="5382" width="13.140625" style="8" customWidth="1"/>
    <col min="5383" max="5383" width="13.7109375" style="8" bestFit="1" customWidth="1"/>
    <col min="5384" max="5384" width="12.140625" style="8" bestFit="1" customWidth="1"/>
    <col min="5385" max="5632" width="8.85546875" style="8"/>
    <col min="5633" max="5633" width="3.85546875" style="8" bestFit="1" customWidth="1"/>
    <col min="5634" max="5634" width="15.5703125" style="8" bestFit="1" customWidth="1"/>
    <col min="5635" max="5635" width="40" style="8" bestFit="1" customWidth="1"/>
    <col min="5636" max="5636" width="13.140625" style="8" bestFit="1" customWidth="1"/>
    <col min="5637" max="5638" width="13.140625" style="8" customWidth="1"/>
    <col min="5639" max="5639" width="13.7109375" style="8" bestFit="1" customWidth="1"/>
    <col min="5640" max="5640" width="12.140625" style="8" bestFit="1" customWidth="1"/>
    <col min="5641" max="5888" width="8.85546875" style="8"/>
    <col min="5889" max="5889" width="3.85546875" style="8" bestFit="1" customWidth="1"/>
    <col min="5890" max="5890" width="15.5703125" style="8" bestFit="1" customWidth="1"/>
    <col min="5891" max="5891" width="40" style="8" bestFit="1" customWidth="1"/>
    <col min="5892" max="5892" width="13.140625" style="8" bestFit="1" customWidth="1"/>
    <col min="5893" max="5894" width="13.140625" style="8" customWidth="1"/>
    <col min="5895" max="5895" width="13.7109375" style="8" bestFit="1" customWidth="1"/>
    <col min="5896" max="5896" width="12.140625" style="8" bestFit="1" customWidth="1"/>
    <col min="5897" max="6144" width="8.85546875" style="8"/>
    <col min="6145" max="6145" width="3.85546875" style="8" bestFit="1" customWidth="1"/>
    <col min="6146" max="6146" width="15.5703125" style="8" bestFit="1" customWidth="1"/>
    <col min="6147" max="6147" width="40" style="8" bestFit="1" customWidth="1"/>
    <col min="6148" max="6148" width="13.140625" style="8" bestFit="1" customWidth="1"/>
    <col min="6149" max="6150" width="13.140625" style="8" customWidth="1"/>
    <col min="6151" max="6151" width="13.7109375" style="8" bestFit="1" customWidth="1"/>
    <col min="6152" max="6152" width="12.140625" style="8" bestFit="1" customWidth="1"/>
    <col min="6153" max="6400" width="8.85546875" style="8"/>
    <col min="6401" max="6401" width="3.85546875" style="8" bestFit="1" customWidth="1"/>
    <col min="6402" max="6402" width="15.5703125" style="8" bestFit="1" customWidth="1"/>
    <col min="6403" max="6403" width="40" style="8" bestFit="1" customWidth="1"/>
    <col min="6404" max="6404" width="13.140625" style="8" bestFit="1" customWidth="1"/>
    <col min="6405" max="6406" width="13.140625" style="8" customWidth="1"/>
    <col min="6407" max="6407" width="13.7109375" style="8" bestFit="1" customWidth="1"/>
    <col min="6408" max="6408" width="12.140625" style="8" bestFit="1" customWidth="1"/>
    <col min="6409" max="6656" width="8.85546875" style="8"/>
    <col min="6657" max="6657" width="3.85546875" style="8" bestFit="1" customWidth="1"/>
    <col min="6658" max="6658" width="15.5703125" style="8" bestFit="1" customWidth="1"/>
    <col min="6659" max="6659" width="40" style="8" bestFit="1" customWidth="1"/>
    <col min="6660" max="6660" width="13.140625" style="8" bestFit="1" customWidth="1"/>
    <col min="6661" max="6662" width="13.140625" style="8" customWidth="1"/>
    <col min="6663" max="6663" width="13.7109375" style="8" bestFit="1" customWidth="1"/>
    <col min="6664" max="6664" width="12.140625" style="8" bestFit="1" customWidth="1"/>
    <col min="6665" max="6912" width="8.85546875" style="8"/>
    <col min="6913" max="6913" width="3.85546875" style="8" bestFit="1" customWidth="1"/>
    <col min="6914" max="6914" width="15.5703125" style="8" bestFit="1" customWidth="1"/>
    <col min="6915" max="6915" width="40" style="8" bestFit="1" customWidth="1"/>
    <col min="6916" max="6916" width="13.140625" style="8" bestFit="1" customWidth="1"/>
    <col min="6917" max="6918" width="13.140625" style="8" customWidth="1"/>
    <col min="6919" max="6919" width="13.7109375" style="8" bestFit="1" customWidth="1"/>
    <col min="6920" max="6920" width="12.140625" style="8" bestFit="1" customWidth="1"/>
    <col min="6921" max="7168" width="8.85546875" style="8"/>
    <col min="7169" max="7169" width="3.85546875" style="8" bestFit="1" customWidth="1"/>
    <col min="7170" max="7170" width="15.5703125" style="8" bestFit="1" customWidth="1"/>
    <col min="7171" max="7171" width="40" style="8" bestFit="1" customWidth="1"/>
    <col min="7172" max="7172" width="13.140625" style="8" bestFit="1" customWidth="1"/>
    <col min="7173" max="7174" width="13.140625" style="8" customWidth="1"/>
    <col min="7175" max="7175" width="13.7109375" style="8" bestFit="1" customWidth="1"/>
    <col min="7176" max="7176" width="12.140625" style="8" bestFit="1" customWidth="1"/>
    <col min="7177" max="7424" width="8.85546875" style="8"/>
    <col min="7425" max="7425" width="3.85546875" style="8" bestFit="1" customWidth="1"/>
    <col min="7426" max="7426" width="15.5703125" style="8" bestFit="1" customWidth="1"/>
    <col min="7427" max="7427" width="40" style="8" bestFit="1" customWidth="1"/>
    <col min="7428" max="7428" width="13.140625" style="8" bestFit="1" customWidth="1"/>
    <col min="7429" max="7430" width="13.140625" style="8" customWidth="1"/>
    <col min="7431" max="7431" width="13.7109375" style="8" bestFit="1" customWidth="1"/>
    <col min="7432" max="7432" width="12.140625" style="8" bestFit="1" customWidth="1"/>
    <col min="7433" max="7680" width="8.85546875" style="8"/>
    <col min="7681" max="7681" width="3.85546875" style="8" bestFit="1" customWidth="1"/>
    <col min="7682" max="7682" width="15.5703125" style="8" bestFit="1" customWidth="1"/>
    <col min="7683" max="7683" width="40" style="8" bestFit="1" customWidth="1"/>
    <col min="7684" max="7684" width="13.140625" style="8" bestFit="1" customWidth="1"/>
    <col min="7685" max="7686" width="13.140625" style="8" customWidth="1"/>
    <col min="7687" max="7687" width="13.7109375" style="8" bestFit="1" customWidth="1"/>
    <col min="7688" max="7688" width="12.140625" style="8" bestFit="1" customWidth="1"/>
    <col min="7689" max="7936" width="8.85546875" style="8"/>
    <col min="7937" max="7937" width="3.85546875" style="8" bestFit="1" customWidth="1"/>
    <col min="7938" max="7938" width="15.5703125" style="8" bestFit="1" customWidth="1"/>
    <col min="7939" max="7939" width="40" style="8" bestFit="1" customWidth="1"/>
    <col min="7940" max="7940" width="13.140625" style="8" bestFit="1" customWidth="1"/>
    <col min="7941" max="7942" width="13.140625" style="8" customWidth="1"/>
    <col min="7943" max="7943" width="13.7109375" style="8" bestFit="1" customWidth="1"/>
    <col min="7944" max="7944" width="12.140625" style="8" bestFit="1" customWidth="1"/>
    <col min="7945" max="8192" width="8.85546875" style="8"/>
    <col min="8193" max="8193" width="3.85546875" style="8" bestFit="1" customWidth="1"/>
    <col min="8194" max="8194" width="15.5703125" style="8" bestFit="1" customWidth="1"/>
    <col min="8195" max="8195" width="40" style="8" bestFit="1" customWidth="1"/>
    <col min="8196" max="8196" width="13.140625" style="8" bestFit="1" customWidth="1"/>
    <col min="8197" max="8198" width="13.140625" style="8" customWidth="1"/>
    <col min="8199" max="8199" width="13.7109375" style="8" bestFit="1" customWidth="1"/>
    <col min="8200" max="8200" width="12.140625" style="8" bestFit="1" customWidth="1"/>
    <col min="8201" max="8448" width="8.85546875" style="8"/>
    <col min="8449" max="8449" width="3.85546875" style="8" bestFit="1" customWidth="1"/>
    <col min="8450" max="8450" width="15.5703125" style="8" bestFit="1" customWidth="1"/>
    <col min="8451" max="8451" width="40" style="8" bestFit="1" customWidth="1"/>
    <col min="8452" max="8452" width="13.140625" style="8" bestFit="1" customWidth="1"/>
    <col min="8453" max="8454" width="13.140625" style="8" customWidth="1"/>
    <col min="8455" max="8455" width="13.7109375" style="8" bestFit="1" customWidth="1"/>
    <col min="8456" max="8456" width="12.140625" style="8" bestFit="1" customWidth="1"/>
    <col min="8457" max="8704" width="8.85546875" style="8"/>
    <col min="8705" max="8705" width="3.85546875" style="8" bestFit="1" customWidth="1"/>
    <col min="8706" max="8706" width="15.5703125" style="8" bestFit="1" customWidth="1"/>
    <col min="8707" max="8707" width="40" style="8" bestFit="1" customWidth="1"/>
    <col min="8708" max="8708" width="13.140625" style="8" bestFit="1" customWidth="1"/>
    <col min="8709" max="8710" width="13.140625" style="8" customWidth="1"/>
    <col min="8711" max="8711" width="13.7109375" style="8" bestFit="1" customWidth="1"/>
    <col min="8712" max="8712" width="12.140625" style="8" bestFit="1" customWidth="1"/>
    <col min="8713" max="8960" width="8.85546875" style="8"/>
    <col min="8961" max="8961" width="3.85546875" style="8" bestFit="1" customWidth="1"/>
    <col min="8962" max="8962" width="15.5703125" style="8" bestFit="1" customWidth="1"/>
    <col min="8963" max="8963" width="40" style="8" bestFit="1" customWidth="1"/>
    <col min="8964" max="8964" width="13.140625" style="8" bestFit="1" customWidth="1"/>
    <col min="8965" max="8966" width="13.140625" style="8" customWidth="1"/>
    <col min="8967" max="8967" width="13.7109375" style="8" bestFit="1" customWidth="1"/>
    <col min="8968" max="8968" width="12.140625" style="8" bestFit="1" customWidth="1"/>
    <col min="8969" max="9216" width="8.85546875" style="8"/>
    <col min="9217" max="9217" width="3.85546875" style="8" bestFit="1" customWidth="1"/>
    <col min="9218" max="9218" width="15.5703125" style="8" bestFit="1" customWidth="1"/>
    <col min="9219" max="9219" width="40" style="8" bestFit="1" customWidth="1"/>
    <col min="9220" max="9220" width="13.140625" style="8" bestFit="1" customWidth="1"/>
    <col min="9221" max="9222" width="13.140625" style="8" customWidth="1"/>
    <col min="9223" max="9223" width="13.7109375" style="8" bestFit="1" customWidth="1"/>
    <col min="9224" max="9224" width="12.140625" style="8" bestFit="1" customWidth="1"/>
    <col min="9225" max="9472" width="8.85546875" style="8"/>
    <col min="9473" max="9473" width="3.85546875" style="8" bestFit="1" customWidth="1"/>
    <col min="9474" max="9474" width="15.5703125" style="8" bestFit="1" customWidth="1"/>
    <col min="9475" max="9475" width="40" style="8" bestFit="1" customWidth="1"/>
    <col min="9476" max="9476" width="13.140625" style="8" bestFit="1" customWidth="1"/>
    <col min="9477" max="9478" width="13.140625" style="8" customWidth="1"/>
    <col min="9479" max="9479" width="13.7109375" style="8" bestFit="1" customWidth="1"/>
    <col min="9480" max="9480" width="12.140625" style="8" bestFit="1" customWidth="1"/>
    <col min="9481" max="9728" width="8.85546875" style="8"/>
    <col min="9729" max="9729" width="3.85546875" style="8" bestFit="1" customWidth="1"/>
    <col min="9730" max="9730" width="15.5703125" style="8" bestFit="1" customWidth="1"/>
    <col min="9731" max="9731" width="40" style="8" bestFit="1" customWidth="1"/>
    <col min="9732" max="9732" width="13.140625" style="8" bestFit="1" customWidth="1"/>
    <col min="9733" max="9734" width="13.140625" style="8" customWidth="1"/>
    <col min="9735" max="9735" width="13.7109375" style="8" bestFit="1" customWidth="1"/>
    <col min="9736" max="9736" width="12.140625" style="8" bestFit="1" customWidth="1"/>
    <col min="9737" max="9984" width="8.85546875" style="8"/>
    <col min="9985" max="9985" width="3.85546875" style="8" bestFit="1" customWidth="1"/>
    <col min="9986" max="9986" width="15.5703125" style="8" bestFit="1" customWidth="1"/>
    <col min="9987" max="9987" width="40" style="8" bestFit="1" customWidth="1"/>
    <col min="9988" max="9988" width="13.140625" style="8" bestFit="1" customWidth="1"/>
    <col min="9989" max="9990" width="13.140625" style="8" customWidth="1"/>
    <col min="9991" max="9991" width="13.7109375" style="8" bestFit="1" customWidth="1"/>
    <col min="9992" max="9992" width="12.140625" style="8" bestFit="1" customWidth="1"/>
    <col min="9993" max="10240" width="8.85546875" style="8"/>
    <col min="10241" max="10241" width="3.85546875" style="8" bestFit="1" customWidth="1"/>
    <col min="10242" max="10242" width="15.5703125" style="8" bestFit="1" customWidth="1"/>
    <col min="10243" max="10243" width="40" style="8" bestFit="1" customWidth="1"/>
    <col min="10244" max="10244" width="13.140625" style="8" bestFit="1" customWidth="1"/>
    <col min="10245" max="10246" width="13.140625" style="8" customWidth="1"/>
    <col min="10247" max="10247" width="13.7109375" style="8" bestFit="1" customWidth="1"/>
    <col min="10248" max="10248" width="12.140625" style="8" bestFit="1" customWidth="1"/>
    <col min="10249" max="10496" width="8.85546875" style="8"/>
    <col min="10497" max="10497" width="3.85546875" style="8" bestFit="1" customWidth="1"/>
    <col min="10498" max="10498" width="15.5703125" style="8" bestFit="1" customWidth="1"/>
    <col min="10499" max="10499" width="40" style="8" bestFit="1" customWidth="1"/>
    <col min="10500" max="10500" width="13.140625" style="8" bestFit="1" customWidth="1"/>
    <col min="10501" max="10502" width="13.140625" style="8" customWidth="1"/>
    <col min="10503" max="10503" width="13.7109375" style="8" bestFit="1" customWidth="1"/>
    <col min="10504" max="10504" width="12.140625" style="8" bestFit="1" customWidth="1"/>
    <col min="10505" max="10752" width="8.85546875" style="8"/>
    <col min="10753" max="10753" width="3.85546875" style="8" bestFit="1" customWidth="1"/>
    <col min="10754" max="10754" width="15.5703125" style="8" bestFit="1" customWidth="1"/>
    <col min="10755" max="10755" width="40" style="8" bestFit="1" customWidth="1"/>
    <col min="10756" max="10756" width="13.140625" style="8" bestFit="1" customWidth="1"/>
    <col min="10757" max="10758" width="13.140625" style="8" customWidth="1"/>
    <col min="10759" max="10759" width="13.7109375" style="8" bestFit="1" customWidth="1"/>
    <col min="10760" max="10760" width="12.140625" style="8" bestFit="1" customWidth="1"/>
    <col min="10761" max="11008" width="8.85546875" style="8"/>
    <col min="11009" max="11009" width="3.85546875" style="8" bestFit="1" customWidth="1"/>
    <col min="11010" max="11010" width="15.5703125" style="8" bestFit="1" customWidth="1"/>
    <col min="11011" max="11011" width="40" style="8" bestFit="1" customWidth="1"/>
    <col min="11012" max="11012" width="13.140625" style="8" bestFit="1" customWidth="1"/>
    <col min="11013" max="11014" width="13.140625" style="8" customWidth="1"/>
    <col min="11015" max="11015" width="13.7109375" style="8" bestFit="1" customWidth="1"/>
    <col min="11016" max="11016" width="12.140625" style="8" bestFit="1" customWidth="1"/>
    <col min="11017" max="11264" width="8.85546875" style="8"/>
    <col min="11265" max="11265" width="3.85546875" style="8" bestFit="1" customWidth="1"/>
    <col min="11266" max="11266" width="15.5703125" style="8" bestFit="1" customWidth="1"/>
    <col min="11267" max="11267" width="40" style="8" bestFit="1" customWidth="1"/>
    <col min="11268" max="11268" width="13.140625" style="8" bestFit="1" customWidth="1"/>
    <col min="11269" max="11270" width="13.140625" style="8" customWidth="1"/>
    <col min="11271" max="11271" width="13.7109375" style="8" bestFit="1" customWidth="1"/>
    <col min="11272" max="11272" width="12.140625" style="8" bestFit="1" customWidth="1"/>
    <col min="11273" max="11520" width="8.85546875" style="8"/>
    <col min="11521" max="11521" width="3.85546875" style="8" bestFit="1" customWidth="1"/>
    <col min="11522" max="11522" width="15.5703125" style="8" bestFit="1" customWidth="1"/>
    <col min="11523" max="11523" width="40" style="8" bestFit="1" customWidth="1"/>
    <col min="11524" max="11524" width="13.140625" style="8" bestFit="1" customWidth="1"/>
    <col min="11525" max="11526" width="13.140625" style="8" customWidth="1"/>
    <col min="11527" max="11527" width="13.7109375" style="8" bestFit="1" customWidth="1"/>
    <col min="11528" max="11528" width="12.140625" style="8" bestFit="1" customWidth="1"/>
    <col min="11529" max="11776" width="8.85546875" style="8"/>
    <col min="11777" max="11777" width="3.85546875" style="8" bestFit="1" customWidth="1"/>
    <col min="11778" max="11778" width="15.5703125" style="8" bestFit="1" customWidth="1"/>
    <col min="11779" max="11779" width="40" style="8" bestFit="1" customWidth="1"/>
    <col min="11780" max="11780" width="13.140625" style="8" bestFit="1" customWidth="1"/>
    <col min="11781" max="11782" width="13.140625" style="8" customWidth="1"/>
    <col min="11783" max="11783" width="13.7109375" style="8" bestFit="1" customWidth="1"/>
    <col min="11784" max="11784" width="12.140625" style="8" bestFit="1" customWidth="1"/>
    <col min="11785" max="12032" width="8.85546875" style="8"/>
    <col min="12033" max="12033" width="3.85546875" style="8" bestFit="1" customWidth="1"/>
    <col min="12034" max="12034" width="15.5703125" style="8" bestFit="1" customWidth="1"/>
    <col min="12035" max="12035" width="40" style="8" bestFit="1" customWidth="1"/>
    <col min="12036" max="12036" width="13.140625" style="8" bestFit="1" customWidth="1"/>
    <col min="12037" max="12038" width="13.140625" style="8" customWidth="1"/>
    <col min="12039" max="12039" width="13.7109375" style="8" bestFit="1" customWidth="1"/>
    <col min="12040" max="12040" width="12.140625" style="8" bestFit="1" customWidth="1"/>
    <col min="12041" max="12288" width="8.85546875" style="8"/>
    <col min="12289" max="12289" width="3.85546875" style="8" bestFit="1" customWidth="1"/>
    <col min="12290" max="12290" width="15.5703125" style="8" bestFit="1" customWidth="1"/>
    <col min="12291" max="12291" width="40" style="8" bestFit="1" customWidth="1"/>
    <col min="12292" max="12292" width="13.140625" style="8" bestFit="1" customWidth="1"/>
    <col min="12293" max="12294" width="13.140625" style="8" customWidth="1"/>
    <col min="12295" max="12295" width="13.7109375" style="8" bestFit="1" customWidth="1"/>
    <col min="12296" max="12296" width="12.140625" style="8" bestFit="1" customWidth="1"/>
    <col min="12297" max="12544" width="8.85546875" style="8"/>
    <col min="12545" max="12545" width="3.85546875" style="8" bestFit="1" customWidth="1"/>
    <col min="12546" max="12546" width="15.5703125" style="8" bestFit="1" customWidth="1"/>
    <col min="12547" max="12547" width="40" style="8" bestFit="1" customWidth="1"/>
    <col min="12548" max="12548" width="13.140625" style="8" bestFit="1" customWidth="1"/>
    <col min="12549" max="12550" width="13.140625" style="8" customWidth="1"/>
    <col min="12551" max="12551" width="13.7109375" style="8" bestFit="1" customWidth="1"/>
    <col min="12552" max="12552" width="12.140625" style="8" bestFit="1" customWidth="1"/>
    <col min="12553" max="12800" width="8.85546875" style="8"/>
    <col min="12801" max="12801" width="3.85546875" style="8" bestFit="1" customWidth="1"/>
    <col min="12802" max="12802" width="15.5703125" style="8" bestFit="1" customWidth="1"/>
    <col min="12803" max="12803" width="40" style="8" bestFit="1" customWidth="1"/>
    <col min="12804" max="12804" width="13.140625" style="8" bestFit="1" customWidth="1"/>
    <col min="12805" max="12806" width="13.140625" style="8" customWidth="1"/>
    <col min="12807" max="12807" width="13.7109375" style="8" bestFit="1" customWidth="1"/>
    <col min="12808" max="12808" width="12.140625" style="8" bestFit="1" customWidth="1"/>
    <col min="12809" max="13056" width="8.85546875" style="8"/>
    <col min="13057" max="13057" width="3.85546875" style="8" bestFit="1" customWidth="1"/>
    <col min="13058" max="13058" width="15.5703125" style="8" bestFit="1" customWidth="1"/>
    <col min="13059" max="13059" width="40" style="8" bestFit="1" customWidth="1"/>
    <col min="13060" max="13060" width="13.140625" style="8" bestFit="1" customWidth="1"/>
    <col min="13061" max="13062" width="13.140625" style="8" customWidth="1"/>
    <col min="13063" max="13063" width="13.7109375" style="8" bestFit="1" customWidth="1"/>
    <col min="13064" max="13064" width="12.140625" style="8" bestFit="1" customWidth="1"/>
    <col min="13065" max="13312" width="8.85546875" style="8"/>
    <col min="13313" max="13313" width="3.85546875" style="8" bestFit="1" customWidth="1"/>
    <col min="13314" max="13314" width="15.5703125" style="8" bestFit="1" customWidth="1"/>
    <col min="13315" max="13315" width="40" style="8" bestFit="1" customWidth="1"/>
    <col min="13316" max="13316" width="13.140625" style="8" bestFit="1" customWidth="1"/>
    <col min="13317" max="13318" width="13.140625" style="8" customWidth="1"/>
    <col min="13319" max="13319" width="13.7109375" style="8" bestFit="1" customWidth="1"/>
    <col min="13320" max="13320" width="12.140625" style="8" bestFit="1" customWidth="1"/>
    <col min="13321" max="13568" width="8.85546875" style="8"/>
    <col min="13569" max="13569" width="3.85546875" style="8" bestFit="1" customWidth="1"/>
    <col min="13570" max="13570" width="15.5703125" style="8" bestFit="1" customWidth="1"/>
    <col min="13571" max="13571" width="40" style="8" bestFit="1" customWidth="1"/>
    <col min="13572" max="13572" width="13.140625" style="8" bestFit="1" customWidth="1"/>
    <col min="13573" max="13574" width="13.140625" style="8" customWidth="1"/>
    <col min="13575" max="13575" width="13.7109375" style="8" bestFit="1" customWidth="1"/>
    <col min="13576" max="13576" width="12.140625" style="8" bestFit="1" customWidth="1"/>
    <col min="13577" max="13824" width="8.85546875" style="8"/>
    <col min="13825" max="13825" width="3.85546875" style="8" bestFit="1" customWidth="1"/>
    <col min="13826" max="13826" width="15.5703125" style="8" bestFit="1" customWidth="1"/>
    <col min="13827" max="13827" width="40" style="8" bestFit="1" customWidth="1"/>
    <col min="13828" max="13828" width="13.140625" style="8" bestFit="1" customWidth="1"/>
    <col min="13829" max="13830" width="13.140625" style="8" customWidth="1"/>
    <col min="13831" max="13831" width="13.7109375" style="8" bestFit="1" customWidth="1"/>
    <col min="13832" max="13832" width="12.140625" style="8" bestFit="1" customWidth="1"/>
    <col min="13833" max="14080" width="8.85546875" style="8"/>
    <col min="14081" max="14081" width="3.85546875" style="8" bestFit="1" customWidth="1"/>
    <col min="14082" max="14082" width="15.5703125" style="8" bestFit="1" customWidth="1"/>
    <col min="14083" max="14083" width="40" style="8" bestFit="1" customWidth="1"/>
    <col min="14084" max="14084" width="13.140625" style="8" bestFit="1" customWidth="1"/>
    <col min="14085" max="14086" width="13.140625" style="8" customWidth="1"/>
    <col min="14087" max="14087" width="13.7109375" style="8" bestFit="1" customWidth="1"/>
    <col min="14088" max="14088" width="12.140625" style="8" bestFit="1" customWidth="1"/>
    <col min="14089" max="14336" width="8.85546875" style="8"/>
    <col min="14337" max="14337" width="3.85546875" style="8" bestFit="1" customWidth="1"/>
    <col min="14338" max="14338" width="15.5703125" style="8" bestFit="1" customWidth="1"/>
    <col min="14339" max="14339" width="40" style="8" bestFit="1" customWidth="1"/>
    <col min="14340" max="14340" width="13.140625" style="8" bestFit="1" customWidth="1"/>
    <col min="14341" max="14342" width="13.140625" style="8" customWidth="1"/>
    <col min="14343" max="14343" width="13.7109375" style="8" bestFit="1" customWidth="1"/>
    <col min="14344" max="14344" width="12.140625" style="8" bestFit="1" customWidth="1"/>
    <col min="14345" max="14592" width="8.85546875" style="8"/>
    <col min="14593" max="14593" width="3.85546875" style="8" bestFit="1" customWidth="1"/>
    <col min="14594" max="14594" width="15.5703125" style="8" bestFit="1" customWidth="1"/>
    <col min="14595" max="14595" width="40" style="8" bestFit="1" customWidth="1"/>
    <col min="14596" max="14596" width="13.140625" style="8" bestFit="1" customWidth="1"/>
    <col min="14597" max="14598" width="13.140625" style="8" customWidth="1"/>
    <col min="14599" max="14599" width="13.7109375" style="8" bestFit="1" customWidth="1"/>
    <col min="14600" max="14600" width="12.140625" style="8" bestFit="1" customWidth="1"/>
    <col min="14601" max="14848" width="8.85546875" style="8"/>
    <col min="14849" max="14849" width="3.85546875" style="8" bestFit="1" customWidth="1"/>
    <col min="14850" max="14850" width="15.5703125" style="8" bestFit="1" customWidth="1"/>
    <col min="14851" max="14851" width="40" style="8" bestFit="1" customWidth="1"/>
    <col min="14852" max="14852" width="13.140625" style="8" bestFit="1" customWidth="1"/>
    <col min="14853" max="14854" width="13.140625" style="8" customWidth="1"/>
    <col min="14855" max="14855" width="13.7109375" style="8" bestFit="1" customWidth="1"/>
    <col min="14856" max="14856" width="12.140625" style="8" bestFit="1" customWidth="1"/>
    <col min="14857" max="15104" width="8.85546875" style="8"/>
    <col min="15105" max="15105" width="3.85546875" style="8" bestFit="1" customWidth="1"/>
    <col min="15106" max="15106" width="15.5703125" style="8" bestFit="1" customWidth="1"/>
    <col min="15107" max="15107" width="40" style="8" bestFit="1" customWidth="1"/>
    <col min="15108" max="15108" width="13.140625" style="8" bestFit="1" customWidth="1"/>
    <col min="15109" max="15110" width="13.140625" style="8" customWidth="1"/>
    <col min="15111" max="15111" width="13.7109375" style="8" bestFit="1" customWidth="1"/>
    <col min="15112" max="15112" width="12.140625" style="8" bestFit="1" customWidth="1"/>
    <col min="15113" max="15360" width="8.85546875" style="8"/>
    <col min="15361" max="15361" width="3.85546875" style="8" bestFit="1" customWidth="1"/>
    <col min="15362" max="15362" width="15.5703125" style="8" bestFit="1" customWidth="1"/>
    <col min="15363" max="15363" width="40" style="8" bestFit="1" customWidth="1"/>
    <col min="15364" max="15364" width="13.140625" style="8" bestFit="1" customWidth="1"/>
    <col min="15365" max="15366" width="13.140625" style="8" customWidth="1"/>
    <col min="15367" max="15367" width="13.7109375" style="8" bestFit="1" customWidth="1"/>
    <col min="15368" max="15368" width="12.140625" style="8" bestFit="1" customWidth="1"/>
    <col min="15369" max="15616" width="8.85546875" style="8"/>
    <col min="15617" max="15617" width="3.85546875" style="8" bestFit="1" customWidth="1"/>
    <col min="15618" max="15618" width="15.5703125" style="8" bestFit="1" customWidth="1"/>
    <col min="15619" max="15619" width="40" style="8" bestFit="1" customWidth="1"/>
    <col min="15620" max="15620" width="13.140625" style="8" bestFit="1" customWidth="1"/>
    <col min="15621" max="15622" width="13.140625" style="8" customWidth="1"/>
    <col min="15623" max="15623" width="13.7109375" style="8" bestFit="1" customWidth="1"/>
    <col min="15624" max="15624" width="12.140625" style="8" bestFit="1" customWidth="1"/>
    <col min="15625" max="15872" width="8.85546875" style="8"/>
    <col min="15873" max="15873" width="3.85546875" style="8" bestFit="1" customWidth="1"/>
    <col min="15874" max="15874" width="15.5703125" style="8" bestFit="1" customWidth="1"/>
    <col min="15875" max="15875" width="40" style="8" bestFit="1" customWidth="1"/>
    <col min="15876" max="15876" width="13.140625" style="8" bestFit="1" customWidth="1"/>
    <col min="15877" max="15878" width="13.140625" style="8" customWidth="1"/>
    <col min="15879" max="15879" width="13.7109375" style="8" bestFit="1" customWidth="1"/>
    <col min="15880" max="15880" width="12.140625" style="8" bestFit="1" customWidth="1"/>
    <col min="15881" max="16128" width="8.85546875" style="8"/>
    <col min="16129" max="16129" width="3.85546875" style="8" bestFit="1" customWidth="1"/>
    <col min="16130" max="16130" width="15.5703125" style="8" bestFit="1" customWidth="1"/>
    <col min="16131" max="16131" width="40" style="8" bestFit="1" customWidth="1"/>
    <col min="16132" max="16132" width="13.140625" style="8" bestFit="1" customWidth="1"/>
    <col min="16133" max="16134" width="13.140625" style="8" customWidth="1"/>
    <col min="16135" max="16135" width="13.7109375" style="8" bestFit="1" customWidth="1"/>
    <col min="16136" max="16136" width="12.140625" style="8" bestFit="1" customWidth="1"/>
    <col min="16137" max="16384" width="8.85546875" style="8"/>
  </cols>
  <sheetData>
    <row r="1" spans="1:8" s="3" customFormat="1" ht="16.5" thickTop="1" thickBot="1" x14ac:dyDescent="0.3">
      <c r="A1" s="35" t="s">
        <v>49</v>
      </c>
      <c r="B1" s="35"/>
      <c r="C1" s="35"/>
      <c r="D1" s="35"/>
      <c r="E1" s="35"/>
      <c r="F1" s="35"/>
      <c r="G1" s="35"/>
      <c r="H1" s="35"/>
    </row>
    <row r="2" spans="1:8" s="3" customFormat="1" ht="16.5" thickTop="1" thickBot="1" x14ac:dyDescent="0.3">
      <c r="A2" s="4" t="s">
        <v>4</v>
      </c>
      <c r="B2" s="5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7" t="s">
        <v>11</v>
      </c>
    </row>
    <row r="3" spans="1:8" ht="15.75" thickTop="1" x14ac:dyDescent="0.25">
      <c r="A3" s="8">
        <v>1</v>
      </c>
      <c r="B3" s="9" t="s">
        <v>12</v>
      </c>
      <c r="C3" s="8" t="s">
        <v>13</v>
      </c>
      <c r="D3" s="10">
        <v>3000</v>
      </c>
      <c r="E3" s="11">
        <v>0.01</v>
      </c>
      <c r="F3" s="12">
        <v>0</v>
      </c>
      <c r="G3" s="11">
        <f t="shared" ref="G3:G18" si="0">E3*D3</f>
        <v>30</v>
      </c>
    </row>
    <row r="4" spans="1:8" x14ac:dyDescent="0.25">
      <c r="A4" s="8">
        <v>2</v>
      </c>
      <c r="B4" s="9" t="s">
        <v>14</v>
      </c>
      <c r="C4" s="8" t="s">
        <v>15</v>
      </c>
      <c r="D4" s="10">
        <v>2000</v>
      </c>
      <c r="E4" s="11">
        <v>0.01</v>
      </c>
      <c r="F4" s="12">
        <v>0</v>
      </c>
      <c r="G4" s="11">
        <f t="shared" si="0"/>
        <v>20</v>
      </c>
    </row>
    <row r="5" spans="1:8" x14ac:dyDescent="0.25">
      <c r="A5" s="8">
        <v>3</v>
      </c>
      <c r="B5" s="9" t="s">
        <v>16</v>
      </c>
      <c r="C5" s="8" t="s">
        <v>17</v>
      </c>
      <c r="D5" s="10">
        <v>2000</v>
      </c>
      <c r="E5" s="11">
        <v>0.01</v>
      </c>
      <c r="F5" s="12">
        <v>0</v>
      </c>
      <c r="G5" s="11">
        <f t="shared" si="0"/>
        <v>20</v>
      </c>
    </row>
    <row r="6" spans="1:8" x14ac:dyDescent="0.25">
      <c r="A6" s="8">
        <v>4</v>
      </c>
      <c r="B6" s="9" t="s">
        <v>18</v>
      </c>
      <c r="C6" s="8" t="s">
        <v>19</v>
      </c>
      <c r="D6" s="10">
        <v>1000</v>
      </c>
      <c r="E6" s="11">
        <v>0.02</v>
      </c>
      <c r="F6" s="12">
        <v>0</v>
      </c>
      <c r="G6" s="11">
        <f t="shared" si="0"/>
        <v>20</v>
      </c>
    </row>
    <row r="7" spans="1:8" x14ac:dyDescent="0.25">
      <c r="A7" s="8">
        <v>5</v>
      </c>
      <c r="B7" s="9" t="s">
        <v>20</v>
      </c>
      <c r="C7" s="8" t="s">
        <v>21</v>
      </c>
      <c r="D7" s="10">
        <v>500</v>
      </c>
      <c r="E7" s="11">
        <v>0.03</v>
      </c>
      <c r="F7" s="12">
        <v>0</v>
      </c>
      <c r="G7" s="11">
        <f t="shared" si="0"/>
        <v>15</v>
      </c>
    </row>
    <row r="8" spans="1:8" x14ac:dyDescent="0.25">
      <c r="A8" s="8">
        <v>6</v>
      </c>
      <c r="B8" s="9" t="s">
        <v>22</v>
      </c>
      <c r="C8" s="8" t="s">
        <v>23</v>
      </c>
      <c r="D8" s="13">
        <v>30</v>
      </c>
      <c r="E8" s="11">
        <v>0.46</v>
      </c>
      <c r="F8" s="12">
        <v>0</v>
      </c>
      <c r="G8" s="11">
        <f t="shared" si="0"/>
        <v>13.8</v>
      </c>
    </row>
    <row r="9" spans="1:8" x14ac:dyDescent="0.25">
      <c r="A9" s="8">
        <v>7</v>
      </c>
      <c r="B9" s="9" t="s">
        <v>24</v>
      </c>
      <c r="C9" s="8" t="s">
        <v>25</v>
      </c>
      <c r="D9" s="13">
        <v>20</v>
      </c>
      <c r="E9" s="11">
        <v>5.26</v>
      </c>
      <c r="F9" s="12">
        <v>0</v>
      </c>
      <c r="G9" s="11">
        <f t="shared" si="0"/>
        <v>105.19999999999999</v>
      </c>
    </row>
    <row r="10" spans="1:8" x14ac:dyDescent="0.25">
      <c r="A10" s="8">
        <v>8</v>
      </c>
      <c r="B10" s="9" t="s">
        <v>26</v>
      </c>
      <c r="C10" s="8" t="s">
        <v>27</v>
      </c>
      <c r="D10" s="13">
        <v>5</v>
      </c>
      <c r="E10" s="11">
        <v>2.4500000000000002</v>
      </c>
      <c r="F10" s="12">
        <v>0</v>
      </c>
      <c r="G10" s="11">
        <f t="shared" si="0"/>
        <v>12.25</v>
      </c>
    </row>
    <row r="11" spans="1:8" x14ac:dyDescent="0.25">
      <c r="A11" s="8">
        <v>9</v>
      </c>
      <c r="B11" s="9" t="s">
        <v>28</v>
      </c>
      <c r="C11" s="8" t="s">
        <v>29</v>
      </c>
      <c r="D11" s="13">
        <v>5</v>
      </c>
      <c r="E11" s="11">
        <v>1.86</v>
      </c>
      <c r="F11" s="12">
        <v>0</v>
      </c>
      <c r="G11" s="11">
        <f t="shared" si="0"/>
        <v>9.3000000000000007</v>
      </c>
    </row>
    <row r="12" spans="1:8" x14ac:dyDescent="0.25">
      <c r="A12" s="8">
        <v>10</v>
      </c>
      <c r="B12" s="9" t="s">
        <v>30</v>
      </c>
      <c r="C12" s="8" t="s">
        <v>31</v>
      </c>
      <c r="D12" s="10">
        <v>50</v>
      </c>
      <c r="E12" s="11">
        <v>1.36</v>
      </c>
      <c r="F12" s="12">
        <v>0</v>
      </c>
      <c r="G12" s="11">
        <f t="shared" si="0"/>
        <v>68</v>
      </c>
    </row>
    <row r="13" spans="1:8" x14ac:dyDescent="0.25">
      <c r="A13" s="8">
        <v>11</v>
      </c>
      <c r="B13" s="9" t="s">
        <v>32</v>
      </c>
      <c r="C13" s="8" t="s">
        <v>33</v>
      </c>
      <c r="D13" s="10">
        <v>50</v>
      </c>
      <c r="E13" s="11">
        <v>1.72</v>
      </c>
      <c r="F13" s="12">
        <v>0</v>
      </c>
      <c r="G13" s="11">
        <f t="shared" si="0"/>
        <v>86</v>
      </c>
    </row>
    <row r="14" spans="1:8" x14ac:dyDescent="0.25">
      <c r="A14" s="8">
        <v>12</v>
      </c>
      <c r="B14" s="9" t="s">
        <v>34</v>
      </c>
      <c r="C14" s="8" t="s">
        <v>35</v>
      </c>
      <c r="D14" s="10">
        <v>10</v>
      </c>
      <c r="E14" s="11">
        <v>0.3</v>
      </c>
      <c r="F14" s="12">
        <v>0</v>
      </c>
      <c r="G14" s="11">
        <f t="shared" si="0"/>
        <v>3</v>
      </c>
    </row>
    <row r="15" spans="1:8" x14ac:dyDescent="0.25">
      <c r="A15" s="8">
        <v>13</v>
      </c>
      <c r="B15" s="9" t="s">
        <v>36</v>
      </c>
      <c r="C15" s="8" t="s">
        <v>37</v>
      </c>
      <c r="D15" s="10">
        <v>100</v>
      </c>
      <c r="E15" s="11">
        <v>0.48</v>
      </c>
      <c r="F15" s="12">
        <v>0</v>
      </c>
      <c r="G15" s="11">
        <f t="shared" si="0"/>
        <v>48</v>
      </c>
    </row>
    <row r="16" spans="1:8" x14ac:dyDescent="0.25">
      <c r="A16" s="8">
        <v>14</v>
      </c>
      <c r="B16" s="9" t="s">
        <v>38</v>
      </c>
      <c r="C16" s="8" t="s">
        <v>39</v>
      </c>
      <c r="D16" s="10">
        <v>100</v>
      </c>
      <c r="E16" s="11">
        <v>0.49</v>
      </c>
      <c r="F16" s="12">
        <v>0</v>
      </c>
      <c r="G16" s="11">
        <f t="shared" si="0"/>
        <v>49</v>
      </c>
    </row>
    <row r="17" spans="1:8" x14ac:dyDescent="0.25">
      <c r="A17" s="8">
        <v>15</v>
      </c>
      <c r="B17" s="9" t="s">
        <v>40</v>
      </c>
      <c r="C17" s="8" t="s">
        <v>41</v>
      </c>
      <c r="D17" s="10">
        <v>200</v>
      </c>
      <c r="E17" s="11">
        <v>0.14000000000000001</v>
      </c>
      <c r="F17" s="12">
        <v>0</v>
      </c>
      <c r="G17" s="11">
        <f t="shared" si="0"/>
        <v>28.000000000000004</v>
      </c>
    </row>
    <row r="18" spans="1:8" x14ac:dyDescent="0.25">
      <c r="A18" s="8">
        <v>16</v>
      </c>
      <c r="B18" s="9" t="s">
        <v>42</v>
      </c>
      <c r="C18" s="8" t="s">
        <v>43</v>
      </c>
      <c r="D18" s="10">
        <v>1</v>
      </c>
      <c r="E18" s="11">
        <v>129</v>
      </c>
      <c r="F18" s="12">
        <v>0</v>
      </c>
      <c r="G18" s="11">
        <f t="shared" si="0"/>
        <v>129</v>
      </c>
    </row>
    <row r="19" spans="1:8" x14ac:dyDescent="0.25">
      <c r="D19" s="10"/>
      <c r="E19" s="11"/>
      <c r="F19" s="12"/>
      <c r="G19" s="14"/>
    </row>
    <row r="20" spans="1:8" x14ac:dyDescent="0.25">
      <c r="D20" s="10" t="s">
        <v>44</v>
      </c>
      <c r="E20" s="11"/>
      <c r="F20" s="12"/>
      <c r="G20" s="11">
        <f>SUM(G3:G18)</f>
        <v>656.55000000000007</v>
      </c>
    </row>
    <row r="21" spans="1:8" x14ac:dyDescent="0.25">
      <c r="D21" s="10" t="s">
        <v>45</v>
      </c>
      <c r="E21" s="10"/>
      <c r="F21" s="10"/>
      <c r="G21" s="11">
        <f>G20*(0.25)+G20</f>
        <v>820.68750000000011</v>
      </c>
    </row>
    <row r="22" spans="1:8" ht="15.75" thickBot="1" x14ac:dyDescent="0.3">
      <c r="D22" s="10"/>
      <c r="E22" s="10"/>
      <c r="F22" s="10"/>
      <c r="G22" s="14"/>
    </row>
    <row r="23" spans="1:8" s="3" customFormat="1" ht="16.5" thickTop="1" thickBot="1" x14ac:dyDescent="0.3">
      <c r="A23" s="35" t="s">
        <v>50</v>
      </c>
      <c r="B23" s="35"/>
      <c r="C23" s="35"/>
      <c r="D23" s="35"/>
      <c r="E23" s="35"/>
      <c r="F23" s="35"/>
      <c r="G23" s="35"/>
      <c r="H23" s="35"/>
    </row>
    <row r="24" spans="1:8" s="3" customFormat="1" ht="16.5" thickTop="1" thickBot="1" x14ac:dyDescent="0.3">
      <c r="A24" s="4" t="s">
        <v>4</v>
      </c>
      <c r="B24" s="5" t="s">
        <v>5</v>
      </c>
      <c r="C24" s="6" t="s">
        <v>6</v>
      </c>
      <c r="D24" s="6" t="s">
        <v>7</v>
      </c>
      <c r="E24" s="6" t="s">
        <v>8</v>
      </c>
      <c r="F24" s="6" t="s">
        <v>9</v>
      </c>
      <c r="G24" s="6" t="s">
        <v>10</v>
      </c>
      <c r="H24" s="7" t="s">
        <v>11</v>
      </c>
    </row>
    <row r="25" spans="1:8" ht="15.75" thickTop="1" x14ac:dyDescent="0.25">
      <c r="A25" s="8">
        <v>1</v>
      </c>
      <c r="B25" s="9">
        <v>270805</v>
      </c>
      <c r="C25" s="8" t="s">
        <v>46</v>
      </c>
      <c r="D25" s="10">
        <v>1000</v>
      </c>
      <c r="E25" s="11">
        <v>0.01</v>
      </c>
      <c r="F25" s="12">
        <v>0</v>
      </c>
      <c r="G25" s="11">
        <f>E25*D25</f>
        <v>10</v>
      </c>
    </row>
    <row r="26" spans="1:8" x14ac:dyDescent="0.25">
      <c r="A26" s="8">
        <v>2</v>
      </c>
      <c r="B26" s="9">
        <v>262637</v>
      </c>
      <c r="C26" s="8" t="s">
        <v>47</v>
      </c>
      <c r="D26" s="10">
        <v>800</v>
      </c>
      <c r="E26" s="11">
        <v>0.21</v>
      </c>
      <c r="F26" s="12">
        <v>0</v>
      </c>
      <c r="G26" s="11">
        <f>E26*D26</f>
        <v>168</v>
      </c>
    </row>
    <row r="27" spans="1:8" x14ac:dyDescent="0.25">
      <c r="A27" s="8">
        <v>3</v>
      </c>
      <c r="B27" s="9">
        <v>267200</v>
      </c>
      <c r="C27" s="8" t="s">
        <v>48</v>
      </c>
      <c r="D27" s="10">
        <v>8</v>
      </c>
      <c r="E27" s="11">
        <v>11.9</v>
      </c>
      <c r="F27" s="12">
        <v>0</v>
      </c>
      <c r="G27" s="11">
        <f>E27*D27</f>
        <v>95.2</v>
      </c>
    </row>
    <row r="28" spans="1:8" x14ac:dyDescent="0.25">
      <c r="E28" s="11"/>
      <c r="F28" s="12"/>
    </row>
    <row r="29" spans="1:8" x14ac:dyDescent="0.25">
      <c r="D29" s="10" t="s">
        <v>44</v>
      </c>
      <c r="E29" s="11"/>
      <c r="F29" s="12"/>
      <c r="G29" s="15">
        <f>SUM(G25:G27)</f>
        <v>273.2</v>
      </c>
    </row>
    <row r="30" spans="1:8" x14ac:dyDescent="0.25">
      <c r="D30" s="10" t="s">
        <v>45</v>
      </c>
      <c r="E30" s="11"/>
      <c r="F30" s="12"/>
      <c r="G30" s="15">
        <f>G29*(0.25)+G29</f>
        <v>341.5</v>
      </c>
    </row>
    <row r="31" spans="1:8" x14ac:dyDescent="0.25">
      <c r="E31" s="11"/>
      <c r="F31" s="12"/>
    </row>
    <row r="32" spans="1:8" x14ac:dyDescent="0.25">
      <c r="E32" s="11"/>
      <c r="F32" s="12"/>
    </row>
    <row r="33" spans="5:5" x14ac:dyDescent="0.25">
      <c r="E33" s="11"/>
    </row>
    <row r="34" spans="5:5" x14ac:dyDescent="0.25">
      <c r="E34" s="11"/>
    </row>
    <row r="35" spans="5:5" x14ac:dyDescent="0.25">
      <c r="E35" s="11"/>
    </row>
    <row r="36" spans="5:5" x14ac:dyDescent="0.25">
      <c r="E36" s="11"/>
    </row>
    <row r="37" spans="5:5" x14ac:dyDescent="0.25">
      <c r="E37" s="11"/>
    </row>
    <row r="38" spans="5:5" x14ac:dyDescent="0.25">
      <c r="E38" s="11"/>
    </row>
    <row r="39" spans="5:5" x14ac:dyDescent="0.25">
      <c r="E39" s="11"/>
    </row>
    <row r="40" spans="5:5" x14ac:dyDescent="0.25">
      <c r="E40" s="11"/>
    </row>
  </sheetData>
  <mergeCells count="2">
    <mergeCell ref="A1:H1"/>
    <mergeCell ref="A23:H23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5" ma:contentTypeDescription="Stvaranje novog dokumenta." ma:contentTypeScope="" ma:versionID="a8c33b6e590cfde1d47b4f88b94056f8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2f0459585fec777def8472403ecc383d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585990-FEFE-4AEF-8DBE-2FE8B788EF18}"/>
</file>

<file path=customXml/itemProps2.xml><?xml version="1.0" encoding="utf-8"?>
<ds:datastoreItem xmlns:ds="http://schemas.openxmlformats.org/officeDocument/2006/customXml" ds:itemID="{DEA389A4-252A-43FA-A5AC-63EAC381ABB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EEF328B-A8C3-4AA4-A163-1FE80BF616A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2478759-0E62-4029-BE73-4BFF7EA2F2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Instalacijski materijal-konačno</vt:lpstr>
      <vt:lpstr>Instalacijski materijal</vt:lpstr>
      <vt:lpstr>Instalacijski materijal-podloga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Domagoj</dc:creator>
  <cp:lastModifiedBy>Patrik Kovač</cp:lastModifiedBy>
  <cp:lastPrinted>2023-03-15T08:43:50Z</cp:lastPrinted>
  <dcterms:created xsi:type="dcterms:W3CDTF">2015-06-05T18:17:20Z</dcterms:created>
  <dcterms:modified xsi:type="dcterms:W3CDTF">2024-09-06T13:46:24Z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</Properties>
</file>