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odojak\Brodotehna\Projekti\HE_Senj\HE Senj_PK_2026-08-04\"/>
    </mc:Choice>
  </mc:AlternateContent>
  <xr:revisionPtr revIDLastSave="0" documentId="13_ncr:1_{D0A60A0D-8F85-41F7-8FD4-5F2B8C858540}" xr6:coauthVersionLast="47" xr6:coauthVersionMax="47" xr10:uidLastSave="{00000000-0000-0000-0000-000000000000}"/>
  <bookViews>
    <workbookView xWindow="-38535" yWindow="-4170" windowWidth="38670" windowHeight="21150" activeTab="1" xr2:uid="{00000000-000D-0000-FFFF-FFFF00000000}"/>
  </bookViews>
  <sheets>
    <sheet name="Zadaci" sheetId="23" r:id="rId1"/>
    <sheet name="Specifikacija opreme - HEP-v2" sheetId="22" r:id="rId2"/>
  </sheets>
  <definedNames>
    <definedName name="_xlnm._FilterDatabase" localSheetId="1" hidden="1">'Specifikacija opreme - HEP-v2'!$B$1:$F$117</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005  Page 2   3_1f55d95d-4d60-4da8-a6e3-ffdd3f6d5d7d" name="Table005  Page 2   3" connection="Query - Table005 (Page 2) (3)"/>
          <x15:modelTable id="Table007  Page 3_417d852f-14a2-4e4d-8a20-11e621ec27c7" name="Table007  Page 3" connection="Query - Table007 (Page 3)"/>
          <x15:modelTable id="Table009  Page 4_2ccbcca8-c21b-4330-b2f5-9440d52ec189" name="Table009  Page 4" connection="Query - Table009 (Page 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4" i="22" l="1"/>
  <c r="J116" i="22"/>
  <c r="J117" i="22"/>
  <c r="J118" i="22"/>
  <c r="J119" i="22"/>
  <c r="J120" i="22"/>
  <c r="J121" i="22"/>
  <c r="J122" i="22"/>
  <c r="J3" i="22"/>
  <c r="J4" i="22"/>
  <c r="J5" i="22"/>
  <c r="J6" i="22"/>
  <c r="J7" i="22"/>
  <c r="J8" i="22"/>
  <c r="J9" i="22"/>
  <c r="J10" i="22"/>
  <c r="J11" i="22"/>
  <c r="J12" i="22"/>
  <c r="J13" i="22"/>
  <c r="J14" i="22"/>
  <c r="J15" i="22"/>
  <c r="J16" i="22"/>
  <c r="J17" i="22"/>
  <c r="J18" i="22"/>
  <c r="J19" i="22"/>
  <c r="J20" i="22"/>
  <c r="J21" i="22"/>
  <c r="J22" i="22"/>
  <c r="J23" i="22"/>
  <c r="J24" i="22"/>
  <c r="J25" i="22"/>
  <c r="J26" i="22"/>
  <c r="J27" i="22"/>
  <c r="J28" i="22"/>
  <c r="J29" i="22"/>
  <c r="J30" i="22"/>
  <c r="J31" i="22"/>
  <c r="J32" i="22"/>
  <c r="J33" i="22"/>
  <c r="J34" i="22"/>
  <c r="J35" i="22"/>
  <c r="J36" i="22"/>
  <c r="J37" i="22"/>
  <c r="J38" i="22"/>
  <c r="J39" i="22"/>
  <c r="J40" i="22"/>
  <c r="J41" i="22"/>
  <c r="J42" i="22"/>
  <c r="J43" i="22"/>
  <c r="J44" i="22"/>
  <c r="J45" i="22"/>
  <c r="J46" i="22"/>
  <c r="J47" i="22"/>
  <c r="J48" i="22"/>
  <c r="J49" i="22"/>
  <c r="J50" i="22"/>
  <c r="J51" i="22"/>
  <c r="J52" i="22"/>
  <c r="J53" i="22"/>
  <c r="J54" i="22"/>
  <c r="J55" i="22"/>
  <c r="J56" i="22"/>
  <c r="J57" i="22"/>
  <c r="J58" i="22"/>
  <c r="J59" i="22"/>
  <c r="J60" i="22"/>
  <c r="J61" i="22"/>
  <c r="J62" i="22"/>
  <c r="J63" i="22"/>
  <c r="J64" i="22"/>
  <c r="J65" i="22"/>
  <c r="J66" i="22"/>
  <c r="J67" i="22"/>
  <c r="J68" i="22"/>
  <c r="J69" i="22"/>
  <c r="J70" i="22"/>
  <c r="J71" i="22"/>
  <c r="J72" i="22"/>
  <c r="J73" i="22"/>
  <c r="J74" i="22"/>
  <c r="J75" i="22"/>
  <c r="J76" i="22"/>
  <c r="J77" i="22"/>
  <c r="J78" i="22"/>
  <c r="J79" i="22"/>
  <c r="J80" i="22"/>
  <c r="J81" i="22"/>
  <c r="J82" i="22"/>
  <c r="J83" i="22"/>
  <c r="J84" i="22"/>
  <c r="J85" i="22"/>
  <c r="J86" i="22"/>
  <c r="J87" i="22"/>
  <c r="J88" i="22"/>
  <c r="J89" i="22"/>
  <c r="J90" i="22"/>
  <c r="J91" i="22"/>
  <c r="J92" i="22"/>
  <c r="J93" i="22"/>
  <c r="J94" i="22"/>
  <c r="J95" i="22"/>
  <c r="J96" i="22"/>
  <c r="J97" i="22"/>
  <c r="J98" i="22"/>
  <c r="J99" i="22"/>
  <c r="J100" i="22"/>
  <c r="J101" i="22"/>
  <c r="J102" i="22"/>
  <c r="J103" i="22"/>
  <c r="J104" i="22"/>
  <c r="J105" i="22"/>
  <c r="J106" i="22"/>
  <c r="J107" i="22"/>
  <c r="J108" i="22"/>
  <c r="J109" i="22"/>
  <c r="J110" i="22"/>
  <c r="J111" i="22"/>
  <c r="J112" i="22"/>
  <c r="J113" i="22"/>
  <c r="J115" i="22"/>
  <c r="J2"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tc={330CDC6E-EE01-410C-8DF2-4668925A1B02}</author>
  </authors>
  <commentList>
    <comment ref="D112" authorId="0" shapeId="0" xr:uid="{330CDC6E-EE01-410C-8DF2-4668925A1B02}">
      <text>
        <t>[Threaded comment]
Your version of Excel allows you to read this threaded comment; however, any edits to it will get removed if the file is opened in a newer version of Excel. Learn more: https://go.microsoft.com/fwlink/?linkid=870924
Comment:
    Schrack?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CB86153-1A18-4EBF-9F50-3A5AAFED014E}" keepAlive="1" name="Query - Table005 (Page 2)" description="Connection to the 'Table005 (Page 2)' query in the workbook." type="5" refreshedVersion="0" background="1">
    <dbPr connection="Provider=Microsoft.Mashup.OleDb.1;Data Source=$Workbook$;Location=&quot;Table005 (Page 2)&quot;;Extended Properties=&quot;&quot;" command="SELECT * FROM [Table005 (Page 2)]"/>
  </connection>
  <connection id="2" xr16:uid="{B96A7669-7BD5-42F1-9115-56B8A7049D24}" keepAlive="1" name="Query - Table005 (Page 2) (2)" description="Connection to the 'Table005 (Page 2) (2)' query in the workbook." type="5" refreshedVersion="0" background="1">
    <dbPr connection="Provider=Microsoft.Mashup.OleDb.1;Data Source=$Workbook$;Location=&quot;Table005 (Page 2) (2)&quot;;Extended Properties=&quot;&quot;" command="SELECT * FROM [Table005 (Page 2) (2)]"/>
  </connection>
  <connection id="3" xr16:uid="{3A8F36B6-35DE-4DC1-A17A-1B5D7223070A}" name="Query - Table005 (Page 2) (3)" description="Connection to the 'Table005 (Page 2) (3)' query in the workbook." type="100" refreshedVersion="8" minRefreshableVersion="5">
    <extLst>
      <ext xmlns:x15="http://schemas.microsoft.com/office/spreadsheetml/2010/11/main" uri="{DE250136-89BD-433C-8126-D09CA5730AF9}">
        <x15:connection id="daf2ff18-ce17-4695-a330-d5fa1605f453"/>
      </ext>
    </extLst>
  </connection>
  <connection id="4" xr16:uid="{70455044-7CB0-4B26-B366-D8EF3766CB0B}" name="Query - Table007 (Page 3)" description="Connection to the 'Table007 (Page 3)' query in the workbook." type="100" refreshedVersion="8" minRefreshableVersion="5">
    <extLst>
      <ext xmlns:x15="http://schemas.microsoft.com/office/spreadsheetml/2010/11/main" uri="{DE250136-89BD-433C-8126-D09CA5730AF9}">
        <x15:connection id="6fccd27c-66d5-43e9-9526-0b1c39dd7c52"/>
      </ext>
    </extLst>
  </connection>
  <connection id="5" xr16:uid="{87AD5EDF-99C5-42F0-B364-224BE48B7AF6}" name="Query - Table009 (Page 4)" description="Connection to the 'Table009 (Page 4)' query in the workbook." type="100" refreshedVersion="8" minRefreshableVersion="5">
    <extLst>
      <ext xmlns:x15="http://schemas.microsoft.com/office/spreadsheetml/2010/11/main" uri="{DE250136-89BD-433C-8126-D09CA5730AF9}">
        <x15:connection id="0879833a-2f16-460d-b6c8-c27fd6bb5def"/>
      </ext>
    </extLst>
  </connection>
  <connection id="6" xr16:uid="{56546B08-FFE1-4FFA-9744-77B54F51AD3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<sst xmlns="http://schemas.openxmlformats.org/spreadsheetml/2006/main" count="679" uniqueCount="313">
  <si>
    <t>ATV680C13Q4X1</t>
  </si>
  <si>
    <t>10-2512.1149</t>
  </si>
  <si>
    <t>EAO</t>
  </si>
  <si>
    <t>704.202.508</t>
  </si>
  <si>
    <t>704.202.408</t>
  </si>
  <si>
    <t>704.202.708</t>
  </si>
  <si>
    <t>704.209.700</t>
  </si>
  <si>
    <t>704.229.500</t>
  </si>
  <si>
    <t>704.911.5-1</t>
  </si>
  <si>
    <t>704.075.2</t>
  </si>
  <si>
    <t>704.911.4-1</t>
  </si>
  <si>
    <t>Količina</t>
  </si>
  <si>
    <t>Oznaka</t>
  </si>
  <si>
    <t>kom</t>
  </si>
  <si>
    <t>-A101</t>
  </si>
  <si>
    <t>Schneider Electric</t>
  </si>
  <si>
    <t>set</t>
  </si>
  <si>
    <t>Rittal</t>
  </si>
  <si>
    <t>Ormar Y BJP14 + Y CDP01</t>
  </si>
  <si>
    <t>6GK5206-2BS00-2AC2</t>
  </si>
  <si>
    <t>Siemens</t>
  </si>
  <si>
    <t>6ES7513-1AM03-0AB0</t>
  </si>
  <si>
    <t>6GK1900-0AB10</t>
  </si>
  <si>
    <t>6GK5991-1AD00-8AA0</t>
  </si>
  <si>
    <t>6ES7954-8LE04-0AA0</t>
  </si>
  <si>
    <t>6ES7531-7KF00-0AB0</t>
  </si>
  <si>
    <t>6ES7521-1BL00-0AB0</t>
  </si>
  <si>
    <t>6ES7522-1BL01-0AB0</t>
  </si>
  <si>
    <t>6GK1901-1BB10-2AA0</t>
  </si>
  <si>
    <t>6XV1840-2AT10</t>
  </si>
  <si>
    <t>6ES7590-1AF30-0AA0</t>
  </si>
  <si>
    <t>6ES7592-1AM00-0XB0</t>
  </si>
  <si>
    <t>6AV2128-3QB06-0AX1</t>
  </si>
  <si>
    <t>6EP1336-3BA10</t>
  </si>
  <si>
    <t>6EP4347-7RB00-0AX0</t>
  </si>
  <si>
    <t>6EP4438-7EB00-3DX0</t>
  </si>
  <si>
    <t>704.911.3-1</t>
  </si>
  <si>
    <t>Phoenix Contact</t>
  </si>
  <si>
    <t>3UG5616-1CR20</t>
  </si>
  <si>
    <t>LAD9R1V</t>
  </si>
  <si>
    <t>Dehn</t>
  </si>
  <si>
    <t>Socomec</t>
  </si>
  <si>
    <t>A9F94303</t>
  </si>
  <si>
    <t>iC60L - minijaturni prekidač - 3P - 3 A - C krivulja</t>
  </si>
  <si>
    <t>Pomoćni kontakt, Acti9 A9A, iOF/SD+OF, 2 C/O, 100mA do 6A, 24VAC do 415VAC, 24VDC do 130VDC, gornji i donji priključak</t>
  </si>
  <si>
    <t>GN20-53-U</t>
  </si>
  <si>
    <t>A9A26909</t>
  </si>
  <si>
    <t>TeSys GV2-termo-magnetski-prekidač-1...1,6 A-priključci vijčanim stezaljkama</t>
  </si>
  <si>
    <t>GVAE11</t>
  </si>
  <si>
    <t>A9F94302</t>
  </si>
  <si>
    <t>A9F94306</t>
  </si>
  <si>
    <t>A9F94310</t>
  </si>
  <si>
    <t>A9F94106</t>
  </si>
  <si>
    <t>A9D32613</t>
  </si>
  <si>
    <t>A9N26909</t>
  </si>
  <si>
    <t>A9N61526</t>
  </si>
  <si>
    <t>SKKE162</t>
  </si>
  <si>
    <t>SEMIKRON</t>
  </si>
  <si>
    <t>1280B IL224</t>
  </si>
  <si>
    <t>AX 1350000</t>
  </si>
  <si>
    <t xml:space="preserve"> 700-HA33A2-3-4L</t>
  </si>
  <si>
    <t>700-HN157</t>
  </si>
  <si>
    <t>700-HN205</t>
  </si>
  <si>
    <t>ALLEN BRADLEY</t>
  </si>
  <si>
    <t>NARUČENO</t>
  </si>
  <si>
    <t>2500500K</t>
  </si>
  <si>
    <t>Končar</t>
  </si>
  <si>
    <t>704.229.700</t>
  </si>
  <si>
    <t>704.229.200</t>
  </si>
  <si>
    <t>LC1D09MD</t>
  </si>
  <si>
    <t>Kratkospojnik za “Change-over” sklopku 4P, 40...125A</t>
  </si>
  <si>
    <t>Pokrov kontakata za 4P sklopku 40...160A</t>
  </si>
  <si>
    <t>Stopica za priključak upravljačkog napona 2 komada</t>
  </si>
  <si>
    <t>GV2ME06AP</t>
  </si>
  <si>
    <t>KL-295(P3)/180</t>
  </si>
  <si>
    <t>IME</t>
  </si>
  <si>
    <t>AN25DDC400</t>
  </si>
  <si>
    <t>C103100S</t>
  </si>
  <si>
    <t>IKBC4016-A</t>
  </si>
  <si>
    <t>Schrack</t>
  </si>
  <si>
    <t>700-HA33Z2-3</t>
  </si>
  <si>
    <t>700-HT3</t>
  </si>
  <si>
    <t>-A111...-A113</t>
  </si>
  <si>
    <t>-U111</t>
  </si>
  <si>
    <t>-A121…-A122</t>
  </si>
  <si>
    <t>-A131…-A135</t>
  </si>
  <si>
    <t>-A100</t>
  </si>
  <si>
    <t>-U101, -U102</t>
  </si>
  <si>
    <t>-V101</t>
  </si>
  <si>
    <t>-F201, -F202</t>
  </si>
  <si>
    <t>-1K01…-1K98</t>
  </si>
  <si>
    <t>-1K101…-1K198</t>
  </si>
  <si>
    <t>-FU1</t>
  </si>
  <si>
    <t>-S1</t>
  </si>
  <si>
    <t>-K411</t>
  </si>
  <si>
    <t>-P101</t>
  </si>
  <si>
    <t>-P201, -P202</t>
  </si>
  <si>
    <t>-K401…-K405</t>
  </si>
  <si>
    <t>-K3.1, -K3.2,…-K5.1, -K5.2</t>
  </si>
  <si>
    <t>IKBC1035--</t>
  </si>
  <si>
    <t>Ormar samostojeći VX25, š×v×d: 800×2000×800 mm, IP 55, s prednjim i stražnjim vratima, s 2 montažne ploče</t>
  </si>
  <si>
    <t>Međuploča montažna, za ormare visine 2000 mm</t>
  </si>
  <si>
    <t>Proizvođač</t>
  </si>
  <si>
    <t>Tip količine</t>
  </si>
  <si>
    <t>Stranica bočna VX25, v×d: 2000×800mm, pak=2</t>
  </si>
  <si>
    <t>Spojnik ormara Vanjski, VX25/VX25, pak=6</t>
  </si>
  <si>
    <t>Pokrov za spoj polja ormara TS8/VX25 dubine 800 mm</t>
  </si>
  <si>
    <t>Kabel za napajanje LED rasvjete (narančasti), 100...240 V AC, 3-pol, 3m</t>
  </si>
  <si>
    <t>Rasvjeta LED, 100...240V AC, 900 lm, L=437 mm, bez utičnice</t>
  </si>
  <si>
    <t>Kabel međuspojni za LED rasvjetu (narančasti) UL, 100...240 V AC, 3-pol, 1m</t>
  </si>
  <si>
    <t>Kuke transportne VX25, M12, pak=4</t>
  </si>
  <si>
    <t>Ručica COMFORT VX25, bez umetka, RAL 7035, za polucilindar umetke</t>
  </si>
  <si>
    <t>Higrostat 50...100%, 24-230V AC / 24 - 48V DC</t>
  </si>
  <si>
    <t>Sekcija za ulaz kabela VX25, Centralna za ormar širine 800 mm, pak=2</t>
  </si>
  <si>
    <t>Džep za nacrte metalni, š×v×d: 655×210×90 mm, za montažu vijcima na okvir vrata</t>
  </si>
  <si>
    <t>-R101, -R102</t>
  </si>
  <si>
    <t>-B101</t>
  </si>
  <si>
    <t>-E101, -E102</t>
  </si>
  <si>
    <t>-B102</t>
  </si>
  <si>
    <t>-X101, -X102</t>
  </si>
  <si>
    <t>-S110, -S101, -S201, -S301</t>
  </si>
  <si>
    <t>-S111, -S211, -S311, -S411, -S511, -S611, -S911</t>
  </si>
  <si>
    <t>-H8, -H101, -H201, -H301, -H404, -H504, -H604</t>
  </si>
  <si>
    <t>-H4, -H5, -H6, -H7, -H102, -H202, -H302, -H402, -H502, -H602, -H701, -H702, -H703, H801, -H802</t>
  </si>
  <si>
    <t>-S102, -S202, -S302</t>
  </si>
  <si>
    <t>-S103, -S203, -S303</t>
  </si>
  <si>
    <t>-H1, -H2, -H3, -H401, -H501, -H601</t>
  </si>
  <si>
    <t>-H403, H503, -H603</t>
  </si>
  <si>
    <t>-F2</t>
  </si>
  <si>
    <t>-F3, -F4, -F5</t>
  </si>
  <si>
    <t>-F6, -F7, -F8, -F9, -F10, -F13</t>
  </si>
  <si>
    <t>-F12</t>
  </si>
  <si>
    <t>-F11</t>
  </si>
  <si>
    <t>-F31, -F32, -F33, -F34, -F36, -F37, -F38</t>
  </si>
  <si>
    <t>-F35, -F39</t>
  </si>
  <si>
    <t>-F101,…-F106</t>
  </si>
  <si>
    <t>-H110, -H111</t>
  </si>
  <si>
    <t>-X1</t>
  </si>
  <si>
    <t>-X500, -X501, -X502</t>
  </si>
  <si>
    <t>-X110, -X111</t>
  </si>
  <si>
    <t>-2K01…2K48</t>
  </si>
  <si>
    <t>-S301</t>
  </si>
  <si>
    <t>704.927.9</t>
  </si>
  <si>
    <t>Kutnik spojni za raspodjelu vlačnih sila tijekom transporta  ormara, pak=4</t>
  </si>
  <si>
    <t>Podnožje prednje/ stražnje VX25, š×v: 800×100 mm, crno, pak=2</t>
  </si>
  <si>
    <t>Prekidač za vrata za LED sistemsku rasvjetu, sa kabelom 0,8 m</t>
  </si>
  <si>
    <t>Grijač PTC TopTherm, 130..150 W, 110-240V AC/DC, Izvedba bez ventilatora</t>
  </si>
  <si>
    <t>Unutarnji spojni nosač za spajanje ormara, VX25/VX25, materijal: pocinčani čelični lim, pak=6</t>
  </si>
  <si>
    <t>Unutarnji termostat za kućište +5...+60°C, 24-230V AC, 24-60V DC</t>
  </si>
  <si>
    <t>Stranica podnožja bočna, čelični lim, VX25, v×d: 100×800 mm, pak=2</t>
  </si>
  <si>
    <t>Šina perforirana DIN, 35/ 7,5 mm, L=2000 mm, ZN vrh: NS 35/ 7,5</t>
  </si>
  <si>
    <t>Montažni nosač za pričvršćivanje prekidača s upravljanjem vratima na okvir VX, VX IT</t>
  </si>
  <si>
    <t>Komplet za montažu s magnetom za LED sustavnu svjetiljku, za lijepljenje na stražnju stranu svjetala bez grla</t>
  </si>
  <si>
    <t>Utičnica 2P+PE 10/16A, 250V AC (DIN standard) za montažu na DIN nosač</t>
  </si>
  <si>
    <t>SCALANCE XC206-2SFP upravljivi Layer 2 IE preklopnik; certificiran prema IEC 62443-4-2; 6x 10/100 MBit/s RJ45 portova; 2x 100/1000 Mbit/s SFP; 1x konzolni port; LED za dijagnostiku; redundantno napajanje; temperaturni raspon od -40 °C do +70 °C; montaža: DIN šina/S7 montažna šina/zid Značajke uredskih redundancijskih funkcija (RSTP, VLAN,...); PROFINET IO uređaj; Ethernet/IP kompatibilan; C-utičnica;</t>
  </si>
  <si>
    <t>C-utikač, izmjenjivi medij za pohranu podataka Za jednostavnu zamjenu uređaja u slučaju kvara, za snimanje konfiguracijskih ili inženjerskih i aplikacijskih podataka, može se koristiti u sljedećim SIMATIC NET proizvodima s C-utikačem: SCALANCE XC-200, XP-200, XM-400, XR-500, M-800, W-700, SC-600 i S615.</t>
  </si>
  <si>
    <t>SCALANCE X pribor; Primopredajnik SFP991-1; 1x 100 Mbps LC port, optički; višemodno staklo do maks. 5 km (s OM2++ vlaknom)</t>
  </si>
  <si>
    <t>SIMATIC S7-1500, CPU 1513-1 PN, centralna procesorska jedinica s radnom memorijom od 600 KB za program i 2,5 MB za podatke, 1. sučelje: PROFINET IRT s 2-portnim preklopnikom, performanse od 6 ns bita, potrebna SIMATIC memorijska kartica</t>
  </si>
  <si>
    <t>SIMATIC S7, memorijske kartice za S7-1x00 CPU/SINAMICS, 3, 3V Flash, 12 MB</t>
  </si>
  <si>
    <t>SIMATIC S7-1500, digitalni ulazni modul DI 32x24 V DC HF, 32 kanala u grupama od 16; od kojih se 2 ulaza mogu koristiti kao brojači; kašnjenje ulaza 0,05..20 ms tip ulaza 3 (IEC 61131); dijagnostika; hardverski prekidi: prednji konektor (vijčani terminali ili utični) naručuje se zasebno</t>
  </si>
  <si>
    <t>SIMATIC S7-1500, digitalni izlazni modul DQ 32x24V DC/0,5A HF; 32 kanala u grupama od 8; 4 A po grupi; dijagnostika jednog kanala; zamjenska vrijednost, brojač ciklusa preklapanja za priključene aktuatore. Modul podržava sigurnosno orijentirano isključivanje grupa opterećenja do SIL2 prema EN IEC 62061:2021 i kategorije 3 / PL d prema EN ISO 13849-1:2015. Prednji konektor (vijčani ili utični) naručuje se zasebno.</t>
  </si>
  <si>
    <t>SIMATIC S7-1500 analogni ulazni modul AI 8xU/I/RTD/TC ST, 16-bitna rezolucija, točnost 0,3%, 8 kanala u grupama od 8; 4 kanala za RTD mjerenje, zajednički napon 10 V; Dijagnostika; Hardverski prekidi; Isporuka uključuje ulazni element, nosač zaštitnog oklopa i priključak zaštitnog oklopa: Prednji konektor (vijčani ili utični) naručuje se zasebno.</t>
  </si>
  <si>
    <t>Industrijski Ethernet FastConnect RJ45 utikač 180 2x 2, RJ45 utični konektor (10/100 Mbit/s) s robusnim metalnim kućištem i FC sustavom spajanja, za IE FC TP kabel 2x 2; izlaz kabela od 180° 1 pakiranje = 1 jedinica.</t>
  </si>
  <si>
    <t>IE FC TP standardni kabel GP 2x2 (PROFINET tip A), CAT5E, bus kabel s 4 žice, oklopljen, posebna konfiguracija za brzu montažu na IE FC RJ45 utikač 2x2, 100 m.</t>
  </si>
  <si>
    <t>SIMATIC S7-1500, montažna šina 530 mm (cca. 20,9 inča); uklj. vijak za uzemljenje, integrirana DIN šina za montažu dodatne opreme kao što su terminali, automatski prekidači i releji</t>
  </si>
  <si>
    <t>SIMATIC S7-1500, Prednji konektor Sustav spajanja vijčanim tipom, 40-polni za module širine 35 mm uklj. 4 potencijalna mosta i kabelske vezice</t>
  </si>
  <si>
    <t>SIMATIC HMI MTP1500, Unified Comfort Panel, upravljanje dodirom, 15,6" TFT zaslon širokog zaslona, 16 milijuna boja, PROFINET sučelje, konfigurabilno od WinCC Unified Comfort V16, sadrži softver otvorenog koda koji se pruža besplatno, pogledajte priloženi DVD</t>
  </si>
  <si>
    <t xml:space="preserve"> SITOP PSU8200 20 A stabilizirano napajanje ulaz: 120-230 V AC 110-220 V DC izlaz: 24 V DC/20 A</t>
  </si>
  <si>
    <t>SITOP RED1200 redundantni modul Ulaz/izlaz: 24/48 V DC/40 A Pogodan za odvajanje dva SITOP napajanja s maks. izlaznom strujom od 20 A svaki</t>
  </si>
  <si>
    <t>SITOP SEL1400 10 A selektivni modul 8-kanalni s graničnom karakteristikom ulaz: 24 V DC/60 A izlaz: 24 V DC/8x 10 A podesivi prag 2-10 A s nadzornim sučeljem</t>
  </si>
  <si>
    <t>ACT20M-AI-AO-ES Analogno izolacijsko pojačalo, Konfigurabilno, bez napajanja senzora, Točnost &lt;0,2 % mjernog raspona, Ulaz: I / U, Izlaz: I / U</t>
  </si>
  <si>
    <t>Weidmüller</t>
  </si>
  <si>
    <t>MF 5/7.5 MC NE WS MultiFit, Oznaka za terminale, 5 x 7,5 mm, Razmak u mm (P): 7,50 Adels RKW, Phoenix, temperaturni raspon od -40 °C do +100 °C, bijela boja</t>
  </si>
  <si>
    <t>TRS 230VUC 2CO TERMSERIES, Relejni modul, 87.8 x  89.6 x 12.8  mm, Broj kontakata: 2, CO kontakt AgNi, Nazivni upravljački napon: 230 V UC ±5 %, Trajna struja: 8 A, Vijčani priključak, Dostupna tipka za testiranje: Ne</t>
  </si>
  <si>
    <t>TCC 12.8/26 BL TERMSERIES poprečni spojni most TCC 12.8/26 BL; 26-polni; razmak 12,8 mm; nazivni napon 300 V; nazivna struja 17,5 A; mogućnost rezanja na željenu duljinu; izoliran i zaštićen od dodira; plava boja; montaža uticanjem</t>
  </si>
  <si>
    <t>TRS 24VDC 1CO TERMSERIES, Relejni modul, Broj kontakata: 1, CO kontakt AgNi, Nazivni upravljački napon: 24 V DC ±20 %, Trajna struja: 6 A, Vijčani priključak, zaštitna dioda, Dostupna tipka za testiranje: Ne</t>
  </si>
  <si>
    <t>TRS 24VDC 2CO TERMSERIES, Relejni modul, Broj kontakata: 2, CO kontakt AgNi, Nazivni upravljački napon: 24 V DC ±20 %, Trajna struja: 8 A, Vijčani priključak, zaštitna dioda, Dostupna tipka za testiranje: Ne</t>
  </si>
  <si>
    <t>TW TXS/TXZ R3.2 TERMSERIES pregradna ploča TW TXS/TXZ R3.2; debljina 3,2 mm; za montažu na DIN šinu TS 35; narančasta boja; nezapaljivo kućište prema UL94 V-0</t>
  </si>
  <si>
    <t>TCC 6.4/51 BL TERMSERIES poprečni spojni most TCC 6.4/51 BL; 51-polni; razmak (raster) 6,4 mm; nazivni napon 300 V; nazivna struja 17,5 A; mogućnost rezanja na željenu duljinu; izoliran i zaštićen od dodira; plava boja; montaža uticanjem</t>
  </si>
  <si>
    <t>-X100, - X200, itd.</t>
  </si>
  <si>
    <t>WDU 4 - Prolazni terminalni blok, Vijčani priključak, tamnobež, 4 mm², 32 A, 800 V, Broj priključaka: 2</t>
  </si>
  <si>
    <t>WEW 35/2 - Završna konzola, tamno bež, TS 35, HB, Wemid, Širina: 8 mm, 100 °C</t>
  </si>
  <si>
    <t>ZQV 4N/6 RD - Križni konektor (terminalni), Utikač, crveni, 32 A, Broj polova: 6, Razmak u mm (P): 6,10, Izolirano: Da, Širina: 181,7 mm</t>
  </si>
  <si>
    <t>ZQV 4N/10 RD - Križni konektor (terminalni), Utikač, crveni, 32 A, Broj polova: 10, Razmak u mm (P): 6,10, Izolirano: Da, Širina: 181,7 mm</t>
  </si>
  <si>
    <t>ZQV 4N/30 RD - Križni konektor (terminalni), Utikač, crveni, 32 A, Broj polova: 30, Razmak u mm (P): 6,10, Izolirano: Da, Širina: 181,7 mm</t>
  </si>
  <si>
    <t xml:space="preserve"> WAP 2.5-10 - Završna ploča za terminale, tamno bež, Visina: 56 mm, Širina: 1,5 mm, V-0, Wemid, Pričvršćivanje: Ne</t>
  </si>
  <si>
    <t xml:space="preserve"> WDU 16 - Prolazni terminalni blok, Vijčani priključak, tamnobež, 16 mm², 76 A, 1000 V, Broj priključaka: 2</t>
  </si>
  <si>
    <t xml:space="preserve"> WEW 35/1 - Završna konzola, tamnobež, TS 35, V-2, Wemid, Širina: 12 mm, 100 °C</t>
  </si>
  <si>
    <t>WAP 16+35 WTW 2.5-10 - Završna i pregradna ploča za terminale, tamno bež, Visina: 56 mm, Širina: 1,5 mm, V-0, Wemid</t>
  </si>
  <si>
    <t>EMG 90-DIO 32M Modul za ispitivanje lampi, 2 diode  sa zajedničkom katodom: sa 16 parova, sa zajedničkim okidanjem, maks. radni napon 250 V AC; vršni reverzni napon 1300 V;</t>
  </si>
  <si>
    <t>LED sijalica: BIJELA; BA9s podnožje, nazivni napon/struja: 24Vdc/15mA</t>
  </si>
  <si>
    <t>NO/NC modul - kontakti: 1NC + 1NO; Au/Ag; vijčani priključak</t>
  </si>
  <si>
    <t>2NC modul - kontakti: 2NC; Au/Ag; vijčani priključak</t>
  </si>
  <si>
    <t>2NO modul - kontakti: 2NC; Au/Ag; vijčani priključak</t>
  </si>
  <si>
    <t>Sklopka grebenasta, preklopka s “0” položajem, Broj polova: 3, Broj elemenata: 3, Oblik ugradnje: ugradna</t>
  </si>
  <si>
    <t>Svjetleće tijelo, leća: CRVENA, prednji okvir: sivi; 35×35mm, podnožje za sijalicu sa vijčanim priključkom</t>
  </si>
  <si>
    <t xml:space="preserve"> 704.202.208</t>
  </si>
  <si>
    <t>Svjetleće tijelo, leća: ZELENA, prednji okvir: sivi; 35×35mm, podnožje za sijalicu sa vijčanim priključkom</t>
  </si>
  <si>
    <t>Svjetleće tijelo, leća: PROZIRNA, prednji okvir: sivi; 35×35mm, podnožje za sijalicu sa vijčanim priključkom</t>
  </si>
  <si>
    <t>Svjetleće tijelo, leća: ŽUTA, prednji okvir: sivi; 35×35mm, podnožje za sijalicu sa vijčanim priključkom</t>
  </si>
  <si>
    <t>Svjetleće tipkalo, leća: CRVENA, prednji okvir: crni; 35×35mm, podnožje za sijalicu sa vijčanim priključkom</t>
  </si>
  <si>
    <t>Svjetleće tipkalo, leća: ZELENA, prednji okvir: crni; 35×35mm, podnožje za sijalicu sa vijčanim priključkom</t>
  </si>
  <si>
    <t>Svjetleće tipkalo, leća: PROZIRNA, prednji okvir: crni; 35×35mm, podnožje za sijalicu sa vijčanim priključkom</t>
  </si>
  <si>
    <t>Tipkalo za isklop u nuždi, gljivasta glava: crvena, Ø40mm, prednji okvir: aluminijski, reset: zakret u smjeru kazaljke na satu</t>
  </si>
  <si>
    <t>E-stop zaštitni prsten, plastičan, Ø83 mm, boja: žuta</t>
  </si>
  <si>
    <t>Digitalno podesivi nadzorni relej za ispad faze, redoslijed faza, asimetriju, frekvenciju, nadzor prenapona i podnapona 3x 90-690 V AC, 15-70 Hz 2 preklopna kontakta vijčani priključak</t>
  </si>
  <si>
    <t>Sklopnik TeSys D - 3P (3 NO) - AC-3 - &lt;= 440 V 9 A - Zavojnica 220 V DC, namjena: upravljanje motorom / ohmski teret</t>
  </si>
  <si>
    <t>Komplet za reverzni sklopnik , 3P, 32 A, sastav opreme: električna i mehanička blokada, set priključaka za napajanje</t>
  </si>
  <si>
    <t>Odvodnik prenapona za TNC sustav, DG MD TNS 275 FM, DEHNGuard Modular</t>
  </si>
  <si>
    <t>Sklopka preklopna motorizirana - 4P - 125A - sa uređajima za automatsko prebacivanje - napajanje 230/400 V AC - tip: ATyS t M</t>
  </si>
  <si>
    <t>Blok pomoćnik kontakata 1R + 1M, za signalizaciju položaja sklopke trostruki preklopni kontakt (I - 0 - 2)</t>
  </si>
  <si>
    <t>TeSys GV blok pomoćnih kontakata, za motorne prekidače GV2 i GV3, pomoćni kontakt - 1 NO + 1 NC, Nazivni radni napon: 24...240 V AC, 24...60 V DC</t>
  </si>
  <si>
    <t>iC60L, minijaturni prekidač (MCB), 3P, Nazivna struja 2 A, C krivulja isključenja</t>
  </si>
  <si>
    <t>iC60L, minijaturni prekidač (MCB), 3P, Nazivna struja 6 A, C krivulja isključenja</t>
  </si>
  <si>
    <t>iC60L, minijaturni prekidač (MCB), 3P, Nazivna struja 10 A, C krivulja isključenja</t>
  </si>
  <si>
    <t>iC60L,  minijaturni prekidač (MCB), P, Nazivna struja 6 A, C krivulja isključenja</t>
  </si>
  <si>
    <t>FID, 13 A/C, 30 mA, Acti9 iDPN N Vigi kombinirana zaštitna sklopka, 1P + N, 300 mA klasa A, C krivulja, 6000A</t>
  </si>
  <si>
    <t>Pomoćni kontakt, Acti9, OF/SD+OF, 2 C/O, 100mA do 6A, 24VAC do 415VAC, 24VDC do 130VDC, gornji i donji priključak</t>
  </si>
  <si>
    <t>Acti9, minijaturni prekidač (MCB), C60H-DC, 2P, 6A, C krivulja, 6kA (IEC/EN 60947-2)</t>
  </si>
  <si>
    <t>Rastavna sklopka, ComPacT NSX100NA, 3 pola, fiksna, termička struja 100A,Vrsta upravljanja: ručica</t>
  </si>
  <si>
    <t>Pomoćni kontakt - za signalizaciju stanja (1OF) ili okidanja (1SD) ili prorade zaštite (1SDE) ili prorade diferencijalne zaštite (1SDV) za prekidače NSX</t>
  </si>
  <si>
    <t>Diodni modul za 220 VDC dovod</t>
  </si>
  <si>
    <t xml:space="preserve"> Zajedničko hladilo za dvije diode</t>
  </si>
  <si>
    <t>Voltmetar - tip: kao FQ 0307, - mjerni sustav: pomično željezo, - dimenzije: 72×72 mm, - priključak: 400/230V, 50Hz (izravno), - skala: 90° baždarena linearno u mjernom području: 0…400V.</t>
  </si>
  <si>
    <t>MCR-SL-DUI - Digitalni zaslon za mjerenje i prikaz standardnih signala, 5-fig. Zaslon, Konfiguracijska: tipkovnica</t>
  </si>
  <si>
    <t>Indikator položaja sklopke za daljinsku indikaciju položaja kontakata s maskom rastavljača</t>
  </si>
  <si>
    <t xml:space="preserve"> GOSSEN MUELLER &amp; WEIGERT</t>
  </si>
  <si>
    <t>Zidni ormarić, 500x500x300 mm s montažnom pločom, čelični lim, kompaktno kućište AX s integriranim lokatorima kućišta u krovu, podnožju i bočnoj strani</t>
  </si>
  <si>
    <t>Zidni nosač za AX čelični lim, KX čelični lim, AX IT, EL, Dijelovi: Zidni nosač, poklopac, Dijelovi za montažu, Udaljenost od zida: 40 mm</t>
  </si>
  <si>
    <t>AX 2503020</t>
  </si>
  <si>
    <t>Pomoćni (neblokirajući) relej,  zavojnica 240 V AC, preklopna struja 10 A, 3 preklopna kontakta (3PDT/3 Form C), 3 pola, jednopolni AgNi kontakti</t>
  </si>
  <si>
    <t>Rockwell Automation 700-HN serija pričvrsnih kopči za podnožja 700-HN100, 700-HN204, 700-HN101, 700-HN205 s relejima 700-HA, Učvršćuje relej u podnožju</t>
  </si>
  <si>
    <t>Rockwell Automation podnožje releja 700-HN205; 11-pinsko podnožje; za cijevne releje serije 700-H; vijčani priključak; zaštićeni priključci sigurni od dodira (Touch-Safe); s utorom za vremenski modul</t>
  </si>
  <si>
    <t>Distriblok, Glavna grana, 4-polna, 125A, ulaz 2x25mm², izlaz 5x6mm² 4-polna, Ulaz 2 x 10-25mm² (10-16mm² s ferulom), Izlazi 5 x 2,5-6mm² (2,5-4mm² s ferulom)</t>
  </si>
  <si>
    <t>Distributor za 24 VDC- 1-polni distribucijski blok, za bakrene vodiče, priključne stezaljke: ulazne 2 x 25mm², izlazne 6 x (1.5 – 10mm²), montaža na DIN nosač ili na montažnu ploču, nazivna struja IEC: 100A, 54x29x50mm (VxŠxD)</t>
  </si>
  <si>
    <t>IKB01025N</t>
  </si>
  <si>
    <t>Distributor za 220 VDC razvod - 1-polni distribucijski blok, za bakrene vodiče, priključne stezaljke: dovod 1 x 10-35mm² (10-25mm² s kabelskim završetkom), odvodi 1 x 6 - 16mm² (6-10mm² s kabelskim završetkom) i 6 x 2,5 - 16mm² (2,5-10mm² s kabelskim završetkom), montaža na DIN nosač ili na montažnu ploču, nazivna struja IEC: 125A, 76x29x47.5mm (VxŠxD)</t>
  </si>
  <si>
    <t>-S11, -S12</t>
  </si>
  <si>
    <t>-V11, -V12</t>
  </si>
  <si>
    <t>Narudžbeni broj</t>
  </si>
  <si>
    <t>-S151, -S152, -S153, -S154</t>
  </si>
  <si>
    <t>ACT20M-AI-AO-S Analogno izolacijsko pojačalo, Konfigurabilno, bez napajanja senzora, Točnost &lt;0,2 % mjernog raspona, Ulaz: I / U, Izlaz: I / U</t>
  </si>
  <si>
    <t>-U151…-U162</t>
  </si>
  <si>
    <t>-K101, -K102, -K103, -K104</t>
  </si>
  <si>
    <t>Pomoćni (neblokirajući) relej,  zavojnica 220 V DC, preklopna struja 10 A, 3 preklopna kontakta (3PDT/3 Form C), 3 pola, jednopolni AgNi kontakti</t>
  </si>
  <si>
    <t>Timer modul za 700-HA relej</t>
  </si>
  <si>
    <t xml:space="preserve">700-HA33Z24-3-4 </t>
  </si>
  <si>
    <t>Pomoćni (neblokirajući) relej,  zavojnica 24 V DC, preklopna struja 10 A, 3 preklopna kontakta (3PDT/3 Form C), 3 pola, jednopolni AgNi kontakti</t>
  </si>
  <si>
    <t xml:space="preserve">"Low Harmonic" frekvencijski pretvarač kao jedinica unutar tvornički ožičenog i ispitanog samostojećeg ormara stupnja zaštite IP23 s ugrađenim filtrima koji ograničavaju ukupni faktor distorzije THD(i) na max. 2% i na taj način ispunjava zahtjeve prema normi IEC 61000-3-12 od THD(i) &lt;5%, a cos ϕ &gt; 0,99. 
- tip: kao ATV Process 680
- narudžbeni broj: kao ATV680C13Q4X1
- dimenzije: 600×2350×664 mm (Š×V×D)
- napajanje: 380...415 -10% +6%
- nazivna snaga motora crpke: 132 kW (normal duty) / 110 kW (heavy duty)
- kontinuirana izlazna struja: 250 A (normal duty) / 211 A (heavy duty)
- temperaturno radno područje: od 0°C do +50°C
- integrirani brzi osigurač za zaštitu opreme: 315A aR
- protok zraka ventilatora za energetski dio: 1160m3/h
- protok zraka ventilatora za upravljački dio: 140m3/h
- ugrađene stezaljke za prihvat kabela presjeka do 150 mm2
- RFI filter za C3 okolinu prema normi HRN EN 61800-3
- integrirani linijski sklopnik i mrežna prigušnica
- ostali uređaji na vratima uključuju:
- grafički panel za parametriranje i programiranje
- crvena, zelena i žuta lampica
- tipkalo gljiva za odvajanje frekvencijskog pretvarača od mreže prema SIL 3 Stop Category 0
- preklopka lokalno-daljinski
</t>
  </si>
  <si>
    <t>-K102.1, -2K12, -2K13</t>
  </si>
  <si>
    <t>-K401…-K405, -K101…-K104, -2K12, -2K13</t>
  </si>
  <si>
    <t>-2K12, -2K13</t>
  </si>
  <si>
    <t>-X1, -X2</t>
  </si>
  <si>
    <t>-R101</t>
  </si>
  <si>
    <t>Grijač 50W, 230V, 50Hz s priključnim kabelom</t>
  </si>
  <si>
    <t>3110.000</t>
  </si>
  <si>
    <t>3105.340</t>
  </si>
  <si>
    <t>Termostat, mjerni opseg: 5-55 °C</t>
  </si>
  <si>
    <t>3118.000</t>
  </si>
  <si>
    <t>Higrostat, mjerni opseg: 50-100 %</t>
  </si>
  <si>
    <t>-E101</t>
  </si>
  <si>
    <t>-S101</t>
  </si>
  <si>
    <t>2500.100</t>
  </si>
  <si>
    <t>2500.460.</t>
  </si>
  <si>
    <t>Rasvjetna armatura 400 lm, 230 Vac, širine 262 mm s preklopkom</t>
  </si>
  <si>
    <t>Krajnja sklopka s priključnim kabelom duljine 800mm</t>
  </si>
  <si>
    <t>DA</t>
  </si>
  <si>
    <t>NE</t>
  </si>
  <si>
    <t>KOMENTAR</t>
  </si>
  <si>
    <t>Tipkalo prozirno: PROZIRNA, prednji okvir: crni; 35×35mm, podnožje za sijalicu sa vijčanim priključkom</t>
  </si>
  <si>
    <t>HEP mora poslati alternativu!</t>
  </si>
  <si>
    <t>NARUČITI</t>
  </si>
  <si>
    <t>Br zadatka</t>
  </si>
  <si>
    <t>Zadatak</t>
  </si>
  <si>
    <t>Iz projekta HE Senj izbaciti summarized parts listu i usporediti kataloške brojeve i količine s opremom u "Specifikacija opreme - HEP-v2" sheetu i izbaciti sve razlike. Ako neke opreme ima više u shemama (ili ima kataloških brojeva kojih nema u sheetu) nego u sheetu, znači da je moramo naručiti. Ako neke opreme ima manje u shemama, znači da ćemo ju vjerojatno vraćati na lager. 
Najbolje je to napraviti tako da se samo doda stupac u "Specifikacija opreme - HEP-v2" koji daje informaciju o količinama iz shema (ako u shemama postoji kataloški broj koji nije na tom popisu, dodati ga u novi red) i dodati još jedan stupac razlike u količinama.
NAPOMENA: Opremu poput kratkospojnika ili graničnika za stezaljke još uvijek ne specificiramo u shemama, pa će ti takve stvari izgledati kao da ih trebamo dodatno naručiti. Popiši ih svejedno, ja ću ih provjeriti.</t>
  </si>
  <si>
    <t>U HE Senj projektu, prema Master projektu, napraviti PLC overview stranice koje uključuju stranice za HMI, PLC CPU, sve PLC kartice (količinu vidjeti na MA stranicama) i ethernet switch. To ne znači da se uzimaju partovi iz MP-a, već samo izgled overview stranica. U HE Senj je već definirana PLC oprema.</t>
  </si>
  <si>
    <t>Količina iz shema</t>
  </si>
  <si>
    <t>Razlika količina</t>
  </si>
  <si>
    <t>u summarized parts listi je -A101</t>
  </si>
  <si>
    <t>u summarized parts listi su još i -A136, -A137</t>
  </si>
  <si>
    <t>u summarized parts listi je -V111</t>
  </si>
  <si>
    <t>ne postoji -S110;
nema nar. br. u summarized parts listi</t>
  </si>
  <si>
    <t>nema nar. br. u summarized parts listi</t>
  </si>
  <si>
    <t>u summarized parts listi -F2 -F6...-F13 -F31...-F34 -F36...-F38</t>
  </si>
  <si>
    <t>u summarized parts listi -F101...-F106</t>
  </si>
  <si>
    <t>u summarized parts listi su još i -X505, -X550, -X551; 
nar. br. ima još - na kraju</t>
  </si>
  <si>
    <t>-F35 -F39</t>
  </si>
  <si>
    <t>Auxiliary contact, Acti9, iSD+OF, 2 C/O, 2mA to 100mA, 24VAC to 250VAC, 24VDC to 220VDC, top and bottom connection</t>
  </si>
  <si>
    <t>A9A26919</t>
  </si>
  <si>
    <t>dodano</t>
  </si>
  <si>
    <t>-V1</t>
  </si>
  <si>
    <t>dodano; 
nema nar. br. u summarized parts listi</t>
  </si>
  <si>
    <t>voltmetar 0 - 400 V
Part number: IME.AN25DDC400</t>
  </si>
  <si>
    <t>nije upisan part u EPLANu</t>
  </si>
  <si>
    <t>nije upisan part u EPLANu; 
ne postoje -H6, -H7, -H701, -H702, -H703, H801, -H802</t>
  </si>
  <si>
    <t>nije upisan part u EPLANu; 
ne postoje -H8, -H404, -H504, -H604</t>
  </si>
  <si>
    <t>Koristiti te umjesto stavke gore za STOP; 
nema nar. br. u summarized parts listi</t>
  </si>
  <si>
    <t>u summarized parts listi -1K101...-1K108 -1K111...-1K118 -1K121...-1K128 -1K131...-1K138 -1K141...-1K148 -1K151...-1K157</t>
  </si>
  <si>
    <t>u summarized parts listi -2K01...-2K08 -2K11 -2K14...-2K18 -2K21...-2K28 -2K31...-2K38 -2K41...-2K48 -2K51...-2K55</t>
  </si>
  <si>
    <t>u summarized parts listi -1K01...-1K08 -1K11...-1K18 -1K21...-1K24 -K401 -K402</t>
  </si>
  <si>
    <r>
      <rPr>
        <b/>
        <sz val="11"/>
        <color theme="1"/>
        <rFont val="Calibri"/>
        <family val="2"/>
        <scheme val="minor"/>
      </rPr>
      <t>NARUČITI</t>
    </r>
    <r>
      <rPr>
        <sz val="11"/>
        <color theme="1"/>
        <rFont val="Calibri"/>
        <family val="2"/>
        <scheme val="minor"/>
      </rPr>
      <t>; 
u summarized parts listi -U151...-U154 -U158...-U160</t>
    </r>
  </si>
  <si>
    <t>u summarized parts listi -U155 -U157</t>
  </si>
  <si>
    <t>u summarized parts listi -E101…-E104</t>
  </si>
  <si>
    <t>u summarized parts listi -2K12 -2K13 -K101 -K102 -K102.1 -K103 -K103.1 -K104 -K105</t>
  </si>
  <si>
    <t>ne postoje -K403…-K405 u EPLANu, -K401 i -K402 su WEI.1123540000</t>
  </si>
  <si>
    <t>A9A15310</t>
  </si>
  <si>
    <t>nema -X102 u EPLANu</t>
  </si>
  <si>
    <t>u summarized parts listi -A101</t>
  </si>
  <si>
    <t>nema nar. br. u summarized parts listi; 
u summarized parts listi -2K12 -2K13 -K101 -K102 -K102.1 -K103 -K103.1 -K104 -K105</t>
  </si>
  <si>
    <t>koristi se stavka iznad</t>
  </si>
  <si>
    <t>koristi se stavka ispod</t>
  </si>
  <si>
    <t>ne postoji -P101 u EPLANu nego samo -V1</t>
  </si>
  <si>
    <t xml:space="preserve">Provjeriti količine s EPLANOM;
ne postoji nar. br. u EPLANu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</si>
</sst>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sz val="11"/>
      <color theme="1"/>
      <name val="Calibri"/>
      <family val="2"/>
      <charset val="238"/>
      <scheme val="minor"/>
    </font>
    <font>
      <sz val="11"/>
      <color theme="1"/>
      <name val="Calibri"/>
      <family val="2"/>
      <scheme val="minor"/>
    </font>
    <font>
      <sz val="11"/>
      <name val="Carlito"/>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59999389629810485"/>
        <bgColor indexed="65"/>
      </patternFill>
    </fill>
    <fill>
      <patternFill patternType="solid">
        <fgColor rgb="FFFF0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s>
  <cellStyleXfs count="5">
    <xf numFmtId="0" fontId="0" fillId="0" borderId="0"/>
    <xf numFmtId="0" fontId="3" fillId="0" borderId="0"/>
    <xf numFmtId="0" fontId="1" fillId="3" borderId="0" applyNumberFormat="0" applyBorder="0" applyAlignment="0" applyProtection="0"/>
    <xf numFmtId="0" fontId="2" fillId="0" borderId="0"/>
    <xf numFmtId="49" fontId="2" fillId="0" borderId="0">
      <alignment vertical="top" wrapText="1"/>
    </xf>
  </cellStyleXfs>
  <cellXfs count="33">
    <xf numFmtId="0" fontId="0" fillId="0" borderId="0" xfId="0"/>
    <xf numFmtId="0" fontId="0" fillId="0" borderId="1" xfId="0" applyBorder="1"/>
    <xf numFmtId="0" fontId="0" fillId="0" borderId="1" xfId="0" applyBorder="1" applyAlignment="1">
      <alignment wrapText="1"/>
    </xf>
    <xf numFmtId="0" fontId="0" fillId="0" borderId="0" xfId="0" applyAlignment="1">
      <alignment wrapText="1"/>
    </xf>
    <xf numFmtId="0" fontId="0" fillId="2" borderId="1" xfId="0" applyFill="1" applyBorder="1"/>
    <xf numFmtId="0" fontId="0" fillId="0" borderId="3" xfId="0" applyBorder="1"/>
    <xf numFmtId="0" fontId="0" fillId="0" borderId="1" xfId="0" applyBorder="1" applyAlignment="1">
      <alignment horizontal="right" wrapText="1"/>
    </xf>
    <xf numFmtId="3" fontId="0" fillId="0" borderId="1" xfId="0" quotePrefix="1" applyNumberFormat="1" applyBorder="1" applyAlignment="1">
      <alignment horizontal="right" wrapText="1"/>
    </xf>
    <xf numFmtId="0" fontId="0" fillId="0" borderId="1" xfId="0" quotePrefix="1" applyBorder="1" applyAlignment="1">
      <alignment wrapText="1"/>
    </xf>
    <xf numFmtId="0" fontId="0" fillId="0" borderId="1" xfId="0" quotePrefix="1" applyBorder="1" applyAlignment="1">
      <alignment horizontal="left" wrapText="1"/>
    </xf>
    <xf numFmtId="0" fontId="0" fillId="0" borderId="1" xfId="0" quotePrefix="1" applyBorder="1" applyAlignment="1">
      <alignment horizontal="right" wrapText="1"/>
    </xf>
    <xf numFmtId="0" fontId="0" fillId="4" borderId="1" xfId="0" applyFill="1" applyBorder="1"/>
    <xf numFmtId="0" fontId="0" fillId="0" borderId="2" xfId="0" applyBorder="1" applyAlignment="1">
      <alignment horizontal="right" wrapText="1"/>
    </xf>
    <xf numFmtId="0" fontId="0" fillId="0" borderId="1" xfId="0" applyBorder="1" applyAlignment="1">
      <alignment horizontal="left"/>
    </xf>
    <xf numFmtId="0" fontId="0" fillId="0" borderId="3" xfId="0" applyBorder="1" applyAlignment="1">
      <alignment horizontal="right" wrapText="1"/>
    </xf>
    <xf numFmtId="0" fontId="0" fillId="0" borderId="2" xfId="0" applyBorder="1" applyAlignment="1">
      <alignment horizontal="right" wrapText="1"/>
    </xf>
    <xf numFmtId="0" fontId="0" fillId="0" borderId="0" xfId="0" applyAlignment="1">
      <alignment horizontal="right" wrapText="1"/>
    </xf>
    <xf numFmtId="0" fontId="0" fillId="0" borderId="2" xfId="0" applyBorder="1" applyAlignment="1">
      <alignment wrapText="1"/>
    </xf>
    <xf numFmtId="0" fontId="0" fillId="0" borderId="2" xfId="0" applyBorder="1"/>
    <xf numFmtId="0" fontId="0" fillId="2" borderId="1" xfId="0" applyFill="1" applyBorder="1" applyAlignment="1">
      <alignment wrapText="1"/>
    </xf>
    <xf numFmtId="0" fontId="0" fillId="0" borderId="1" xfId="0" quotePrefix="1" applyBorder="1" applyAlignment="1">
      <alignment horizontal="center" wrapText="1"/>
    </xf>
    <xf numFmtId="0" fontId="0" fillId="0" borderId="1" xfId="0" applyBorder="1" applyAlignment="1">
      <alignment horizontal="left" vertical="top" wrapText="1"/>
    </xf>
    <xf numFmtId="0" fontId="0" fillId="0" borderId="1" xfId="0" applyBorder="1" applyAlignment="1">
      <alignment horizontal="right" wrapText="1"/>
    </xf>
    <xf numFmtId="0" fontId="0" fillId="0" borderId="1" xfId="0" applyBorder="1" applyAlignment="1">
      <alignment horizontal="right"/>
    </xf>
    <xf numFmtId="0" fontId="0" fillId="0" borderId="4" xfId="0" applyBorder="1" applyAlignment="1">
      <alignment horizontal="left" wrapText="1"/>
    </xf>
    <xf numFmtId="0" fontId="0" fillId="0" borderId="3" xfId="0" applyBorder="1" applyAlignment="1">
      <alignment horizontal="center"/>
    </xf>
    <xf numFmtId="0" fontId="0" fillId="0" borderId="2" xfId="0" applyBorder="1" applyAlignment="1">
      <alignment horizontal="center"/>
    </xf>
    <xf numFmtId="0" fontId="0" fillId="0" borderId="5" xfId="0" applyBorder="1" applyAlignment="1">
      <alignment wrapText="1"/>
    </xf>
    <xf numFmtId="0" fontId="0" fillId="0" borderId="6" xfId="0" applyBorder="1" applyAlignment="1">
      <alignment wrapText="1"/>
    </xf>
    <xf numFmtId="0" fontId="0" fillId="0" borderId="6" xfId="0" applyBorder="1"/>
    <xf numFmtId="0" fontId="0" fillId="0" borderId="7" xfId="0" applyBorder="1"/>
    <xf numFmtId="0" fontId="0" fillId="0" borderId="8" xfId="0" applyBorder="1" applyAlignment="1">
      <alignment wrapText="1"/>
    </xf>
    <xf numFmtId="0" fontId="0" fillId="0" borderId="1" xfId="0" applyFill="1" applyBorder="1" applyAlignment="1">
      <alignment wrapText="1"/>
    </xf>
  </cellXfs>
  <cellStyles count="5">
    <cellStyle name="40% - Accent1 3 2" xfId="2" xr:uid="{2F1CA0A3-F3B4-4643-AB7F-7E59FF7265ED}"/>
    <cellStyle name="ColStyle1" xfId="4" xr:uid="{385DBBE6-7E89-4BDB-AD5E-680E1EEAD2BF}"/>
    <cellStyle name="Normal" xfId="0" builtinId="0"/>
    <cellStyle name="Normal 2" xfId="1" xr:uid="{A97306B5-6BB8-4A3E-8EAD-1F5719222BE3}"/>
    <cellStyle name="Normal 2 5" xfId="3" xr:uid="{6594AF73-ABEE-4E07-BB02-EE1AEDCDF670}"/>
  </cellStyles>
  <dxfs count="3">
    <dxf>
      <font>
        <color rgb="FF9C0006"/>
        <family val="2"/>
      </font>
      <fill>
        <patternFill patternType="solid">
          <fgColor rgb="FFFFC7CE"/>
          <bgColor rgb="FFFFC7CE"/>
        </patternFill>
      </fill>
    </dxf>
    <dxf>
      <font>
        <color rgb="FF9C0006"/>
        <family val="2"/>
      </font>
      <fill>
        <patternFill patternType="solid">
          <fgColor rgb="FFFFC7CE"/>
          <bgColor rgb="FFFFC7CE"/>
        </patternFill>
      </fill>
    </dxf>
    <dxf>
      <font>
        <color rgb="FF9C0006"/>
        <family val="2"/>
      </font>
      <fill>
        <patternFill patternType="solid">
          <fgColor rgb="FFFFC7CE"/>
          <bgColor rgb="FFFFC7CE"/>
        </patternFill>
      </fill>
    </dxf>
  </dxfs>
  <tableStyles count="0" defaultTableStyle="TableStyleMedium2" defaultPivotStyle="PivotStyleLight16"/>
  <colors>
    <mruColors>
      <color rgb="FFFFB3B3"/>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13" Type="http://schemas.openxmlformats.org/officeDocument/2006/relationships/customXml" Target="../customXml/item4.xml"/><Relationship Id="rId3" Type="http://schemas.openxmlformats.org/officeDocument/2006/relationships/theme" Target="theme/theme1.xml"/><Relationship Id="rId7" Type="http://schemas.openxmlformats.org/officeDocument/2006/relationships/powerPivotData" Target="model/item.data"/><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connections" Target="connections.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Magdalena Skoblar" id="{9B0474FF-134C-45A7-BBDB-3D67599ECDDB}" userId="S::ms53960@fer.hr::db7a8779-6282-4005-9dac-c94e061a09f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12" dT="2026-07-14T13:53:56.22" personId="{9B0474FF-134C-45A7-BBDB-3D67599ECDDB}" id="{330CDC6E-EE01-410C-8DF2-4668925A1B02}">
    <text>Schrack?</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AA35F-8C25-40D2-8FA9-4DA8D3C0F3A8}">
  <dimension ref="A1:B3"/>
  <sheetViews>
    <sheetView zoomScale="145" zoomScaleNormal="145" workbookViewId="0">
      <selection activeCell="C5" sqref="C5"/>
    </sheetView>
  </sheetViews>
  <sheetFormatPr defaultRowHeight="14.4"/>
  <cols>
    <col min="1" max="1" width="9.5546875" bestFit="1" customWidth="1"/>
    <col min="2" max="2" width="121.5546875" customWidth="1"/>
  </cols>
  <sheetData>
    <row r="1" spans="1:2">
      <c r="A1" t="s">
        <v>272</v>
      </c>
      <c r="B1" t="s">
        <v>273</v>
      </c>
    </row>
    <row r="2" spans="1:2" ht="43.2">
      <c r="A2">
        <v>1</v>
      </c>
      <c r="B2" s="3" t="s">
        <v>275</v>
      </c>
    </row>
    <row r="3" spans="1:2" ht="129.6">
      <c r="A3">
        <v>2</v>
      </c>
      <c r="B3" s="3" t="s">
        <v>274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1B51-8BBD-4E22-B90E-ED8E52E5824B}">
  <dimension ref="A1:J125"/>
  <sheetViews>
    <sheetView tabSelected="1" zoomScale="130" zoomScaleNormal="130" workbookViewId="0">
      <selection activeCell="H111" sqref="H111"/>
    </sheetView>
  </sheetViews>
  <sheetFormatPr defaultRowHeight="14.4"/>
  <cols>
    <col min="1" max="1" width="34.21875" style="3" customWidth="1"/>
    <col min="2" max="2" width="43.77734375" style="3" customWidth="1"/>
    <col min="3" max="3" width="23.88671875" style="16" customWidth="1"/>
    <col min="4" max="4" width="26.5546875" bestFit="1" customWidth="1"/>
    <col min="5" max="5" width="8" bestFit="1" customWidth="1"/>
    <col min="6" max="6" width="14.44140625" bestFit="1" customWidth="1"/>
    <col min="7" max="7" width="39.88671875" customWidth="1"/>
    <col min="8" max="8" width="22.5546875" style="3" customWidth="1"/>
    <col min="9" max="9" width="15" bestFit="1" customWidth="1"/>
    <col min="10" max="10" width="13.77734375" style="16" bestFit="1" customWidth="1"/>
  </cols>
  <sheetData>
    <row r="1" spans="1:10" ht="15" thickBot="1">
      <c r="A1" s="27" t="s">
        <v>12</v>
      </c>
      <c r="B1" s="28" t="s">
        <v>18</v>
      </c>
      <c r="C1" s="28" t="s">
        <v>239</v>
      </c>
      <c r="D1" s="29" t="s">
        <v>102</v>
      </c>
      <c r="E1" s="29" t="s">
        <v>11</v>
      </c>
      <c r="F1" s="29" t="s">
        <v>103</v>
      </c>
      <c r="G1" s="29" t="s">
        <v>64</v>
      </c>
      <c r="H1" s="28" t="s">
        <v>268</v>
      </c>
      <c r="I1" s="30" t="s">
        <v>276</v>
      </c>
      <c r="J1" s="31" t="s">
        <v>277</v>
      </c>
    </row>
    <row r="2" spans="1:10" ht="43.2">
      <c r="A2" s="17"/>
      <c r="B2" s="17" t="s">
        <v>100</v>
      </c>
      <c r="C2" s="12">
        <v>8808071</v>
      </c>
      <c r="D2" s="18" t="s">
        <v>17</v>
      </c>
      <c r="E2" s="18">
        <v>2</v>
      </c>
      <c r="F2" s="18" t="s">
        <v>16</v>
      </c>
      <c r="G2" s="18" t="s">
        <v>266</v>
      </c>
      <c r="H2" s="17"/>
      <c r="I2" s="18"/>
      <c r="J2" s="12" t="str">
        <f>IF(ISBLANK(I2),"",E2-I2)</f>
        <v/>
      </c>
    </row>
    <row r="3" spans="1:10">
      <c r="A3" s="2"/>
      <c r="B3" s="2" t="s">
        <v>101</v>
      </c>
      <c r="C3" s="6">
        <v>4591700</v>
      </c>
      <c r="D3" s="1" t="s">
        <v>17</v>
      </c>
      <c r="E3" s="1">
        <v>2</v>
      </c>
      <c r="F3" s="1" t="s">
        <v>13</v>
      </c>
      <c r="G3" s="1" t="s">
        <v>266</v>
      </c>
      <c r="H3" s="2"/>
      <c r="I3" s="1"/>
      <c r="J3" s="12" t="str">
        <f t="shared" ref="J3:J66" si="0">IF(ISBLANK(I3),"",E3-I3)</f>
        <v/>
      </c>
    </row>
    <row r="4" spans="1:10" ht="28.8">
      <c r="A4" s="2"/>
      <c r="B4" s="2" t="s">
        <v>143</v>
      </c>
      <c r="C4" s="6">
        <v>4540000</v>
      </c>
      <c r="D4" s="1" t="s">
        <v>17</v>
      </c>
      <c r="E4" s="1">
        <v>1</v>
      </c>
      <c r="F4" s="1" t="s">
        <v>16</v>
      </c>
      <c r="G4" s="1" t="s">
        <v>266</v>
      </c>
      <c r="H4" s="2"/>
      <c r="I4" s="1"/>
      <c r="J4" s="12" t="str">
        <f t="shared" si="0"/>
        <v/>
      </c>
    </row>
    <row r="5" spans="1:10" ht="28.8">
      <c r="A5" s="2"/>
      <c r="B5" s="2" t="s">
        <v>144</v>
      </c>
      <c r="C5" s="6">
        <v>8660003</v>
      </c>
      <c r="D5" s="1" t="s">
        <v>17</v>
      </c>
      <c r="E5" s="1">
        <v>2</v>
      </c>
      <c r="F5" s="1" t="s">
        <v>16</v>
      </c>
      <c r="G5" s="1" t="s">
        <v>266</v>
      </c>
      <c r="H5" s="2"/>
      <c r="I5" s="1"/>
      <c r="J5" s="12" t="str">
        <f t="shared" si="0"/>
        <v/>
      </c>
    </row>
    <row r="6" spans="1:10" ht="28.8">
      <c r="A6" s="2"/>
      <c r="B6" s="2" t="s">
        <v>147</v>
      </c>
      <c r="C6" s="6">
        <v>8617500</v>
      </c>
      <c r="D6" s="1" t="s">
        <v>17</v>
      </c>
      <c r="E6" s="1">
        <v>1</v>
      </c>
      <c r="F6" s="1" t="s">
        <v>16</v>
      </c>
      <c r="G6" s="1" t="s">
        <v>266</v>
      </c>
      <c r="H6" s="2"/>
      <c r="I6" s="1"/>
      <c r="J6" s="12" t="str">
        <f t="shared" si="0"/>
        <v/>
      </c>
    </row>
    <row r="7" spans="1:10">
      <c r="A7" s="2"/>
      <c r="B7" s="2" t="s">
        <v>104</v>
      </c>
      <c r="C7" s="6">
        <v>8108245</v>
      </c>
      <c r="D7" s="1" t="s">
        <v>17</v>
      </c>
      <c r="E7" s="1">
        <v>1</v>
      </c>
      <c r="F7" s="1" t="s">
        <v>16</v>
      </c>
      <c r="G7" s="1" t="s">
        <v>266</v>
      </c>
      <c r="H7" s="2"/>
      <c r="I7" s="1"/>
      <c r="J7" s="12" t="str">
        <f t="shared" si="0"/>
        <v/>
      </c>
    </row>
    <row r="8" spans="1:10" ht="28.8">
      <c r="A8" s="2"/>
      <c r="B8" s="2" t="s">
        <v>149</v>
      </c>
      <c r="C8" s="6">
        <v>8660034</v>
      </c>
      <c r="D8" s="1" t="s">
        <v>17</v>
      </c>
      <c r="E8" s="1">
        <v>2</v>
      </c>
      <c r="F8" s="1" t="s">
        <v>16</v>
      </c>
      <c r="G8" s="1" t="s">
        <v>266</v>
      </c>
      <c r="H8" s="2"/>
      <c r="I8" s="1"/>
      <c r="J8" s="12" t="str">
        <f t="shared" si="0"/>
        <v/>
      </c>
    </row>
    <row r="9" spans="1:10" ht="28.8">
      <c r="A9" s="2"/>
      <c r="B9" s="2" t="s">
        <v>150</v>
      </c>
      <c r="C9" s="6">
        <v>1206421</v>
      </c>
      <c r="D9" s="1" t="s">
        <v>17</v>
      </c>
      <c r="E9" s="1">
        <v>2</v>
      </c>
      <c r="F9" s="1" t="s">
        <v>13</v>
      </c>
      <c r="G9" s="1" t="s">
        <v>266</v>
      </c>
      <c r="H9" s="2"/>
      <c r="I9" s="1"/>
      <c r="J9" s="12" t="str">
        <f t="shared" si="0"/>
        <v/>
      </c>
    </row>
    <row r="10" spans="1:10">
      <c r="A10" s="2"/>
      <c r="B10" s="2" t="s">
        <v>105</v>
      </c>
      <c r="C10" s="6">
        <v>8617502</v>
      </c>
      <c r="D10" s="1" t="s">
        <v>17</v>
      </c>
      <c r="E10" s="1">
        <v>1</v>
      </c>
      <c r="F10" s="1" t="s">
        <v>16</v>
      </c>
      <c r="G10" s="1" t="s">
        <v>266</v>
      </c>
      <c r="H10" s="2"/>
      <c r="I10" s="1"/>
      <c r="J10" s="12" t="str">
        <f t="shared" si="0"/>
        <v/>
      </c>
    </row>
    <row r="11" spans="1:10" ht="28.8">
      <c r="A11" s="2"/>
      <c r="B11" s="2" t="s">
        <v>106</v>
      </c>
      <c r="C11" s="6">
        <v>8800885</v>
      </c>
      <c r="D11" s="1" t="s">
        <v>17</v>
      </c>
      <c r="E11" s="1">
        <v>1</v>
      </c>
      <c r="F11" s="1" t="s">
        <v>13</v>
      </c>
      <c r="G11" s="1" t="s">
        <v>266</v>
      </c>
      <c r="H11" s="2"/>
      <c r="I11" s="1"/>
      <c r="J11" s="12" t="str">
        <f t="shared" si="0"/>
        <v/>
      </c>
    </row>
    <row r="12" spans="1:10" ht="28.8">
      <c r="A12" s="2"/>
      <c r="B12" s="2" t="s">
        <v>151</v>
      </c>
      <c r="C12" s="6">
        <v>5302351</v>
      </c>
      <c r="D12" s="1" t="s">
        <v>17</v>
      </c>
      <c r="E12" s="1">
        <v>4</v>
      </c>
      <c r="F12" s="1" t="s">
        <v>13</v>
      </c>
      <c r="G12" s="1" t="s">
        <v>266</v>
      </c>
      <c r="H12" s="2"/>
      <c r="I12" s="1"/>
      <c r="J12" s="12" t="str">
        <f t="shared" si="0"/>
        <v/>
      </c>
    </row>
    <row r="13" spans="1:10">
      <c r="A13" s="2"/>
      <c r="B13" s="2" t="s">
        <v>110</v>
      </c>
      <c r="C13" s="6">
        <v>4568000</v>
      </c>
      <c r="D13" s="1" t="s">
        <v>17</v>
      </c>
      <c r="E13" s="1">
        <v>2</v>
      </c>
      <c r="F13" s="1" t="s">
        <v>16</v>
      </c>
      <c r="G13" s="1" t="s">
        <v>266</v>
      </c>
      <c r="H13" s="2"/>
      <c r="I13" s="1"/>
      <c r="J13" s="12" t="str">
        <f t="shared" si="0"/>
        <v/>
      </c>
    </row>
    <row r="14" spans="1:10" ht="28.8">
      <c r="A14" s="2"/>
      <c r="B14" s="2" t="s">
        <v>111</v>
      </c>
      <c r="C14" s="6">
        <v>8618200</v>
      </c>
      <c r="D14" s="1" t="s">
        <v>17</v>
      </c>
      <c r="E14" s="1">
        <v>4</v>
      </c>
      <c r="F14" s="1" t="s">
        <v>13</v>
      </c>
      <c r="G14" s="1" t="s">
        <v>266</v>
      </c>
      <c r="H14" s="2"/>
      <c r="I14" s="1"/>
      <c r="J14" s="12" t="str">
        <f t="shared" si="0"/>
        <v/>
      </c>
    </row>
    <row r="15" spans="1:10" ht="28.8">
      <c r="A15" s="2"/>
      <c r="B15" s="2" t="s">
        <v>113</v>
      </c>
      <c r="C15" s="6">
        <v>8618801</v>
      </c>
      <c r="D15" s="1" t="s">
        <v>17</v>
      </c>
      <c r="E15" s="1">
        <v>4</v>
      </c>
      <c r="F15" s="1" t="s">
        <v>16</v>
      </c>
      <c r="G15" s="1" t="s">
        <v>266</v>
      </c>
      <c r="H15" s="2"/>
      <c r="I15" s="1"/>
      <c r="J15" s="12" t="str">
        <f t="shared" si="0"/>
        <v/>
      </c>
    </row>
    <row r="16" spans="1:10" ht="28.8">
      <c r="A16" s="2"/>
      <c r="B16" s="2" t="s">
        <v>114</v>
      </c>
      <c r="C16" s="6">
        <v>4118000</v>
      </c>
      <c r="D16" s="1" t="s">
        <v>17</v>
      </c>
      <c r="E16" s="1">
        <v>2</v>
      </c>
      <c r="F16" s="1" t="s">
        <v>13</v>
      </c>
      <c r="G16" s="1" t="s">
        <v>266</v>
      </c>
      <c r="H16" s="2"/>
      <c r="I16" s="1"/>
      <c r="J16" s="12" t="str">
        <f t="shared" si="0"/>
        <v/>
      </c>
    </row>
    <row r="17" spans="1:10" ht="28.8">
      <c r="A17" s="8" t="s">
        <v>240</v>
      </c>
      <c r="B17" s="2" t="s">
        <v>145</v>
      </c>
      <c r="C17" s="6">
        <v>2500460</v>
      </c>
      <c r="D17" s="1" t="s">
        <v>17</v>
      </c>
      <c r="E17" s="1">
        <v>4</v>
      </c>
      <c r="F17" s="1" t="s">
        <v>13</v>
      </c>
      <c r="G17" s="1" t="s">
        <v>266</v>
      </c>
      <c r="H17" s="2"/>
      <c r="I17" s="1">
        <v>4</v>
      </c>
      <c r="J17" s="12">
        <f t="shared" si="0"/>
        <v>0</v>
      </c>
    </row>
    <row r="18" spans="1:10" ht="28.8">
      <c r="A18" s="8" t="s">
        <v>115</v>
      </c>
      <c r="B18" s="2" t="s">
        <v>146</v>
      </c>
      <c r="C18" s="6">
        <v>3105370</v>
      </c>
      <c r="D18" s="1" t="s">
        <v>17</v>
      </c>
      <c r="E18" s="1">
        <v>2</v>
      </c>
      <c r="F18" s="1" t="s">
        <v>13</v>
      </c>
      <c r="G18" s="1" t="s">
        <v>266</v>
      </c>
      <c r="H18" s="2"/>
      <c r="I18" s="1">
        <v>2</v>
      </c>
      <c r="J18" s="12">
        <f t="shared" si="0"/>
        <v>0</v>
      </c>
    </row>
    <row r="19" spans="1:10" ht="28.8">
      <c r="A19" s="8" t="s">
        <v>116</v>
      </c>
      <c r="B19" s="2" t="s">
        <v>148</v>
      </c>
      <c r="C19" s="6">
        <v>3110000</v>
      </c>
      <c r="D19" s="1" t="s">
        <v>17</v>
      </c>
      <c r="E19" s="1">
        <v>1</v>
      </c>
      <c r="F19" s="1" t="s">
        <v>13</v>
      </c>
      <c r="G19" s="1" t="s">
        <v>266</v>
      </c>
      <c r="H19" s="2"/>
      <c r="I19" s="1">
        <v>1</v>
      </c>
      <c r="J19" s="12">
        <f t="shared" si="0"/>
        <v>0</v>
      </c>
    </row>
    <row r="20" spans="1:10" ht="28.8">
      <c r="A20" s="2"/>
      <c r="B20" s="2" t="s">
        <v>109</v>
      </c>
      <c r="C20" s="6">
        <v>2500530</v>
      </c>
      <c r="D20" s="1" t="s">
        <v>17</v>
      </c>
      <c r="E20" s="1">
        <v>2</v>
      </c>
      <c r="F20" s="1" t="s">
        <v>13</v>
      </c>
      <c r="G20" s="1" t="s">
        <v>266</v>
      </c>
      <c r="H20" s="2"/>
      <c r="I20" s="1"/>
      <c r="J20" s="12" t="str">
        <f t="shared" si="0"/>
        <v/>
      </c>
    </row>
    <row r="21" spans="1:10" ht="28.8">
      <c r="A21" s="2"/>
      <c r="B21" s="2" t="s">
        <v>107</v>
      </c>
      <c r="C21" s="6" t="s">
        <v>65</v>
      </c>
      <c r="D21" s="1" t="s">
        <v>17</v>
      </c>
      <c r="E21" s="1">
        <v>2</v>
      </c>
      <c r="F21" s="1" t="s">
        <v>13</v>
      </c>
      <c r="G21" s="1" t="s">
        <v>266</v>
      </c>
      <c r="H21" s="2"/>
      <c r="I21" s="1"/>
      <c r="J21" s="12" t="str">
        <f t="shared" si="0"/>
        <v/>
      </c>
    </row>
    <row r="22" spans="1:10" ht="28.8">
      <c r="A22" s="8" t="s">
        <v>117</v>
      </c>
      <c r="B22" s="2" t="s">
        <v>108</v>
      </c>
      <c r="C22" s="6">
        <v>2500200</v>
      </c>
      <c r="D22" s="1" t="s">
        <v>17</v>
      </c>
      <c r="E22" s="1">
        <v>2</v>
      </c>
      <c r="F22" s="1" t="s">
        <v>13</v>
      </c>
      <c r="G22" s="1" t="s">
        <v>266</v>
      </c>
      <c r="H22" s="32" t="s">
        <v>302</v>
      </c>
      <c r="I22" s="1">
        <v>4</v>
      </c>
      <c r="J22" s="12">
        <f t="shared" si="0"/>
        <v>-2</v>
      </c>
    </row>
    <row r="23" spans="1:10" ht="43.2">
      <c r="A23" s="2"/>
      <c r="B23" s="2" t="s">
        <v>152</v>
      </c>
      <c r="C23" s="6">
        <v>2500490</v>
      </c>
      <c r="D23" s="1" t="s">
        <v>17</v>
      </c>
      <c r="E23" s="1">
        <v>4</v>
      </c>
      <c r="F23" s="1" t="s">
        <v>13</v>
      </c>
      <c r="G23" s="1" t="s">
        <v>266</v>
      </c>
      <c r="H23" s="2"/>
      <c r="I23" s="1"/>
      <c r="J23" s="12" t="str">
        <f t="shared" si="0"/>
        <v/>
      </c>
    </row>
    <row r="24" spans="1:10">
      <c r="A24" s="8" t="s">
        <v>118</v>
      </c>
      <c r="B24" s="2" t="s">
        <v>112</v>
      </c>
      <c r="C24" s="6">
        <v>3118000</v>
      </c>
      <c r="D24" s="1" t="s">
        <v>17</v>
      </c>
      <c r="E24" s="1">
        <v>1</v>
      </c>
      <c r="F24" s="1" t="s">
        <v>13</v>
      </c>
      <c r="G24" s="1" t="s">
        <v>266</v>
      </c>
      <c r="H24" s="2"/>
      <c r="I24" s="1">
        <v>1</v>
      </c>
      <c r="J24" s="12">
        <f t="shared" si="0"/>
        <v>0</v>
      </c>
    </row>
    <row r="25" spans="1:10" ht="28.8">
      <c r="A25" s="8" t="s">
        <v>119</v>
      </c>
      <c r="B25" s="2" t="s">
        <v>153</v>
      </c>
      <c r="C25" s="6" t="s">
        <v>305</v>
      </c>
      <c r="D25" s="1" t="s">
        <v>15</v>
      </c>
      <c r="E25" s="1">
        <v>2</v>
      </c>
      <c r="F25" s="1" t="s">
        <v>13</v>
      </c>
      <c r="G25" s="1" t="s">
        <v>266</v>
      </c>
      <c r="H25" s="32" t="s">
        <v>306</v>
      </c>
      <c r="I25" s="1">
        <v>1</v>
      </c>
      <c r="J25" s="12">
        <f t="shared" si="0"/>
        <v>1</v>
      </c>
    </row>
    <row r="26" spans="1:10" ht="129.6">
      <c r="A26" s="8" t="s">
        <v>83</v>
      </c>
      <c r="B26" s="2" t="s">
        <v>154</v>
      </c>
      <c r="C26" s="6" t="s">
        <v>19</v>
      </c>
      <c r="D26" s="1" t="s">
        <v>20</v>
      </c>
      <c r="E26" s="1">
        <v>1</v>
      </c>
      <c r="F26" s="1" t="s">
        <v>13</v>
      </c>
      <c r="G26" s="1" t="s">
        <v>266</v>
      </c>
      <c r="H26" s="2"/>
      <c r="I26" s="1">
        <v>1</v>
      </c>
      <c r="J26" s="12">
        <f t="shared" si="0"/>
        <v>0</v>
      </c>
    </row>
    <row r="27" spans="1:10" ht="100.8">
      <c r="A27" s="2"/>
      <c r="B27" s="2" t="s">
        <v>155</v>
      </c>
      <c r="C27" s="6" t="s">
        <v>22</v>
      </c>
      <c r="D27" s="1" t="s">
        <v>20</v>
      </c>
      <c r="E27" s="1">
        <v>1</v>
      </c>
      <c r="F27" s="1" t="s">
        <v>13</v>
      </c>
      <c r="G27" s="1" t="s">
        <v>266</v>
      </c>
      <c r="H27" s="2"/>
      <c r="I27" s="1"/>
      <c r="J27" s="12" t="str">
        <f t="shared" si="0"/>
        <v/>
      </c>
    </row>
    <row r="28" spans="1:10" ht="43.2">
      <c r="A28" s="2"/>
      <c r="B28" s="2" t="s">
        <v>156</v>
      </c>
      <c r="C28" s="6" t="s">
        <v>23</v>
      </c>
      <c r="D28" s="1" t="s">
        <v>20</v>
      </c>
      <c r="E28" s="1">
        <v>2</v>
      </c>
      <c r="F28" s="1" t="s">
        <v>13</v>
      </c>
      <c r="G28" s="1" t="s">
        <v>266</v>
      </c>
      <c r="H28" s="2"/>
      <c r="I28" s="1"/>
      <c r="J28" s="12" t="str">
        <f t="shared" si="0"/>
        <v/>
      </c>
    </row>
    <row r="29" spans="1:10" ht="86.4">
      <c r="A29" s="8" t="s">
        <v>14</v>
      </c>
      <c r="B29" s="2" t="s">
        <v>157</v>
      </c>
      <c r="C29" s="6" t="s">
        <v>21</v>
      </c>
      <c r="D29" s="1" t="s">
        <v>20</v>
      </c>
      <c r="E29" s="1">
        <v>1</v>
      </c>
      <c r="F29" s="1" t="s">
        <v>13</v>
      </c>
      <c r="G29" s="1" t="s">
        <v>266</v>
      </c>
      <c r="H29" s="2"/>
      <c r="I29" s="1">
        <v>1</v>
      </c>
      <c r="J29" s="12">
        <f t="shared" si="0"/>
        <v>0</v>
      </c>
    </row>
    <row r="30" spans="1:10" ht="28.8">
      <c r="A30" s="2"/>
      <c r="B30" s="2" t="s">
        <v>158</v>
      </c>
      <c r="C30" s="6" t="s">
        <v>24</v>
      </c>
      <c r="D30" s="1" t="s">
        <v>20</v>
      </c>
      <c r="E30" s="1">
        <v>1</v>
      </c>
      <c r="F30" s="1" t="s">
        <v>13</v>
      </c>
      <c r="G30" s="1" t="s">
        <v>266</v>
      </c>
      <c r="H30" s="32" t="s">
        <v>307</v>
      </c>
      <c r="I30" s="1">
        <v>1</v>
      </c>
      <c r="J30" s="12">
        <f t="shared" si="0"/>
        <v>0</v>
      </c>
    </row>
    <row r="31" spans="1:10" ht="86.4">
      <c r="A31" s="8" t="s">
        <v>82</v>
      </c>
      <c r="B31" s="2" t="s">
        <v>159</v>
      </c>
      <c r="C31" s="6" t="s">
        <v>26</v>
      </c>
      <c r="D31" s="1" t="s">
        <v>20</v>
      </c>
      <c r="E31" s="1">
        <v>3</v>
      </c>
      <c r="F31" s="1" t="s">
        <v>13</v>
      </c>
      <c r="G31" s="1" t="s">
        <v>266</v>
      </c>
      <c r="H31" s="2"/>
      <c r="I31" s="1">
        <v>3</v>
      </c>
      <c r="J31" s="12">
        <f t="shared" si="0"/>
        <v>0</v>
      </c>
    </row>
    <row r="32" spans="1:10" ht="129.6">
      <c r="A32" s="8" t="s">
        <v>84</v>
      </c>
      <c r="B32" s="2" t="s">
        <v>160</v>
      </c>
      <c r="C32" s="6" t="s">
        <v>27</v>
      </c>
      <c r="D32" s="1" t="s">
        <v>20</v>
      </c>
      <c r="E32" s="1">
        <v>2</v>
      </c>
      <c r="F32" s="1" t="s">
        <v>13</v>
      </c>
      <c r="G32" s="1" t="s">
        <v>266</v>
      </c>
      <c r="H32" s="2"/>
      <c r="I32" s="1">
        <v>2</v>
      </c>
      <c r="J32" s="12">
        <f t="shared" si="0"/>
        <v>0</v>
      </c>
    </row>
    <row r="33" spans="1:10" ht="115.2">
      <c r="A33" s="8" t="s">
        <v>85</v>
      </c>
      <c r="B33" s="2" t="s">
        <v>161</v>
      </c>
      <c r="C33" s="6" t="s">
        <v>25</v>
      </c>
      <c r="D33" s="1" t="s">
        <v>20</v>
      </c>
      <c r="E33" s="1">
        <v>5</v>
      </c>
      <c r="F33" s="1" t="s">
        <v>13</v>
      </c>
      <c r="G33" s="1" t="s">
        <v>266</v>
      </c>
      <c r="H33" s="32" t="s">
        <v>279</v>
      </c>
      <c r="I33" s="1">
        <v>7</v>
      </c>
      <c r="J33" s="12">
        <f t="shared" si="0"/>
        <v>-2</v>
      </c>
    </row>
    <row r="34" spans="1:10" ht="72">
      <c r="A34" s="2"/>
      <c r="B34" s="2" t="s">
        <v>162</v>
      </c>
      <c r="C34" s="6" t="s">
        <v>28</v>
      </c>
      <c r="D34" s="1" t="s">
        <v>20</v>
      </c>
      <c r="E34" s="1">
        <v>4</v>
      </c>
      <c r="F34" s="1" t="s">
        <v>13</v>
      </c>
      <c r="G34" s="1" t="s">
        <v>266</v>
      </c>
      <c r="H34" s="2"/>
      <c r="I34" s="1"/>
      <c r="J34" s="12" t="str">
        <f t="shared" si="0"/>
        <v/>
      </c>
    </row>
    <row r="35" spans="1:10" ht="57.6">
      <c r="A35" s="2"/>
      <c r="B35" s="2" t="s">
        <v>163</v>
      </c>
      <c r="C35" s="6" t="s">
        <v>29</v>
      </c>
      <c r="D35" s="1" t="s">
        <v>20</v>
      </c>
      <c r="E35" s="1">
        <v>1</v>
      </c>
      <c r="F35" s="1" t="s">
        <v>16</v>
      </c>
      <c r="G35" s="1" t="s">
        <v>266</v>
      </c>
      <c r="H35" s="2"/>
      <c r="I35" s="1"/>
      <c r="J35" s="12" t="str">
        <f t="shared" si="0"/>
        <v/>
      </c>
    </row>
    <row r="36" spans="1:10" ht="57.6">
      <c r="A36" s="2"/>
      <c r="B36" s="2" t="s">
        <v>164</v>
      </c>
      <c r="C36" s="6" t="s">
        <v>30</v>
      </c>
      <c r="D36" s="1" t="s">
        <v>20</v>
      </c>
      <c r="E36" s="1">
        <v>1</v>
      </c>
      <c r="F36" s="1" t="s">
        <v>13</v>
      </c>
      <c r="G36" s="1" t="s">
        <v>266</v>
      </c>
      <c r="H36" s="32" t="s">
        <v>278</v>
      </c>
      <c r="I36" s="1">
        <v>1</v>
      </c>
      <c r="J36" s="12">
        <f t="shared" si="0"/>
        <v>0</v>
      </c>
    </row>
    <row r="37" spans="1:10" ht="43.2">
      <c r="A37" s="2"/>
      <c r="B37" s="2" t="s">
        <v>165</v>
      </c>
      <c r="C37" s="6" t="s">
        <v>31</v>
      </c>
      <c r="D37" s="1" t="s">
        <v>20</v>
      </c>
      <c r="E37" s="1">
        <v>10</v>
      </c>
      <c r="F37" s="1" t="s">
        <v>13</v>
      </c>
      <c r="G37" s="1" t="s">
        <v>266</v>
      </c>
      <c r="H37" s="2"/>
      <c r="I37" s="1"/>
      <c r="J37" s="12" t="str">
        <f t="shared" si="0"/>
        <v/>
      </c>
    </row>
    <row r="38" spans="1:10" ht="86.4">
      <c r="A38" s="8" t="s">
        <v>86</v>
      </c>
      <c r="B38" s="2" t="s">
        <v>166</v>
      </c>
      <c r="C38" s="6" t="s">
        <v>32</v>
      </c>
      <c r="D38" s="1" t="s">
        <v>20</v>
      </c>
      <c r="E38" s="1">
        <v>1</v>
      </c>
      <c r="F38" s="1" t="s">
        <v>13</v>
      </c>
      <c r="G38" s="1" t="s">
        <v>266</v>
      </c>
      <c r="H38" s="2"/>
      <c r="I38" s="1">
        <v>1</v>
      </c>
      <c r="J38" s="12">
        <f t="shared" si="0"/>
        <v>0</v>
      </c>
    </row>
    <row r="39" spans="1:10" ht="28.8">
      <c r="A39" s="8" t="s">
        <v>87</v>
      </c>
      <c r="B39" s="2" t="s">
        <v>167</v>
      </c>
      <c r="C39" s="6" t="s">
        <v>33</v>
      </c>
      <c r="D39" s="1" t="s">
        <v>20</v>
      </c>
      <c r="E39" s="1">
        <v>2</v>
      </c>
      <c r="F39" s="1" t="s">
        <v>13</v>
      </c>
      <c r="G39" s="1" t="s">
        <v>266</v>
      </c>
      <c r="H39" s="2"/>
      <c r="I39" s="1">
        <v>2</v>
      </c>
      <c r="J39" s="12">
        <f t="shared" si="0"/>
        <v>0</v>
      </c>
    </row>
    <row r="40" spans="1:10" ht="43.2">
      <c r="A40" s="8" t="s">
        <v>88</v>
      </c>
      <c r="B40" s="2" t="s">
        <v>168</v>
      </c>
      <c r="C40" s="6" t="s">
        <v>34</v>
      </c>
      <c r="D40" s="1" t="s">
        <v>20</v>
      </c>
      <c r="E40" s="1">
        <v>1</v>
      </c>
      <c r="F40" s="1" t="s">
        <v>13</v>
      </c>
      <c r="G40" s="1" t="s">
        <v>266</v>
      </c>
      <c r="H40" s="2"/>
      <c r="I40" s="1">
        <v>1</v>
      </c>
      <c r="J40" s="12">
        <f t="shared" si="0"/>
        <v>0</v>
      </c>
    </row>
    <row r="41" spans="1:10" ht="57.6">
      <c r="A41" s="8" t="s">
        <v>89</v>
      </c>
      <c r="B41" s="2" t="s">
        <v>169</v>
      </c>
      <c r="C41" s="6" t="s">
        <v>35</v>
      </c>
      <c r="D41" s="1" t="s">
        <v>20</v>
      </c>
      <c r="E41" s="1">
        <v>2</v>
      </c>
      <c r="F41" s="1" t="s">
        <v>13</v>
      </c>
      <c r="G41" s="1" t="s">
        <v>266</v>
      </c>
      <c r="H41" s="2"/>
      <c r="I41" s="1">
        <v>2</v>
      </c>
      <c r="J41" s="12">
        <f t="shared" si="0"/>
        <v>0</v>
      </c>
    </row>
    <row r="42" spans="1:10" ht="43.2">
      <c r="A42" s="8" t="s">
        <v>242</v>
      </c>
      <c r="B42" s="2" t="s">
        <v>170</v>
      </c>
      <c r="C42" s="6">
        <v>1176010000</v>
      </c>
      <c r="D42" s="1" t="s">
        <v>171</v>
      </c>
      <c r="E42" s="1">
        <v>2</v>
      </c>
      <c r="F42" s="1" t="s">
        <v>13</v>
      </c>
      <c r="G42" s="1" t="s">
        <v>266</v>
      </c>
      <c r="H42" s="32" t="s">
        <v>301</v>
      </c>
      <c r="I42" s="1">
        <v>3</v>
      </c>
      <c r="J42" s="12">
        <f t="shared" si="0"/>
        <v>-1</v>
      </c>
    </row>
    <row r="43" spans="1:10" ht="57.6">
      <c r="A43" s="8" t="s">
        <v>242</v>
      </c>
      <c r="B43" s="2" t="s">
        <v>241</v>
      </c>
      <c r="C43" s="6">
        <v>1176000000</v>
      </c>
      <c r="D43" s="1" t="s">
        <v>171</v>
      </c>
      <c r="E43" s="1">
        <v>5</v>
      </c>
      <c r="F43" s="1" t="s">
        <v>13</v>
      </c>
      <c r="G43" s="11" t="s">
        <v>267</v>
      </c>
      <c r="H43" s="32" t="s">
        <v>300</v>
      </c>
      <c r="I43" s="1">
        <v>7</v>
      </c>
      <c r="J43" s="12">
        <f t="shared" si="0"/>
        <v>-2</v>
      </c>
    </row>
    <row r="44" spans="1:10" ht="57.6">
      <c r="A44" s="2"/>
      <c r="B44" s="2" t="s">
        <v>172</v>
      </c>
      <c r="C44" s="6">
        <v>1877680000</v>
      </c>
      <c r="D44" s="1" t="s">
        <v>171</v>
      </c>
      <c r="E44" s="1">
        <v>1</v>
      </c>
      <c r="F44" s="1" t="s">
        <v>16</v>
      </c>
      <c r="G44" s="1" t="s">
        <v>266</v>
      </c>
      <c r="H44" s="2"/>
      <c r="I44" s="1"/>
      <c r="J44" s="12" t="str">
        <f t="shared" si="0"/>
        <v/>
      </c>
    </row>
    <row r="45" spans="1:10" ht="72">
      <c r="A45" s="8" t="s">
        <v>90</v>
      </c>
      <c r="B45" s="2" t="s">
        <v>173</v>
      </c>
      <c r="C45" s="6">
        <v>1123540000</v>
      </c>
      <c r="D45" s="1" t="s">
        <v>171</v>
      </c>
      <c r="E45" s="1">
        <v>41</v>
      </c>
      <c r="F45" s="1" t="s">
        <v>13</v>
      </c>
      <c r="G45" s="4" t="s">
        <v>266</v>
      </c>
      <c r="H45" s="32" t="s">
        <v>299</v>
      </c>
      <c r="I45" s="1">
        <v>22</v>
      </c>
      <c r="J45" s="12">
        <f t="shared" si="0"/>
        <v>19</v>
      </c>
    </row>
    <row r="46" spans="1:10" ht="72">
      <c r="A46" s="2"/>
      <c r="B46" s="2" t="s">
        <v>174</v>
      </c>
      <c r="C46" s="6">
        <v>2556460000</v>
      </c>
      <c r="D46" s="1" t="s">
        <v>171</v>
      </c>
      <c r="E46" s="1">
        <v>1</v>
      </c>
      <c r="F46" s="1" t="s">
        <v>16</v>
      </c>
      <c r="G46" s="1" t="s">
        <v>266</v>
      </c>
      <c r="H46" s="2"/>
      <c r="I46" s="1"/>
      <c r="J46" s="12" t="str">
        <f t="shared" si="0"/>
        <v/>
      </c>
    </row>
    <row r="47" spans="1:10" ht="86.4">
      <c r="A47" s="8" t="s">
        <v>140</v>
      </c>
      <c r="B47" s="2" t="s">
        <v>175</v>
      </c>
      <c r="C47" s="6">
        <v>1122770000</v>
      </c>
      <c r="D47" s="1" t="s">
        <v>171</v>
      </c>
      <c r="E47" s="1">
        <v>40</v>
      </c>
      <c r="F47" s="1" t="s">
        <v>13</v>
      </c>
      <c r="G47" s="4" t="s">
        <v>266</v>
      </c>
      <c r="H47" s="32" t="s">
        <v>298</v>
      </c>
      <c r="I47" s="1">
        <v>43</v>
      </c>
      <c r="J47" s="12">
        <f t="shared" si="0"/>
        <v>-3</v>
      </c>
    </row>
    <row r="48" spans="1:10" ht="86.4">
      <c r="A48" s="8" t="s">
        <v>251</v>
      </c>
      <c r="B48" s="2" t="s">
        <v>247</v>
      </c>
      <c r="C48" s="6" t="s">
        <v>246</v>
      </c>
      <c r="D48" s="1" t="s">
        <v>63</v>
      </c>
      <c r="E48" s="1">
        <v>2</v>
      </c>
      <c r="F48" s="1" t="s">
        <v>13</v>
      </c>
      <c r="G48" s="4" t="s">
        <v>266</v>
      </c>
      <c r="H48" s="32" t="s">
        <v>308</v>
      </c>
      <c r="I48" s="1">
        <v>9</v>
      </c>
      <c r="J48" s="12">
        <f t="shared" si="0"/>
        <v>-7</v>
      </c>
    </row>
    <row r="49" spans="1:10" ht="72">
      <c r="A49" s="8" t="s">
        <v>91</v>
      </c>
      <c r="B49" s="2" t="s">
        <v>176</v>
      </c>
      <c r="C49" s="6">
        <v>1123490000</v>
      </c>
      <c r="D49" s="1" t="s">
        <v>171</v>
      </c>
      <c r="E49" s="1">
        <v>30</v>
      </c>
      <c r="F49" s="1" t="s">
        <v>13</v>
      </c>
      <c r="G49" s="4" t="s">
        <v>266</v>
      </c>
      <c r="H49" s="32" t="s">
        <v>297</v>
      </c>
      <c r="I49" s="1">
        <v>47</v>
      </c>
      <c r="J49" s="12">
        <f t="shared" si="0"/>
        <v>-17</v>
      </c>
    </row>
    <row r="50" spans="1:10" ht="57.6">
      <c r="A50" s="2"/>
      <c r="B50" s="2" t="s">
        <v>177</v>
      </c>
      <c r="C50" s="6">
        <v>1240800000</v>
      </c>
      <c r="D50" s="1" t="s">
        <v>171</v>
      </c>
      <c r="E50" s="1">
        <v>1</v>
      </c>
      <c r="F50" s="1" t="s">
        <v>16</v>
      </c>
      <c r="G50" s="1" t="s">
        <v>266</v>
      </c>
      <c r="H50" s="2"/>
      <c r="I50" s="1"/>
      <c r="J50" s="12" t="str">
        <f t="shared" si="0"/>
        <v/>
      </c>
    </row>
    <row r="51" spans="1:10" ht="72">
      <c r="A51" s="2"/>
      <c r="B51" s="2" t="s">
        <v>178</v>
      </c>
      <c r="C51" s="6">
        <v>2556450000</v>
      </c>
      <c r="D51" s="1" t="s">
        <v>171</v>
      </c>
      <c r="E51" s="1">
        <v>1</v>
      </c>
      <c r="F51" s="1" t="s">
        <v>16</v>
      </c>
      <c r="G51" s="1" t="s">
        <v>266</v>
      </c>
      <c r="H51" s="2"/>
      <c r="I51" s="1"/>
      <c r="J51" s="12" t="str">
        <f t="shared" si="0"/>
        <v/>
      </c>
    </row>
    <row r="52" spans="1:10" ht="28.8">
      <c r="A52" s="8" t="s">
        <v>179</v>
      </c>
      <c r="B52" s="2" t="s">
        <v>180</v>
      </c>
      <c r="C52" s="6">
        <v>1020100000</v>
      </c>
      <c r="D52" s="1" t="s">
        <v>171</v>
      </c>
      <c r="E52" s="1">
        <v>6</v>
      </c>
      <c r="F52" s="1" t="s">
        <v>16</v>
      </c>
      <c r="G52" s="1" t="s">
        <v>266</v>
      </c>
      <c r="H52" s="2"/>
      <c r="I52" s="1"/>
      <c r="J52" s="12" t="str">
        <f t="shared" si="0"/>
        <v/>
      </c>
    </row>
    <row r="53" spans="1:10" ht="28.8">
      <c r="A53" s="2"/>
      <c r="B53" s="2" t="s">
        <v>181</v>
      </c>
      <c r="C53" s="6">
        <v>1061200000</v>
      </c>
      <c r="D53" s="1" t="s">
        <v>171</v>
      </c>
      <c r="E53" s="1">
        <v>2</v>
      </c>
      <c r="F53" s="1" t="s">
        <v>16</v>
      </c>
      <c r="G53" s="1" t="s">
        <v>266</v>
      </c>
      <c r="H53" s="2"/>
      <c r="I53" s="1"/>
      <c r="J53" s="12" t="str">
        <f t="shared" si="0"/>
        <v/>
      </c>
    </row>
    <row r="54" spans="1:10" ht="43.2">
      <c r="A54" s="2"/>
      <c r="B54" s="2" t="s">
        <v>182</v>
      </c>
      <c r="C54" s="6">
        <v>2460780000</v>
      </c>
      <c r="D54" s="1" t="s">
        <v>171</v>
      </c>
      <c r="E54" s="1">
        <v>1</v>
      </c>
      <c r="F54" s="1" t="s">
        <v>16</v>
      </c>
      <c r="G54" s="1" t="s">
        <v>266</v>
      </c>
      <c r="H54" s="2"/>
      <c r="I54" s="1"/>
      <c r="J54" s="12" t="str">
        <f t="shared" si="0"/>
        <v/>
      </c>
    </row>
    <row r="55" spans="1:10" ht="43.2">
      <c r="A55" s="2"/>
      <c r="B55" s="2" t="s">
        <v>183</v>
      </c>
      <c r="C55" s="6">
        <v>2460740000</v>
      </c>
      <c r="D55" s="1" t="s">
        <v>171</v>
      </c>
      <c r="E55" s="1">
        <v>3</v>
      </c>
      <c r="F55" s="1" t="s">
        <v>16</v>
      </c>
      <c r="G55" s="1" t="s">
        <v>266</v>
      </c>
      <c r="H55" s="2"/>
      <c r="I55" s="1"/>
      <c r="J55" s="12" t="str">
        <f t="shared" si="0"/>
        <v/>
      </c>
    </row>
    <row r="56" spans="1:10" ht="43.2">
      <c r="A56" s="2"/>
      <c r="B56" s="2" t="s">
        <v>184</v>
      </c>
      <c r="C56" s="6">
        <v>2561600000</v>
      </c>
      <c r="D56" s="1" t="s">
        <v>171</v>
      </c>
      <c r="E56" s="1">
        <v>3</v>
      </c>
      <c r="F56" s="1" t="s">
        <v>16</v>
      </c>
      <c r="G56" s="1" t="s">
        <v>266</v>
      </c>
      <c r="H56" s="2"/>
      <c r="I56" s="1"/>
      <c r="J56" s="12" t="str">
        <f t="shared" si="0"/>
        <v/>
      </c>
    </row>
    <row r="57" spans="1:10" ht="43.2">
      <c r="A57" s="2"/>
      <c r="B57" s="2" t="s">
        <v>185</v>
      </c>
      <c r="C57" s="6">
        <v>1050000000</v>
      </c>
      <c r="D57" s="1" t="s">
        <v>171</v>
      </c>
      <c r="E57" s="1">
        <v>2</v>
      </c>
      <c r="F57" s="1" t="s">
        <v>16</v>
      </c>
      <c r="G57" s="1" t="s">
        <v>266</v>
      </c>
      <c r="H57" s="2"/>
      <c r="I57" s="1"/>
      <c r="J57" s="12" t="str">
        <f t="shared" si="0"/>
        <v/>
      </c>
    </row>
    <row r="58" spans="1:10" ht="43.2">
      <c r="A58" s="8"/>
      <c r="B58" s="2" t="s">
        <v>186</v>
      </c>
      <c r="C58" s="6">
        <v>1020400000</v>
      </c>
      <c r="D58" s="1" t="s">
        <v>171</v>
      </c>
      <c r="E58" s="1">
        <v>1</v>
      </c>
      <c r="F58" s="1" t="s">
        <v>16</v>
      </c>
      <c r="G58" s="1" t="s">
        <v>266</v>
      </c>
      <c r="H58" s="2"/>
      <c r="I58" s="1"/>
      <c r="J58" s="12" t="str">
        <f t="shared" si="0"/>
        <v/>
      </c>
    </row>
    <row r="59" spans="1:10" ht="28.8">
      <c r="A59" s="2"/>
      <c r="B59" s="2" t="s">
        <v>187</v>
      </c>
      <c r="C59" s="6">
        <v>1059000000</v>
      </c>
      <c r="D59" s="1" t="s">
        <v>171</v>
      </c>
      <c r="E59" s="1">
        <v>1</v>
      </c>
      <c r="F59" s="1" t="s">
        <v>16</v>
      </c>
      <c r="G59" s="1" t="s">
        <v>266</v>
      </c>
      <c r="H59" s="2"/>
      <c r="I59" s="1"/>
      <c r="J59" s="12" t="str">
        <f t="shared" si="0"/>
        <v/>
      </c>
    </row>
    <row r="60" spans="1:10" ht="43.2">
      <c r="A60" s="2"/>
      <c r="B60" s="2" t="s">
        <v>188</v>
      </c>
      <c r="C60" s="6">
        <v>1050100000</v>
      </c>
      <c r="D60" s="1" t="s">
        <v>171</v>
      </c>
      <c r="E60" s="1">
        <v>1</v>
      </c>
      <c r="F60" s="1" t="s">
        <v>16</v>
      </c>
      <c r="G60" s="1" t="s">
        <v>266</v>
      </c>
      <c r="H60" s="2"/>
      <c r="I60" s="1"/>
      <c r="J60" s="12" t="str">
        <f t="shared" si="0"/>
        <v/>
      </c>
    </row>
    <row r="61" spans="1:10" ht="57.6">
      <c r="A61" s="8" t="s">
        <v>88</v>
      </c>
      <c r="B61" s="2" t="s">
        <v>189</v>
      </c>
      <c r="C61" s="6">
        <v>2954934</v>
      </c>
      <c r="D61" s="1" t="s">
        <v>37</v>
      </c>
      <c r="E61" s="1">
        <v>1</v>
      </c>
      <c r="F61" s="1" t="s">
        <v>13</v>
      </c>
      <c r="G61" s="1" t="s">
        <v>266</v>
      </c>
      <c r="H61" s="32" t="s">
        <v>280</v>
      </c>
      <c r="I61" s="1">
        <v>1</v>
      </c>
      <c r="J61" s="12">
        <f t="shared" si="0"/>
        <v>0</v>
      </c>
    </row>
    <row r="62" spans="1:10" ht="28.8">
      <c r="A62" s="2"/>
      <c r="B62" s="2" t="s">
        <v>190</v>
      </c>
      <c r="C62" s="6" t="s">
        <v>1</v>
      </c>
      <c r="D62" s="1" t="s">
        <v>2</v>
      </c>
      <c r="E62" s="1">
        <v>41</v>
      </c>
      <c r="F62" s="1" t="s">
        <v>13</v>
      </c>
      <c r="G62" s="1" t="s">
        <v>266</v>
      </c>
      <c r="H62" s="2"/>
      <c r="I62" s="1"/>
      <c r="J62" s="12" t="str">
        <f t="shared" si="0"/>
        <v/>
      </c>
    </row>
    <row r="63" spans="1:10" ht="28.8">
      <c r="A63" s="2"/>
      <c r="B63" s="2" t="s">
        <v>191</v>
      </c>
      <c r="C63" s="6" t="s">
        <v>8</v>
      </c>
      <c r="D63" s="1" t="s">
        <v>2</v>
      </c>
      <c r="E63" s="1">
        <v>11</v>
      </c>
      <c r="F63" s="1" t="s">
        <v>13</v>
      </c>
      <c r="G63" s="1" t="s">
        <v>266</v>
      </c>
      <c r="H63" s="2"/>
      <c r="I63" s="1"/>
      <c r="J63" s="12" t="str">
        <f t="shared" si="0"/>
        <v/>
      </c>
    </row>
    <row r="64" spans="1:10">
      <c r="A64" s="2"/>
      <c r="B64" s="2" t="s">
        <v>192</v>
      </c>
      <c r="C64" s="6" t="s">
        <v>10</v>
      </c>
      <c r="D64" s="1" t="s">
        <v>2</v>
      </c>
      <c r="E64" s="1">
        <v>1</v>
      </c>
      <c r="F64" s="1" t="s">
        <v>13</v>
      </c>
      <c r="G64" s="1" t="s">
        <v>266</v>
      </c>
      <c r="H64" s="2"/>
      <c r="I64" s="1"/>
      <c r="J64" s="12" t="str">
        <f t="shared" si="0"/>
        <v/>
      </c>
    </row>
    <row r="65" spans="1:10" ht="28.8">
      <c r="A65" s="2"/>
      <c r="B65" s="2" t="s">
        <v>193</v>
      </c>
      <c r="C65" s="6" t="s">
        <v>36</v>
      </c>
      <c r="D65" s="1" t="s">
        <v>2</v>
      </c>
      <c r="E65" s="1">
        <v>1</v>
      </c>
      <c r="F65" s="1" t="s">
        <v>13</v>
      </c>
      <c r="G65" s="1" t="s">
        <v>266</v>
      </c>
      <c r="H65" s="2"/>
      <c r="I65" s="1"/>
      <c r="J65" s="12" t="str">
        <f t="shared" si="0"/>
        <v/>
      </c>
    </row>
    <row r="66" spans="1:10" ht="43.2">
      <c r="A66" s="8" t="s">
        <v>121</v>
      </c>
      <c r="B66" s="2" t="s">
        <v>194</v>
      </c>
      <c r="C66" s="6" t="s">
        <v>45</v>
      </c>
      <c r="D66" s="1" t="s">
        <v>66</v>
      </c>
      <c r="E66" s="1">
        <v>7</v>
      </c>
      <c r="F66" s="1" t="s">
        <v>13</v>
      </c>
      <c r="G66" s="1" t="s">
        <v>266</v>
      </c>
      <c r="H66" s="2"/>
      <c r="I66" s="1">
        <v>12</v>
      </c>
      <c r="J66" s="12">
        <f t="shared" si="0"/>
        <v>-5</v>
      </c>
    </row>
    <row r="67" spans="1:10" ht="57.6">
      <c r="A67" s="8" t="s">
        <v>123</v>
      </c>
      <c r="B67" s="2" t="s">
        <v>195</v>
      </c>
      <c r="C67" s="7" t="s">
        <v>196</v>
      </c>
      <c r="D67" s="1" t="s">
        <v>2</v>
      </c>
      <c r="E67" s="1">
        <v>15</v>
      </c>
      <c r="F67" s="1" t="s">
        <v>13</v>
      </c>
      <c r="G67" s="1" t="s">
        <v>266</v>
      </c>
      <c r="H67" s="19" t="s">
        <v>294</v>
      </c>
      <c r="I67" s="1"/>
      <c r="J67" s="12" t="str">
        <f t="shared" ref="J67:J122" si="1">IF(ISBLANK(I67),"",E67-I67)</f>
        <v/>
      </c>
    </row>
    <row r="68" spans="1:10" ht="43.2">
      <c r="A68" s="8" t="s">
        <v>126</v>
      </c>
      <c r="B68" s="2" t="s">
        <v>197</v>
      </c>
      <c r="C68" s="7" t="s">
        <v>3</v>
      </c>
      <c r="D68" s="1" t="s">
        <v>2</v>
      </c>
      <c r="E68" s="1">
        <v>6</v>
      </c>
      <c r="F68" s="1" t="s">
        <v>13</v>
      </c>
      <c r="G68" s="1" t="s">
        <v>266</v>
      </c>
      <c r="H68" s="19" t="s">
        <v>293</v>
      </c>
      <c r="I68" s="1"/>
      <c r="J68" s="12" t="str">
        <f t="shared" si="1"/>
        <v/>
      </c>
    </row>
    <row r="69" spans="1:10" ht="43.2">
      <c r="A69" s="8" t="s">
        <v>122</v>
      </c>
      <c r="B69" s="2" t="s">
        <v>198</v>
      </c>
      <c r="C69" s="7" t="s">
        <v>5</v>
      </c>
      <c r="D69" s="1" t="s">
        <v>2</v>
      </c>
      <c r="E69" s="1">
        <v>6</v>
      </c>
      <c r="F69" s="1" t="s">
        <v>13</v>
      </c>
      <c r="G69" s="1" t="s">
        <v>266</v>
      </c>
      <c r="H69" s="19" t="s">
        <v>295</v>
      </c>
      <c r="I69" s="1"/>
      <c r="J69" s="12" t="str">
        <f t="shared" si="1"/>
        <v/>
      </c>
    </row>
    <row r="70" spans="1:10" ht="43.2">
      <c r="A70" s="8" t="s">
        <v>127</v>
      </c>
      <c r="B70" s="2" t="s">
        <v>199</v>
      </c>
      <c r="C70" s="7" t="s">
        <v>4</v>
      </c>
      <c r="D70" s="1" t="s">
        <v>2</v>
      </c>
      <c r="E70" s="1">
        <v>3</v>
      </c>
      <c r="F70" s="1" t="s">
        <v>13</v>
      </c>
      <c r="G70" s="1" t="s">
        <v>266</v>
      </c>
      <c r="H70" s="19" t="s">
        <v>293</v>
      </c>
      <c r="I70" s="1"/>
      <c r="J70" s="12" t="str">
        <f t="shared" si="1"/>
        <v/>
      </c>
    </row>
    <row r="71" spans="1:10" ht="43.2">
      <c r="A71" s="8" t="s">
        <v>120</v>
      </c>
      <c r="B71" s="2" t="s">
        <v>200</v>
      </c>
      <c r="C71" s="7" t="s">
        <v>68</v>
      </c>
      <c r="D71" s="1" t="s">
        <v>2</v>
      </c>
      <c r="E71" s="1">
        <v>4</v>
      </c>
      <c r="F71" s="1" t="s">
        <v>13</v>
      </c>
      <c r="G71" s="1" t="s">
        <v>266</v>
      </c>
      <c r="H71" s="32" t="s">
        <v>281</v>
      </c>
      <c r="I71" s="1">
        <v>4</v>
      </c>
      <c r="J71" s="12">
        <f t="shared" si="1"/>
        <v>0</v>
      </c>
    </row>
    <row r="72" spans="1:10" ht="43.2">
      <c r="A72" s="8" t="s">
        <v>125</v>
      </c>
      <c r="B72" s="2" t="s">
        <v>201</v>
      </c>
      <c r="C72" s="7" t="s">
        <v>7</v>
      </c>
      <c r="D72" s="1" t="s">
        <v>2</v>
      </c>
      <c r="E72" s="1">
        <v>3</v>
      </c>
      <c r="F72" s="1" t="s">
        <v>13</v>
      </c>
      <c r="G72" s="1" t="s">
        <v>266</v>
      </c>
      <c r="H72" s="32" t="s">
        <v>282</v>
      </c>
      <c r="I72" s="1">
        <v>3</v>
      </c>
      <c r="J72" s="12">
        <f t="shared" si="1"/>
        <v>0</v>
      </c>
    </row>
    <row r="73" spans="1:10" ht="43.2">
      <c r="A73" s="8" t="s">
        <v>124</v>
      </c>
      <c r="B73" s="2" t="s">
        <v>202</v>
      </c>
      <c r="C73" s="7" t="s">
        <v>67</v>
      </c>
      <c r="D73" s="1" t="s">
        <v>2</v>
      </c>
      <c r="E73" s="1">
        <v>3</v>
      </c>
      <c r="F73" s="1" t="s">
        <v>13</v>
      </c>
      <c r="G73" s="1" t="s">
        <v>266</v>
      </c>
      <c r="H73" s="2" t="s">
        <v>310</v>
      </c>
      <c r="I73" s="1"/>
      <c r="J73" s="12" t="str">
        <f t="shared" si="1"/>
        <v/>
      </c>
    </row>
    <row r="74" spans="1:10" ht="57.6">
      <c r="A74" s="8" t="s">
        <v>124</v>
      </c>
      <c r="B74" s="2" t="s">
        <v>269</v>
      </c>
      <c r="C74" s="7" t="s">
        <v>6</v>
      </c>
      <c r="D74" s="1" t="s">
        <v>2</v>
      </c>
      <c r="E74" s="1">
        <v>3</v>
      </c>
      <c r="F74" s="1" t="s">
        <v>13</v>
      </c>
      <c r="G74" s="1" t="s">
        <v>266</v>
      </c>
      <c r="H74" s="32" t="s">
        <v>296</v>
      </c>
      <c r="I74" s="1">
        <v>3</v>
      </c>
      <c r="J74" s="12">
        <f t="shared" si="1"/>
        <v>0</v>
      </c>
    </row>
    <row r="75" spans="1:10" ht="43.2">
      <c r="A75" s="8" t="s">
        <v>141</v>
      </c>
      <c r="B75" s="2" t="s">
        <v>203</v>
      </c>
      <c r="C75" s="7" t="s">
        <v>9</v>
      </c>
      <c r="D75" s="1" t="s">
        <v>2</v>
      </c>
      <c r="E75" s="1">
        <v>1</v>
      </c>
      <c r="F75" s="1" t="s">
        <v>13</v>
      </c>
      <c r="G75" s="1" t="s">
        <v>266</v>
      </c>
      <c r="H75" s="2"/>
      <c r="I75" s="1">
        <v>1</v>
      </c>
      <c r="J75" s="12">
        <f t="shared" si="1"/>
        <v>0</v>
      </c>
    </row>
    <row r="76" spans="1:10">
      <c r="A76" s="8" t="s">
        <v>141</v>
      </c>
      <c r="B76" s="1" t="s">
        <v>204</v>
      </c>
      <c r="C76" s="7" t="s">
        <v>142</v>
      </c>
      <c r="D76" s="1" t="s">
        <v>2</v>
      </c>
      <c r="E76" s="1">
        <v>1</v>
      </c>
      <c r="F76" s="1" t="s">
        <v>13</v>
      </c>
      <c r="G76" s="1" t="s">
        <v>266</v>
      </c>
      <c r="H76" s="2"/>
      <c r="I76" s="1">
        <v>1</v>
      </c>
      <c r="J76" s="12">
        <f t="shared" si="1"/>
        <v>0</v>
      </c>
    </row>
    <row r="77" spans="1:10" ht="57.6">
      <c r="A77" s="8" t="s">
        <v>94</v>
      </c>
      <c r="B77" s="2" t="s">
        <v>205</v>
      </c>
      <c r="C77" s="6" t="s">
        <v>38</v>
      </c>
      <c r="D77" s="1" t="s">
        <v>20</v>
      </c>
      <c r="E77" s="1">
        <v>1</v>
      </c>
      <c r="F77" s="1" t="s">
        <v>13</v>
      </c>
      <c r="G77" s="1" t="s">
        <v>266</v>
      </c>
      <c r="H77" s="2"/>
      <c r="I77" s="1">
        <v>1</v>
      </c>
      <c r="J77" s="12">
        <f t="shared" si="1"/>
        <v>0</v>
      </c>
    </row>
    <row r="78" spans="1:10" ht="43.2">
      <c r="A78" s="9" t="s">
        <v>98</v>
      </c>
      <c r="B78" s="2" t="s">
        <v>206</v>
      </c>
      <c r="C78" s="6" t="s">
        <v>69</v>
      </c>
      <c r="D78" s="1" t="s">
        <v>15</v>
      </c>
      <c r="E78" s="1">
        <v>6</v>
      </c>
      <c r="F78" s="1" t="s">
        <v>13</v>
      </c>
      <c r="G78" s="1" t="s">
        <v>266</v>
      </c>
      <c r="H78" s="2"/>
      <c r="I78" s="1">
        <v>6</v>
      </c>
      <c r="J78" s="12">
        <f t="shared" si="1"/>
        <v>0</v>
      </c>
    </row>
    <row r="79" spans="1:10" ht="43.2">
      <c r="A79" s="9" t="s">
        <v>98</v>
      </c>
      <c r="B79" s="2" t="s">
        <v>207</v>
      </c>
      <c r="C79" s="6" t="s">
        <v>39</v>
      </c>
      <c r="D79" s="1" t="s">
        <v>15</v>
      </c>
      <c r="E79" s="1">
        <v>3</v>
      </c>
      <c r="F79" s="1" t="s">
        <v>16</v>
      </c>
      <c r="G79" s="1" t="s">
        <v>266</v>
      </c>
      <c r="H79" s="2" t="s">
        <v>309</v>
      </c>
      <c r="I79" s="1"/>
      <c r="J79" s="12" t="str">
        <f t="shared" si="1"/>
        <v/>
      </c>
    </row>
    <row r="80" spans="1:10" ht="28.8">
      <c r="A80" s="8" t="s">
        <v>92</v>
      </c>
      <c r="B80" s="2" t="s">
        <v>208</v>
      </c>
      <c r="C80" s="6">
        <v>943405</v>
      </c>
      <c r="D80" s="1" t="s">
        <v>40</v>
      </c>
      <c r="E80" s="1">
        <v>1</v>
      </c>
      <c r="F80" s="1" t="s">
        <v>13</v>
      </c>
      <c r="G80" s="1" t="s">
        <v>266</v>
      </c>
      <c r="H80" s="32" t="s">
        <v>282</v>
      </c>
      <c r="I80" s="1">
        <v>1</v>
      </c>
      <c r="J80" s="12">
        <f t="shared" si="1"/>
        <v>0</v>
      </c>
    </row>
    <row r="81" spans="1:10" ht="43.2">
      <c r="A81" s="8" t="s">
        <v>93</v>
      </c>
      <c r="B81" s="2" t="s">
        <v>209</v>
      </c>
      <c r="C81" s="6">
        <v>93444012</v>
      </c>
      <c r="D81" s="1" t="s">
        <v>41</v>
      </c>
      <c r="E81" s="1">
        <v>1</v>
      </c>
      <c r="F81" s="1" t="s">
        <v>13</v>
      </c>
      <c r="G81" s="1" t="s">
        <v>266</v>
      </c>
      <c r="H81" s="2"/>
      <c r="I81" s="1">
        <v>1</v>
      </c>
      <c r="J81" s="12">
        <f t="shared" si="1"/>
        <v>0</v>
      </c>
    </row>
    <row r="82" spans="1:10" ht="28.8">
      <c r="A82" s="8" t="s">
        <v>93</v>
      </c>
      <c r="B82" s="2" t="s">
        <v>70</v>
      </c>
      <c r="C82" s="6">
        <v>13094006</v>
      </c>
      <c r="D82" s="1" t="s">
        <v>41</v>
      </c>
      <c r="E82" s="1">
        <v>1</v>
      </c>
      <c r="F82" s="1" t="s">
        <v>13</v>
      </c>
      <c r="G82" s="1" t="s">
        <v>266</v>
      </c>
      <c r="H82" s="2"/>
      <c r="I82" s="1">
        <v>1</v>
      </c>
      <c r="J82" s="12">
        <f t="shared" si="1"/>
        <v>0</v>
      </c>
    </row>
    <row r="83" spans="1:10">
      <c r="A83" s="8" t="s">
        <v>93</v>
      </c>
      <c r="B83" s="2" t="s">
        <v>71</v>
      </c>
      <c r="C83" s="6">
        <v>22944016</v>
      </c>
      <c r="D83" s="1" t="s">
        <v>41</v>
      </c>
      <c r="E83" s="1">
        <v>1</v>
      </c>
      <c r="F83" s="1" t="s">
        <v>13</v>
      </c>
      <c r="G83" s="1" t="s">
        <v>266</v>
      </c>
      <c r="H83" s="2"/>
      <c r="I83" s="1">
        <v>1</v>
      </c>
      <c r="J83" s="12">
        <f t="shared" si="1"/>
        <v>0</v>
      </c>
    </row>
    <row r="84" spans="1:10" ht="28.8">
      <c r="A84" s="8" t="s">
        <v>93</v>
      </c>
      <c r="B84" s="2" t="s">
        <v>72</v>
      </c>
      <c r="C84" s="6">
        <v>13994006</v>
      </c>
      <c r="D84" s="1" t="s">
        <v>41</v>
      </c>
      <c r="E84" s="1">
        <v>1</v>
      </c>
      <c r="F84" s="1" t="s">
        <v>13</v>
      </c>
      <c r="G84" s="1" t="s">
        <v>266</v>
      </c>
      <c r="H84" s="2"/>
      <c r="I84" s="1">
        <v>1</v>
      </c>
      <c r="J84" s="12">
        <f t="shared" si="1"/>
        <v>0</v>
      </c>
    </row>
    <row r="85" spans="1:10" ht="43.2">
      <c r="A85" s="8" t="s">
        <v>93</v>
      </c>
      <c r="B85" s="2" t="s">
        <v>210</v>
      </c>
      <c r="C85" s="6">
        <v>13091001</v>
      </c>
      <c r="D85" s="1" t="s">
        <v>41</v>
      </c>
      <c r="E85" s="1">
        <v>1</v>
      </c>
      <c r="F85" s="1" t="s">
        <v>13</v>
      </c>
      <c r="G85" s="1" t="s">
        <v>266</v>
      </c>
      <c r="H85" s="2"/>
      <c r="I85" s="1">
        <v>1</v>
      </c>
      <c r="J85" s="12">
        <f t="shared" si="1"/>
        <v>0</v>
      </c>
    </row>
    <row r="86" spans="1:10">
      <c r="A86" s="8" t="s">
        <v>128</v>
      </c>
      <c r="B86" s="2" t="s">
        <v>43</v>
      </c>
      <c r="C86" s="6" t="s">
        <v>42</v>
      </c>
      <c r="D86" s="1" t="s">
        <v>15</v>
      </c>
      <c r="E86" s="1">
        <v>1</v>
      </c>
      <c r="F86" s="1" t="s">
        <v>13</v>
      </c>
      <c r="G86" s="1" t="s">
        <v>266</v>
      </c>
      <c r="H86" s="2"/>
      <c r="I86" s="1">
        <v>1</v>
      </c>
      <c r="J86" s="12">
        <f t="shared" si="1"/>
        <v>0</v>
      </c>
    </row>
    <row r="87" spans="1:10" ht="43.2">
      <c r="A87" s="2"/>
      <c r="B87" s="2" t="s">
        <v>44</v>
      </c>
      <c r="C87" s="6" t="s">
        <v>46</v>
      </c>
      <c r="D87" s="1" t="s">
        <v>15</v>
      </c>
      <c r="E87" s="1">
        <v>30</v>
      </c>
      <c r="F87" s="1" t="s">
        <v>13</v>
      </c>
      <c r="G87" s="1" t="s">
        <v>266</v>
      </c>
      <c r="H87" s="32" t="s">
        <v>283</v>
      </c>
      <c r="I87" s="1">
        <v>16</v>
      </c>
      <c r="J87" s="12">
        <f t="shared" si="1"/>
        <v>14</v>
      </c>
    </row>
    <row r="88" spans="1:10" ht="28.8">
      <c r="A88" s="8" t="s">
        <v>129</v>
      </c>
      <c r="B88" s="2" t="s">
        <v>47</v>
      </c>
      <c r="C88" s="6" t="s">
        <v>73</v>
      </c>
      <c r="D88" s="1" t="s">
        <v>15</v>
      </c>
      <c r="E88" s="1">
        <v>3</v>
      </c>
      <c r="F88" s="1" t="s">
        <v>13</v>
      </c>
      <c r="G88" s="1" t="s">
        <v>266</v>
      </c>
      <c r="H88" s="2"/>
      <c r="I88" s="1">
        <v>3</v>
      </c>
      <c r="J88" s="12">
        <f t="shared" si="1"/>
        <v>0</v>
      </c>
    </row>
    <row r="89" spans="1:10" ht="57.6">
      <c r="A89" s="8" t="s">
        <v>129</v>
      </c>
      <c r="B89" s="2" t="s">
        <v>211</v>
      </c>
      <c r="C89" s="6" t="s">
        <v>48</v>
      </c>
      <c r="D89" s="1" t="s">
        <v>15</v>
      </c>
      <c r="E89" s="1">
        <v>3</v>
      </c>
      <c r="F89" s="1" t="s">
        <v>13</v>
      </c>
      <c r="G89" s="1" t="s">
        <v>266</v>
      </c>
      <c r="H89" s="2"/>
      <c r="I89" s="1">
        <v>3</v>
      </c>
      <c r="J89" s="12">
        <f t="shared" si="1"/>
        <v>0</v>
      </c>
    </row>
    <row r="90" spans="1:10" ht="28.8">
      <c r="A90" s="8" t="s">
        <v>130</v>
      </c>
      <c r="B90" s="2" t="s">
        <v>212</v>
      </c>
      <c r="C90" s="6" t="s">
        <v>49</v>
      </c>
      <c r="D90" s="1" t="s">
        <v>15</v>
      </c>
      <c r="E90" s="1">
        <v>6</v>
      </c>
      <c r="F90" s="1" t="s">
        <v>13</v>
      </c>
      <c r="G90" s="1" t="s">
        <v>266</v>
      </c>
      <c r="H90" s="2"/>
      <c r="I90" s="1">
        <v>6</v>
      </c>
      <c r="J90" s="12">
        <f t="shared" si="1"/>
        <v>0</v>
      </c>
    </row>
    <row r="91" spans="1:10" ht="28.8">
      <c r="A91" s="8" t="s">
        <v>131</v>
      </c>
      <c r="B91" s="2" t="s">
        <v>213</v>
      </c>
      <c r="C91" s="6" t="s">
        <v>50</v>
      </c>
      <c r="D91" s="1" t="s">
        <v>15</v>
      </c>
      <c r="E91" s="1">
        <v>1</v>
      </c>
      <c r="F91" s="1" t="s">
        <v>13</v>
      </c>
      <c r="G91" s="1" t="s">
        <v>266</v>
      </c>
      <c r="H91" s="2"/>
      <c r="I91" s="1">
        <v>1</v>
      </c>
      <c r="J91" s="12">
        <f t="shared" si="1"/>
        <v>0</v>
      </c>
    </row>
    <row r="92" spans="1:10" ht="28.8">
      <c r="A92" s="8" t="s">
        <v>132</v>
      </c>
      <c r="B92" s="2" t="s">
        <v>214</v>
      </c>
      <c r="C92" s="6" t="s">
        <v>51</v>
      </c>
      <c r="D92" s="1" t="s">
        <v>15</v>
      </c>
      <c r="E92" s="1">
        <v>1</v>
      </c>
      <c r="F92" s="1" t="s">
        <v>13</v>
      </c>
      <c r="G92" s="1" t="s">
        <v>266</v>
      </c>
      <c r="H92" s="2"/>
      <c r="I92" s="1">
        <v>1</v>
      </c>
      <c r="J92" s="12">
        <f t="shared" si="1"/>
        <v>0</v>
      </c>
    </row>
    <row r="93" spans="1:10" ht="28.8">
      <c r="A93" s="8" t="s">
        <v>133</v>
      </c>
      <c r="B93" s="2" t="s">
        <v>215</v>
      </c>
      <c r="C93" s="6" t="s">
        <v>52</v>
      </c>
      <c r="D93" s="1" t="s">
        <v>15</v>
      </c>
      <c r="E93" s="1">
        <v>14</v>
      </c>
      <c r="F93" s="1" t="s">
        <v>13</v>
      </c>
      <c r="G93" s="1" t="s">
        <v>266</v>
      </c>
      <c r="H93" s="2"/>
      <c r="I93" s="1">
        <v>7</v>
      </c>
      <c r="J93" s="12">
        <f t="shared" si="1"/>
        <v>7</v>
      </c>
    </row>
    <row r="94" spans="1:10" ht="43.2">
      <c r="A94" s="2" t="s">
        <v>286</v>
      </c>
      <c r="B94" s="2" t="s">
        <v>287</v>
      </c>
      <c r="C94" s="6" t="s">
        <v>288</v>
      </c>
      <c r="D94" s="1" t="s">
        <v>15</v>
      </c>
      <c r="E94" s="1"/>
      <c r="F94" s="2"/>
      <c r="G94" s="1"/>
      <c r="H94" s="32" t="s">
        <v>289</v>
      </c>
      <c r="I94" s="1">
        <v>2</v>
      </c>
      <c r="J94" s="12">
        <f t="shared" si="1"/>
        <v>-2</v>
      </c>
    </row>
    <row r="95" spans="1:10" ht="43.2">
      <c r="A95" s="8" t="s">
        <v>134</v>
      </c>
      <c r="B95" s="2" t="s">
        <v>216</v>
      </c>
      <c r="C95" s="6" t="s">
        <v>53</v>
      </c>
      <c r="D95" s="1" t="s">
        <v>15</v>
      </c>
      <c r="E95" s="1">
        <v>2</v>
      </c>
      <c r="F95" s="1" t="s">
        <v>13</v>
      </c>
      <c r="G95" s="1" t="s">
        <v>266</v>
      </c>
      <c r="H95" s="2"/>
      <c r="I95" s="1">
        <v>2</v>
      </c>
      <c r="J95" s="12">
        <f t="shared" si="1"/>
        <v>0</v>
      </c>
    </row>
    <row r="96" spans="1:10" ht="43.2">
      <c r="A96" s="2"/>
      <c r="B96" s="2" t="s">
        <v>217</v>
      </c>
      <c r="C96" s="6" t="s">
        <v>54</v>
      </c>
      <c r="D96" s="1" t="s">
        <v>15</v>
      </c>
      <c r="E96" s="1">
        <v>8</v>
      </c>
      <c r="F96" s="1" t="s">
        <v>13</v>
      </c>
      <c r="G96" s="1" t="s">
        <v>266</v>
      </c>
      <c r="H96" s="32" t="s">
        <v>284</v>
      </c>
      <c r="I96" s="1">
        <v>6</v>
      </c>
      <c r="J96" s="12">
        <f t="shared" si="1"/>
        <v>2</v>
      </c>
    </row>
    <row r="97" spans="1:10" ht="28.8">
      <c r="A97" s="8" t="s">
        <v>135</v>
      </c>
      <c r="B97" s="2" t="s">
        <v>218</v>
      </c>
      <c r="C97" s="6" t="s">
        <v>55</v>
      </c>
      <c r="D97" s="1" t="s">
        <v>15</v>
      </c>
      <c r="E97" s="1">
        <v>6</v>
      </c>
      <c r="F97" s="1" t="s">
        <v>13</v>
      </c>
      <c r="G97" s="1" t="s">
        <v>266</v>
      </c>
      <c r="H97" s="2"/>
      <c r="I97" s="1">
        <v>6</v>
      </c>
      <c r="J97" s="12">
        <f t="shared" si="1"/>
        <v>0</v>
      </c>
    </row>
    <row r="98" spans="1:10" ht="43.2">
      <c r="A98" s="8" t="s">
        <v>237</v>
      </c>
      <c r="B98" s="2" t="s">
        <v>219</v>
      </c>
      <c r="C98" s="6" t="s">
        <v>77</v>
      </c>
      <c r="D98" s="1" t="s">
        <v>15</v>
      </c>
      <c r="E98" s="1">
        <v>2</v>
      </c>
      <c r="F98" s="1" t="s">
        <v>13</v>
      </c>
      <c r="G98" s="1" t="s">
        <v>266</v>
      </c>
      <c r="H98" s="2"/>
      <c r="I98" s="1">
        <v>2</v>
      </c>
      <c r="J98" s="12">
        <f t="shared" si="1"/>
        <v>0</v>
      </c>
    </row>
    <row r="99" spans="1:10" ht="43.2">
      <c r="A99" s="8" t="s">
        <v>237</v>
      </c>
      <c r="B99" s="2" t="s">
        <v>220</v>
      </c>
      <c r="C99" s="6">
        <v>29450</v>
      </c>
      <c r="D99" s="1" t="s">
        <v>15</v>
      </c>
      <c r="E99" s="1">
        <v>2</v>
      </c>
      <c r="F99" s="1" t="s">
        <v>13</v>
      </c>
      <c r="G99" s="1" t="s">
        <v>266</v>
      </c>
      <c r="H99" s="2" t="s">
        <v>309</v>
      </c>
      <c r="I99" s="1"/>
      <c r="J99" s="12" t="str">
        <f t="shared" si="1"/>
        <v/>
      </c>
    </row>
    <row r="100" spans="1:10">
      <c r="A100" s="8" t="s">
        <v>238</v>
      </c>
      <c r="B100" s="2" t="s">
        <v>221</v>
      </c>
      <c r="C100" s="6" t="s">
        <v>56</v>
      </c>
      <c r="D100" s="1" t="s">
        <v>57</v>
      </c>
      <c r="E100" s="1">
        <v>2</v>
      </c>
      <c r="F100" s="1" t="s">
        <v>13</v>
      </c>
      <c r="G100" s="1" t="s">
        <v>266</v>
      </c>
      <c r="H100" s="2"/>
      <c r="I100" s="1">
        <v>2</v>
      </c>
      <c r="J100" s="12">
        <f t="shared" si="1"/>
        <v>0</v>
      </c>
    </row>
    <row r="101" spans="1:10">
      <c r="A101" s="8"/>
      <c r="B101" s="2" t="s">
        <v>222</v>
      </c>
      <c r="C101" s="6" t="s">
        <v>74</v>
      </c>
      <c r="D101" s="1" t="s">
        <v>57</v>
      </c>
      <c r="E101" s="1">
        <v>1</v>
      </c>
      <c r="F101" s="1" t="s">
        <v>13</v>
      </c>
      <c r="G101" s="1" t="s">
        <v>266</v>
      </c>
      <c r="H101" s="32"/>
      <c r="I101" s="1"/>
      <c r="J101" s="12" t="str">
        <f t="shared" si="1"/>
        <v/>
      </c>
    </row>
    <row r="102" spans="1:10" ht="57.6">
      <c r="A102" s="8" t="s">
        <v>95</v>
      </c>
      <c r="B102" s="2" t="s">
        <v>223</v>
      </c>
      <c r="C102" s="6" t="s">
        <v>76</v>
      </c>
      <c r="D102" s="1" t="s">
        <v>75</v>
      </c>
      <c r="E102" s="1">
        <v>1</v>
      </c>
      <c r="F102" s="1" t="s">
        <v>13</v>
      </c>
      <c r="G102" s="1" t="s">
        <v>266</v>
      </c>
      <c r="H102" s="19" t="s">
        <v>311</v>
      </c>
      <c r="I102" s="1"/>
      <c r="J102" s="12" t="str">
        <f t="shared" si="1"/>
        <v/>
      </c>
    </row>
    <row r="103" spans="1:10" ht="43.2">
      <c r="A103" s="2" t="s">
        <v>290</v>
      </c>
      <c r="B103" s="2" t="s">
        <v>292</v>
      </c>
      <c r="C103" s="6" t="s">
        <v>76</v>
      </c>
      <c r="D103" s="1" t="s">
        <v>75</v>
      </c>
      <c r="E103" s="1"/>
      <c r="F103" s="1"/>
      <c r="G103" s="1"/>
      <c r="H103" s="32" t="s">
        <v>291</v>
      </c>
      <c r="I103" s="1">
        <v>1</v>
      </c>
      <c r="J103" s="12">
        <f t="shared" si="1"/>
        <v>-1</v>
      </c>
    </row>
    <row r="104" spans="1:10" ht="43.2">
      <c r="A104" s="8" t="s">
        <v>96</v>
      </c>
      <c r="B104" s="2" t="s">
        <v>224</v>
      </c>
      <c r="C104" s="6">
        <v>2864011</v>
      </c>
      <c r="D104" s="1" t="s">
        <v>37</v>
      </c>
      <c r="E104" s="1">
        <v>2</v>
      </c>
      <c r="F104" s="1" t="s">
        <v>13</v>
      </c>
      <c r="G104" s="1" t="s">
        <v>266</v>
      </c>
      <c r="H104" s="2"/>
      <c r="I104" s="1">
        <v>2</v>
      </c>
      <c r="J104" s="12">
        <f t="shared" si="1"/>
        <v>0</v>
      </c>
    </row>
    <row r="105" spans="1:10" ht="28.8">
      <c r="A105" s="8" t="s">
        <v>136</v>
      </c>
      <c r="B105" s="2" t="s">
        <v>225</v>
      </c>
      <c r="C105" s="6" t="s">
        <v>58</v>
      </c>
      <c r="D105" s="1" t="s">
        <v>226</v>
      </c>
      <c r="E105" s="1">
        <v>2</v>
      </c>
      <c r="F105" s="1" t="s">
        <v>13</v>
      </c>
      <c r="G105" s="11" t="s">
        <v>267</v>
      </c>
      <c r="H105" s="2" t="s">
        <v>270</v>
      </c>
      <c r="I105" s="1"/>
      <c r="J105" s="12" t="str">
        <f t="shared" si="1"/>
        <v/>
      </c>
    </row>
    <row r="106" spans="1:10" ht="43.2">
      <c r="A106" s="8" t="s">
        <v>97</v>
      </c>
      <c r="B106" s="2" t="s">
        <v>230</v>
      </c>
      <c r="C106" s="6" t="s">
        <v>60</v>
      </c>
      <c r="D106" s="1" t="s">
        <v>63</v>
      </c>
      <c r="E106" s="1">
        <v>5</v>
      </c>
      <c r="F106" s="1" t="s">
        <v>13</v>
      </c>
      <c r="G106" s="4" t="s">
        <v>266</v>
      </c>
      <c r="H106" s="19" t="s">
        <v>304</v>
      </c>
      <c r="I106" s="1"/>
      <c r="J106" s="12" t="str">
        <f t="shared" si="1"/>
        <v/>
      </c>
    </row>
    <row r="107" spans="1:10" ht="57.6">
      <c r="A107" s="8" t="s">
        <v>250</v>
      </c>
      <c r="B107" s="2" t="s">
        <v>231</v>
      </c>
      <c r="C107" s="6" t="s">
        <v>61</v>
      </c>
      <c r="D107" s="1" t="s">
        <v>63</v>
      </c>
      <c r="E107" s="1">
        <v>13</v>
      </c>
      <c r="F107" s="1" t="s">
        <v>13</v>
      </c>
      <c r="G107" s="4" t="s">
        <v>266</v>
      </c>
      <c r="H107" s="32" t="s">
        <v>303</v>
      </c>
      <c r="I107" s="1">
        <v>9</v>
      </c>
      <c r="J107" s="12">
        <f t="shared" si="1"/>
        <v>4</v>
      </c>
    </row>
    <row r="108" spans="1:10" ht="57.6">
      <c r="A108" s="8" t="s">
        <v>250</v>
      </c>
      <c r="B108" s="2" t="s">
        <v>232</v>
      </c>
      <c r="C108" s="6" t="s">
        <v>62</v>
      </c>
      <c r="D108" s="1" t="s">
        <v>63</v>
      </c>
      <c r="E108" s="1">
        <v>13</v>
      </c>
      <c r="F108" s="1" t="s">
        <v>13</v>
      </c>
      <c r="G108" s="4" t="s">
        <v>266</v>
      </c>
      <c r="H108" s="32" t="s">
        <v>303</v>
      </c>
      <c r="I108" s="1">
        <v>9</v>
      </c>
      <c r="J108" s="12">
        <f t="shared" si="1"/>
        <v>4</v>
      </c>
    </row>
    <row r="109" spans="1:10" ht="57.6">
      <c r="A109" s="8" t="s">
        <v>243</v>
      </c>
      <c r="B109" s="2" t="s">
        <v>244</v>
      </c>
      <c r="C109" s="6" t="s">
        <v>80</v>
      </c>
      <c r="D109" s="1" t="s">
        <v>63</v>
      </c>
      <c r="E109" s="1">
        <v>6</v>
      </c>
      <c r="F109" s="1" t="s">
        <v>13</v>
      </c>
      <c r="G109" s="4" t="s">
        <v>266</v>
      </c>
      <c r="H109" s="2" t="s">
        <v>312</v>
      </c>
      <c r="I109" s="1"/>
      <c r="J109" s="12" t="str">
        <f t="shared" si="1"/>
        <v/>
      </c>
    </row>
    <row r="110" spans="1:10" ht="45" customHeight="1">
      <c r="A110" s="8" t="s">
        <v>249</v>
      </c>
      <c r="B110" s="2" t="s">
        <v>245</v>
      </c>
      <c r="C110" s="6" t="s">
        <v>81</v>
      </c>
      <c r="D110" s="1" t="s">
        <v>63</v>
      </c>
      <c r="E110" s="1">
        <v>3</v>
      </c>
      <c r="F110" s="1" t="s">
        <v>13</v>
      </c>
      <c r="G110" s="4" t="s">
        <v>266</v>
      </c>
      <c r="H110" s="2" t="s">
        <v>312</v>
      </c>
      <c r="I110" s="1"/>
      <c r="J110" s="12" t="str">
        <f t="shared" si="1"/>
        <v/>
      </c>
    </row>
    <row r="111" spans="1:10" ht="57.6">
      <c r="A111" s="8" t="s">
        <v>137</v>
      </c>
      <c r="B111" s="2" t="s">
        <v>233</v>
      </c>
      <c r="C111" s="6" t="s">
        <v>78</v>
      </c>
      <c r="D111" s="1" t="s">
        <v>79</v>
      </c>
      <c r="E111" s="1">
        <v>1</v>
      </c>
      <c r="F111" s="1" t="s">
        <v>13</v>
      </c>
      <c r="G111" s="1" t="s">
        <v>266</v>
      </c>
      <c r="H111" s="2"/>
      <c r="I111" s="1">
        <v>1</v>
      </c>
      <c r="J111" s="12">
        <f t="shared" si="1"/>
        <v>0</v>
      </c>
    </row>
    <row r="112" spans="1:10" ht="72">
      <c r="A112" s="8" t="s">
        <v>138</v>
      </c>
      <c r="B112" s="2" t="s">
        <v>234</v>
      </c>
      <c r="C112" s="6" t="s">
        <v>235</v>
      </c>
      <c r="D112" s="1" t="s">
        <v>79</v>
      </c>
      <c r="E112" s="1">
        <v>5</v>
      </c>
      <c r="F112" s="1" t="s">
        <v>13</v>
      </c>
      <c r="G112" s="1" t="s">
        <v>266</v>
      </c>
      <c r="H112" s="32" t="s">
        <v>285</v>
      </c>
      <c r="I112" s="1">
        <v>7</v>
      </c>
      <c r="J112" s="12">
        <f t="shared" si="1"/>
        <v>-2</v>
      </c>
    </row>
    <row r="113" spans="1:10" ht="115.2">
      <c r="A113" s="8" t="s">
        <v>139</v>
      </c>
      <c r="B113" s="2" t="s">
        <v>236</v>
      </c>
      <c r="C113" s="6" t="s">
        <v>99</v>
      </c>
      <c r="D113" s="1" t="s">
        <v>79</v>
      </c>
      <c r="E113" s="1">
        <v>2</v>
      </c>
      <c r="F113" s="1" t="s">
        <v>13</v>
      </c>
      <c r="G113" s="1" t="s">
        <v>266</v>
      </c>
      <c r="H113" s="2"/>
      <c r="I113" s="1">
        <v>2</v>
      </c>
      <c r="J113" s="12">
        <f t="shared" si="1"/>
        <v>0</v>
      </c>
    </row>
    <row r="114" spans="1:10">
      <c r="A114" s="8"/>
      <c r="B114" s="2"/>
      <c r="C114" s="6"/>
      <c r="D114" s="1"/>
      <c r="E114" s="1"/>
      <c r="F114" s="1"/>
      <c r="G114" s="1"/>
      <c r="H114" s="2"/>
      <c r="I114" s="1"/>
      <c r="J114" s="12"/>
    </row>
    <row r="115" spans="1:10" ht="57.6">
      <c r="A115" s="2"/>
      <c r="B115" s="2" t="s">
        <v>227</v>
      </c>
      <c r="C115" s="6" t="s">
        <v>59</v>
      </c>
      <c r="D115" s="1" t="s">
        <v>17</v>
      </c>
      <c r="E115" s="1">
        <v>1</v>
      </c>
      <c r="F115" s="1" t="s">
        <v>13</v>
      </c>
      <c r="G115" s="1" t="s">
        <v>266</v>
      </c>
      <c r="H115" s="2"/>
      <c r="I115" s="1"/>
      <c r="J115" s="12" t="str">
        <f t="shared" si="1"/>
        <v/>
      </c>
    </row>
    <row r="116" spans="1:10" ht="43.2">
      <c r="A116" s="8" t="s">
        <v>252</v>
      </c>
      <c r="B116" s="2" t="s">
        <v>228</v>
      </c>
      <c r="C116" s="6" t="s">
        <v>229</v>
      </c>
      <c r="D116" s="1" t="s">
        <v>17</v>
      </c>
      <c r="E116" s="1">
        <v>1</v>
      </c>
      <c r="F116" s="1" t="s">
        <v>13</v>
      </c>
      <c r="G116" s="1" t="s">
        <v>266</v>
      </c>
      <c r="H116" s="2"/>
      <c r="I116" s="1"/>
      <c r="J116" s="12" t="str">
        <f t="shared" si="1"/>
        <v/>
      </c>
    </row>
    <row r="117" spans="1:10" ht="28.8">
      <c r="A117" s="8"/>
      <c r="B117" s="2" t="s">
        <v>180</v>
      </c>
      <c r="C117" s="6">
        <v>1020100000</v>
      </c>
      <c r="D117" s="1" t="s">
        <v>171</v>
      </c>
      <c r="E117" s="1">
        <v>100</v>
      </c>
      <c r="F117" s="1" t="s">
        <v>13</v>
      </c>
      <c r="G117" s="1" t="s">
        <v>266</v>
      </c>
      <c r="H117" s="2"/>
      <c r="I117" s="1"/>
      <c r="J117" s="12" t="str">
        <f t="shared" si="1"/>
        <v/>
      </c>
    </row>
    <row r="118" spans="1:10" ht="48.6" customHeight="1">
      <c r="A118" s="8" t="s">
        <v>253</v>
      </c>
      <c r="B118" s="2" t="s">
        <v>254</v>
      </c>
      <c r="C118" s="7" t="s">
        <v>256</v>
      </c>
      <c r="D118" s="1" t="s">
        <v>17</v>
      </c>
      <c r="E118" s="1">
        <v>1</v>
      </c>
      <c r="F118" s="1" t="s">
        <v>13</v>
      </c>
      <c r="G118" s="11" t="s">
        <v>267</v>
      </c>
      <c r="H118" s="2" t="s">
        <v>271</v>
      </c>
      <c r="I118" s="1"/>
      <c r="J118" s="12" t="str">
        <f t="shared" si="1"/>
        <v/>
      </c>
    </row>
    <row r="119" spans="1:10" ht="48.6" customHeight="1">
      <c r="A119" s="8" t="s">
        <v>116</v>
      </c>
      <c r="B119" s="2" t="s">
        <v>257</v>
      </c>
      <c r="C119" s="7" t="s">
        <v>255</v>
      </c>
      <c r="D119" s="1" t="s">
        <v>17</v>
      </c>
      <c r="E119" s="1">
        <v>1</v>
      </c>
      <c r="F119" s="1" t="s">
        <v>13</v>
      </c>
      <c r="G119" s="11" t="s">
        <v>267</v>
      </c>
      <c r="H119" s="2" t="s">
        <v>271</v>
      </c>
      <c r="I119" s="1"/>
      <c r="J119" s="12" t="str">
        <f t="shared" si="1"/>
        <v/>
      </c>
    </row>
    <row r="120" spans="1:10" ht="48.6" customHeight="1">
      <c r="A120" s="8" t="s">
        <v>118</v>
      </c>
      <c r="B120" s="2" t="s">
        <v>259</v>
      </c>
      <c r="C120" s="10" t="s">
        <v>258</v>
      </c>
      <c r="D120" s="1" t="s">
        <v>17</v>
      </c>
      <c r="E120" s="1">
        <v>1</v>
      </c>
      <c r="F120" s="1" t="s">
        <v>13</v>
      </c>
      <c r="G120" s="11" t="s">
        <v>267</v>
      </c>
      <c r="H120" s="2" t="s">
        <v>271</v>
      </c>
      <c r="I120" s="1"/>
      <c r="J120" s="12" t="str">
        <f t="shared" si="1"/>
        <v/>
      </c>
    </row>
    <row r="121" spans="1:10" ht="66.599999999999994" customHeight="1">
      <c r="A121" s="8" t="s">
        <v>260</v>
      </c>
      <c r="B121" s="2" t="s">
        <v>264</v>
      </c>
      <c r="C121" s="10" t="s">
        <v>262</v>
      </c>
      <c r="D121" s="1" t="s">
        <v>17</v>
      </c>
      <c r="E121" s="1">
        <v>1</v>
      </c>
      <c r="F121" s="1" t="s">
        <v>13</v>
      </c>
      <c r="G121" s="11" t="s">
        <v>267</v>
      </c>
      <c r="H121" s="2" t="s">
        <v>271</v>
      </c>
      <c r="I121" s="1"/>
      <c r="J121" s="12" t="str">
        <f t="shared" si="1"/>
        <v/>
      </c>
    </row>
    <row r="122" spans="1:10" ht="28.8">
      <c r="A122" s="8" t="s">
        <v>261</v>
      </c>
      <c r="B122" s="2" t="s">
        <v>265</v>
      </c>
      <c r="C122" s="10" t="s">
        <v>263</v>
      </c>
      <c r="D122" s="1" t="s">
        <v>17</v>
      </c>
      <c r="E122" s="1">
        <v>1</v>
      </c>
      <c r="F122" s="1" t="s">
        <v>13</v>
      </c>
      <c r="G122" s="11" t="s">
        <v>267</v>
      </c>
      <c r="H122" s="2" t="s">
        <v>271</v>
      </c>
      <c r="I122" s="1"/>
      <c r="J122" s="12" t="str">
        <f t="shared" si="1"/>
        <v/>
      </c>
    </row>
    <row r="123" spans="1:10">
      <c r="A123" s="8"/>
      <c r="B123" s="2"/>
      <c r="C123" s="6"/>
      <c r="D123" s="1"/>
      <c r="E123" s="1"/>
      <c r="F123" s="1"/>
      <c r="G123" s="1"/>
      <c r="H123" s="2"/>
      <c r="I123" s="5"/>
      <c r="J123" s="12"/>
    </row>
    <row r="124" spans="1:10" ht="409.2" customHeight="1">
      <c r="A124" s="20"/>
      <c r="B124" s="21" t="s">
        <v>248</v>
      </c>
      <c r="C124" s="22" t="s">
        <v>0</v>
      </c>
      <c r="D124" s="13" t="s">
        <v>15</v>
      </c>
      <c r="E124" s="23">
        <v>1</v>
      </c>
      <c r="F124" s="13" t="s">
        <v>16</v>
      </c>
      <c r="G124" s="13" t="s">
        <v>266</v>
      </c>
      <c r="H124" s="24"/>
      <c r="I124" s="25"/>
      <c r="J124" s="14" t="str">
        <f>IF(ISBLANK(I124), "", E124-I124)</f>
        <v/>
      </c>
    </row>
    <row r="125" spans="1:10" ht="112.8" customHeight="1">
      <c r="A125" s="20"/>
      <c r="B125" s="21"/>
      <c r="C125" s="22"/>
      <c r="D125" s="13"/>
      <c r="E125" s="23"/>
      <c r="F125" s="13"/>
      <c r="G125" s="13"/>
      <c r="H125" s="24"/>
      <c r="I125" s="26"/>
      <c r="J125" s="15"/>
    </row>
  </sheetData>
  <autoFilter ref="B3:F117" xr:uid="{C0EE72B6-5971-482C-ACAC-23B9DA9175A8}"/>
  <mergeCells count="10">
    <mergeCell ref="I124:I125"/>
    <mergeCell ref="J124:J125"/>
    <mergeCell ref="G124:G125"/>
    <mergeCell ref="H124:H125"/>
    <mergeCell ref="A124:A125"/>
    <mergeCell ref="D124:D125"/>
    <mergeCell ref="E124:E125"/>
    <mergeCell ref="F124:F125"/>
    <mergeCell ref="B124:B125"/>
    <mergeCell ref="C124:C125"/>
  </mergeCells>
  <conditionalFormatting sqref="J1:J124">
    <cfRule type="cellIs" dxfId="2" priority="5" stopIfTrue="1" operator="lessThan">
      <formula>0</formula>
    </cfRule>
  </conditionalFormatting>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56770EA2D3243A4E871C258C6397ABCA" ma:contentTypeVersion="16" ma:contentTypeDescription="Stvaranje novog dokumenta." ma:contentTypeScope="" ma:versionID="1f70dd421eaced105b84c6f21802dadb">
  <xsd:schema xmlns:xsd="http://www.w3.org/2001/XMLSchema" xmlns:xs="http://www.w3.org/2001/XMLSchema" xmlns:p="http://schemas.microsoft.com/office/2006/metadata/properties" xmlns:ns2="cb99a263-0cc5-412a-ad04-307615702435" xmlns:ns3="a486d5e1-3a6b-439a-b9ea-fc051f5e5abb" targetNamespace="http://schemas.microsoft.com/office/2006/metadata/properties" ma:root="true" ma:fieldsID="8bb49020e3ff27458e9c0ff97c86a345" ns2:_="" ns3:_="">
    <xsd:import namespace="cb99a263-0cc5-412a-ad04-307615702435"/>
    <xsd:import namespace="a486d5e1-3a6b-439a-b9ea-fc051f5e5ab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GenerationTime" minOccurs="0"/>
                <xsd:element ref="ns3:MediaServiceEventHashCode" minOccurs="0"/>
                <xsd:element ref="ns3:MediaServiceOCR" minOccurs="0"/>
                <xsd:element ref="ns3:MediaServiceDateTaken" minOccurs="0"/>
                <xsd:element ref="ns3:MediaServiceLocation" minOccurs="0"/>
                <xsd:element ref="ns3:MediaServiceObjectDetectorVersions" minOccurs="0"/>
                <xsd:element ref="ns3:MediaLengthInSecond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99a263-0cc5-412a-ad04-307615702435" elementFormDefault="qualified">
    <xsd:import namespace="http://schemas.microsoft.com/office/2006/documentManagement/types"/>
    <xsd:import namespace="http://schemas.microsoft.com/office/infopath/2007/PartnerControls"/>
    <xsd:element name="SharedWithUsers" ma:index="8" nillable="true" ma:displayName="Zajednički se koristi s"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ji o zajedničkom korištenju" ma:internalName="SharedWithDetails" ma:readOnly="true">
      <xsd:simpleType>
        <xsd:restriction base="dms:Note">
          <xsd:maxLength value="255"/>
        </xsd:restriction>
      </xsd:simpleType>
    </xsd:element>
    <xsd:element name="TaxCatchAll" ma:index="14" nillable="true" ma:displayName="Taxonomy Catch All Column" ma:hidden="true" ma:list="{9370db87-2c73-48f3-ac19-a91cfe41422e}" ma:internalName="TaxCatchAll" ma:showField="CatchAllData" ma:web="cb99a263-0cc5-412a-ad04-307615702435">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486d5e1-3a6b-439a-b9ea-fc051f5e5ab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Oznake slika" ma:readOnly="false" ma:fieldId="{5cf76f15-5ced-4ddc-b409-7134ff3c332f}" ma:taxonomyMulti="true" ma:sspId="ba2cfd72-6e19-40fc-b474-3fa01fc79790"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Vrsta sadržaja"/>
        <xsd:element ref="dc:title" minOccurs="0" maxOccurs="1" ma:index="4" ma:displayName="Naslov"/>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b99a263-0cc5-412a-ad04-307615702435" xsi:nil="true"/>
    <lcf76f155ced4ddcb4097134ff3c332f xmlns="a486d5e1-3a6b-439a-b9ea-fc051f5e5abb">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49540C61-42DE-441F-99EC-FC1CAD6BA2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b99a263-0cc5-412a-ad04-307615702435"/>
    <ds:schemaRef ds:uri="a486d5e1-3a6b-439a-b9ea-fc051f5e5ab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24FD9F4-22C0-48AF-B58A-FBB105B014E9}">
  <ds:schemaRefs>
    <ds:schemaRef ds:uri="http://schemas.microsoft.com/sharepoint/v3/contenttype/forms"/>
  </ds:schemaRefs>
</ds:datastoreItem>
</file>

<file path=customXml/itemProps3.xml><?xml version="1.0" encoding="utf-8"?>
<ds:datastoreItem xmlns:ds="http://schemas.openxmlformats.org/officeDocument/2006/customXml" ds:itemID="{4194A03B-52E1-43AD-BD33-DFD27C6643B2}">
  <ds:schemaRefs>
    <ds:schemaRef ds:uri="http://schemas.microsoft.com/office/2006/metadata/properties"/>
    <ds:schemaRef ds:uri="http://schemas.microsoft.com/office/infopath/2007/PartnerControls"/>
    <ds:schemaRef ds:uri="cb99a263-0cc5-412a-ad04-307615702435"/>
    <ds:schemaRef ds:uri="a486d5e1-3a6b-439a-b9ea-fc051f5e5abb"/>
  </ds:schemaRefs>
</ds:datastoreItem>
</file>

<file path=customXml/itemProps4.xml><?xml version="1.0" encoding="utf-8"?>
<ds:datastoreItem xmlns:ds="http://schemas.openxmlformats.org/officeDocument/2006/customXml" ds:itemID="{35685B3D-A21C-4F46-B1E3-5F4E57DE48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Zadaci</vt:lpstr>
      <vt:lpstr>Specifikacija opreme - HEP-v2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Patrik</dc:creator>
  <cp:lastModifiedBy>Fran Švarc</cp:lastModifiedBy>
  <dcterms:created xsi:type="dcterms:W3CDTF">2015-06-05T18:17:20Z</dcterms:created>
  <dcterms:modified xsi:type="dcterms:W3CDTF">2026-08-07T12:15:46Z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0x01010056770EA2D3243A4E871C258C6397ABCA</vt:lpwstr>
  </property>
  <property fmtid="{D5CDD505-2E9C-101B-9397-08002B2CF9AE}" pid="3" name="MediaServiceImageTags">
    <vt:lpwstr/>
  </property>
</Properties>
</file>