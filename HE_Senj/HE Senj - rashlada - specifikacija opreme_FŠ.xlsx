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showObjects="none" dateCompatibility="0" defaultThemeVersion="202300"/>
  <mc:AlternateContent xmlns:mc="http://schemas.openxmlformats.org/markup-compatibility/2006">
    <mc:Choice Requires="x15">
      <x15ac:absPath xmlns:x15ac="http://schemas.microsoft.com/office/spreadsheetml/2010/11/ac" url="C:\Users\odojak\Brodotehna\Projekti\HE_Senj\"/>
    </mc:Choice>
  </mc:AlternateContent>
  <xr:revisionPtr revIDLastSave="0" documentId="8_{E60EA7F2-A171-49A2-BA79-3E0083D3EF54}" xr6:coauthVersionLast="47" xr6:coauthVersionMax="47" xr10:uidLastSave="{00000000-0000-0000-0000-000000000000}"/>
  <bookViews>
    <workbookView xWindow="-38520" yWindow="-2700" windowWidth="38640" windowHeight="21120" activeTab="1" xr2:uid="{324E8A42-1211-42FF-BECF-D2BB17870C58}"/>
  </bookViews>
  <sheets>
    <sheet name="Zadaci" sheetId="1" r:id="rId1"/>
    <sheet name="Specifikacija_opreme_-_HEP-v2" sheetId="2" r:id="rId2"/>
    <sheet name="Sheet1" sheetId="3" r:id="rId3"/>
  </sheets>
  <definedNames>
    <definedName name="_xlnm._FilterDatabase" localSheetId="1" hidden="1">'Specifikacija_opreme_-_HEP-v2'!$B$1:$F$114</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34" i="2" l="1"/>
  <c r="I53" i="2"/>
  <c r="J53" i="2" s="1"/>
  <c r="J123" i="2"/>
  <c r="J121" i="2"/>
  <c r="J120" i="2"/>
  <c r="J119" i="2"/>
  <c r="J118" i="2"/>
  <c r="J117" i="2"/>
  <c r="J116" i="2"/>
  <c r="J115" i="2"/>
  <c r="J114"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1"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137160</xdr:colOff>
                <xdr:row>227</xdr:row>
                <xdr:rowOff>121920</xdr:rowOff>
              </from>
              <to>
                <xdr:col>7</xdr:col>
                <xdr:colOff>1965960</xdr:colOff>
                <xdr:row>232</xdr:row>
                <xdr:rowOff>121920</xdr:rowOff>
              </to>
            </anchor>
          </commentPr>
        </mc:Fallback>
      </mc:AlternateContent>
    </comment>
  </commentList>
</comments>
</file>

<file path=xl/sharedStrings.xml><?xml version="1.0" encoding="utf-8"?>
<sst xmlns="http://purl.oclc.org/ooxml/spreadsheetml/main" count="675" uniqueCount="312">
  <si>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</si>
  <si>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</si>
  <si>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</si>
  <si>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</si>
  <si>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</si>
  <si>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</si>
  <si>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</si>
  <si>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</si>
  <si>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</si>
  <si>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</si>
  <si>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</si>
  <si>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</si>
  <si>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</si>
  <si>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</si>
  <si>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</si>
  <si>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</si>
  <si>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</si>
  <si>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</si>
  <si>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</si>
  <si>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</si>
  <si>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</si>
  <si>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</si>
  <si>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</si>
  <si>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</si>
  <si>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</si>
  <si>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</si>
  <si>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</si>
  <si>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</si>
  <si>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</si>
  <si>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</si>
  <si>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</si>
  <si>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</si>
  <si>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</si>
  <si>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</si>
  <si>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</si>
  <si>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</si>
  <si>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</si>
  <si>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</si>
  <si>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</si>
  <si>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</si>
  <si>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</si>
  <si>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Rasvjeta LED, 100...240V AC, 900 lm, L=437 mm, bez utičnice</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</si>
  <si>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</si>
  <si>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</si>
  <si>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</si>
  <si>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</si>
  <si>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</si>
  <si>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</si>
  <si>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</si>
  <si>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</si>
  <si>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</si>
  <si>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</si>
  <si>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</si>
  <si>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</si>
  <si>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</si>
  <si>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</si>
  <si>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</si>
  <si>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</si>
  <si>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</si>
  <si>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</si>
  <si>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</si>
  <si>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</si>
  <si>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</si>
  <si>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</si>
  <si>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</si>
  <si>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</si>
  <si>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</si>
  <si>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</si>
  <si>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</si>
  <si>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</si>
  <si>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</si>
  <si>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</si>
  <si>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</si>
  <si>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</si>
  <si>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</si>
  <si>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</si>
  <si>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</si>
  <si>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</si>
  <si>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</si>
  <si>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</si>
  <si>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</si>
  <si>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</si>
  <si>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</si>
  <si>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</si>
  <si>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</si>
  <si>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</si>
  <si>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</si>
  <si>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</si>
  <si>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</si>
  <si>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</si>
  <si>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ACT20M-AI-AO-ES Analogno izolacijsko pojačalo, Konfigurabilno, bez napajanja senzora, Točnost &lt;0,2 % mjernog raspona, Ulaz: I / U, Izlaz: I / U</t>
  </si>
  <si>
    <t>Weidmüller</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</si>
  <si>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</si>
  <si>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</si>
  <si>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</si>
  <si>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</si>
  <si>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TRS 230VUC 2CO TERMSERIES, Relejni modul, 87.8 x  89.6 x 12.8  mm, Broj kontakata: 2, CO kontakt AgNi, Nazivni upravljački napon: 230 V UC ±5 %, Trajna struja: 8 A, Vijčani priključak, Dostupna tipka za testiranje: Ne</t>
  </si>
  <si>
    <t>TCC 12.8/26 BL TERMSERIES poprečni spojni most TCC 12.8/26 BL; 26-polni; razmak 12,8 mm; nazivni napon 300 V; nazivna struja 17,5 A; mogućnost rezanja na željenu duljinu; izoliran i zaštićen od dodira; plava boja; montaža uticanjem</t>
  </si>
  <si>
    <t>TRS 24VDC 1CO TERMSERIES, Relejni modul, Broj kontakata: 1, CO kontakt AgNi, Nazivni upravljački napon: 24 V DC ±20 %, Trajna struja: 6 A, Vijčani priključak, zaštitna dioda, Dostupna tipka za testiranje: Ne</t>
  </si>
  <si>
    <t>-2K12, -2K13</t>
  </si>
  <si>
    <t>Pomoćni (neblokirajući) relej,  zavojnica 24 V DC, preklopna struja 10 A, 3 preklopna kontakta (3PDT/3 Form C), 3 pola, jednopolni AgNi kontakti</t>
  </si>
  <si>
    <t xml:space="preserve">700-HA33Z24-3-4 </t>
  </si>
  <si>
    <t>ALLEN BRADLEY</t>
  </si>
  <si>
    <t>TRS 24VDC 2CO TERMSERIES, Relejni modul, Broj kontakata: 2, CO kontakt AgNi, Nazivni upravljački napon: 24 V DC ±20 %, Trajna struja: 8 A, Vijčani priključak, zaštitna dioda, Dostupna tipka za testiranje: Ne</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</si>
  <si>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</si>
  <si>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</si>
  <si>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</si>
  <si>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</si>
  <si>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</si>
  <si>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</si>
  <si>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</si>
  <si>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</si>
  <si>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</si>
  <si>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</si>
  <si>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</si>
  <si>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</si>
  <si>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</si>
  <si>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</si>
  <si>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</si>
  <si>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</si>
  <si>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</si>
  <si>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</si>
  <si>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</si>
  <si>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</si>
  <si>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</si>
  <si>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</si>
  <si>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</si>
  <si>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</si>
  <si>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</si>
  <si>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</si>
  <si>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</si>
  <si>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Svjetleće tijelo, leća: CRVENA, prednji okvir: sivi; 35×35mm, podnožje za sijalicu sa vijčanim priključkom</t>
  </si>
  <si>
    <t>Svjetleće tijelo, leća: ZELENA, prednji okvir: sivi; 35×35mm, podnožje za sijalicu sa vijčanim priključkom</t>
  </si>
  <si>
    <t>704.202.508</t>
  </si>
  <si>
    <t>Svjetleće tijelo, leća: PROZIRNA, prednji okvir: sivi; 35×35mm, podnožje za sijalicu sa vijčanim priključkom</t>
  </si>
  <si>
    <t>704.202.708</t>
  </si>
  <si>
    <t>-H403, H503, -H603</t>
  </si>
  <si>
    <t>Svjetleće tijelo, leća: ŽUTA, prednji okvir: sivi; 35×35mm, podnožje za sijalicu sa vijčanim priključkom</t>
  </si>
  <si>
    <t>704.202.408</t>
  </si>
  <si>
    <t>Svjetleće tipkalo, leća: CRVENA, prednji okvir: crni; 35×35mm, podnožje za sijalicu sa vijčanim priključkom</t>
  </si>
  <si>
    <t>704.229.200</t>
  </si>
  <si>
    <t>-S103, -S203, -S303</t>
  </si>
  <si>
    <t>Svjetleće tipkalo, leća: ZELENA, prednji okvir: crni; 35×35mm, podnožje za sijalicu sa vijčanim priključkom</t>
  </si>
  <si>
    <t>704.229.500</t>
  </si>
  <si>
    <t>-S102, -S202, -S302</t>
  </si>
  <si>
    <t>Tipkalo prozirno: PROZIRNA, prednji okvir: crni; 35×35mm, podnožje za sijalicu sa vijčanim priključkom</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</si>
  <si>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</si>
  <si>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</si>
  <si>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</si>
  <si>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</si>
  <si>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</si>
  <si>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</si>
  <si>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</si>
  <si>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</si>
  <si>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</si>
  <si>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</si>
  <si>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</si>
  <si>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</si>
  <si>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</si>
  <si>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</si>
  <si>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</si>
  <si>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</si>
  <si>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</si>
  <si>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</si>
  <si>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</si>
  <si>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</si>
  <si>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</si>
  <si>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</si>
  <si>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</si>
  <si>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</si>
  <si>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</si>
  <si>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</si>
  <si>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TeSys GV2-termo-magnetski-prekidač-1...1,6 A-priključci vijčanim stezaljkama</t>
  </si>
  <si>
    <t>GV2ME06AP</t>
  </si>
  <si>
    <t>TeSys GV blok pomoćnih kontakata, za motorne prekidače GV2 i GV3, pomoćni kontakt - 1 NO + 1 NC, Nazivni radni napon: 24...240 V AC, 24...60 V DC</t>
  </si>
  <si>
    <t>GVAE11</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</si>
  <si>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</si>
  <si>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</si>
  <si>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</si>
  <si>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</si>
  <si>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</si>
  <si>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</si>
  <si>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</si>
  <si>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</si>
  <si>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iC60L,  minijaturni prekidač (MCB), P, Nazivna struja 6 A, C krivulja isključenja</t>
  </si>
  <si>
    <t>A9F94106</t>
  </si>
  <si>
    <t>-F35 -F39</t>
  </si>
  <si>
    <t>Auxiliary contact, Acti9, iSD+OF, 2 C/O, 2mA to 100mA, 24VAC to 250VAC, 24VDC to 220VDC, top and bottom connection</t>
  </si>
  <si>
    <t>A9A26919</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</si>
  <si>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</si>
  <si>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</si>
  <si>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</si>
  <si>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</si>
  <si>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</si>
  <si>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</si>
  <si>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</si>
  <si>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</si>
  <si>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</si>
  <si>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</si>
  <si>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</si>
  <si>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</si>
  <si>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</si>
  <si>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</si>
  <si>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</si>
  <si>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</si>
  <si>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</si>
  <si>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</si>
  <si>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</si>
  <si>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</si>
  <si>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</si>
  <si>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</si>
  <si>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</si>
  <si>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</si>
  <si>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</si>
  <si>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</si>
  <si>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</si>
  <si>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</si>
  <si>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</si>
  <si>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Pomoćni (neblokirajući) relej,  zavojnica 240 V AC, preklopna struja 10 A, 3 preklopna kontakta (3PDT/3 Form C), 3 pola, jednopolni AgNi kontakti</t>
  </si>
  <si>
    <t xml:space="preserve"> 700-HA33A2-3-4L</t>
  </si>
  <si>
    <t>Rockwell Automation 700-HN serija pričvrsnih kopči za podnožja 700-HN100, 700-HN204, 700-HN101, 700-HN205 s relejima 700-HA, Učvršćuje relej u podnožju</t>
  </si>
  <si>
    <t>Rockwell Automation podnožje releja 700-HN205; 11-pinsko podnožje; za cijevne releje serije 700-H; vijčani priključak; zaštićeni priključci sigurni od dodira (Touch-Safe); s utorom za vremenski modul</t>
  </si>
  <si>
    <t>700-HN205</t>
  </si>
  <si>
    <t>Pomoćni (neblokirajući) relej,  zavojnica 220 V DC, preklopna struja 10 A, 3 preklopna kontakta (3PDT/3 Form C), 3 pola, jednopolni AgNi kontakti</t>
  </si>
  <si>
    <t>700-HA33Z2-3</t>
  </si>
  <si>
    <t>Timer modul za 700-HA relej</t>
  </si>
  <si>
    <t>700-HT3</t>
  </si>
  <si>
    <t>-X1</t>
  </si>
  <si>
    <t>Distriblok, Glavna grana, 4-polna, 125A, ulaz 2x25mm², izlaz 5x6mm² 4-polna, Ulaz 2 x 10-25mm² (10-16mm² s ferulom), Izlazi 5 x 2,5-6mm² (2,5-4mm² s ferulom)</t>
  </si>
  <si>
    <t>IKBC4016-A</t>
  </si>
  <si>
    <t>Schrack</t>
  </si>
  <si>
    <t>Distributor za 24 VDC- 1-polni distribucijski blok, za bakrene vodiče, priključne stezaljke: ulazne 2 x 25mm², izlazne 6 x (1.5 – 10mm²), montaža na DIN nosač ili na montažnu ploču, nazivna struja IEC: 100A, 54x29x50mm (VxŠxD)</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</si>
  <si>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</si>
  <si>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</si>
  <si>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</si>
  <si>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</si>
  <si>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</si>
  <si>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</si>
  <si>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</si>
  <si>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</si>
  <si>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</si>
  <si>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</si>
  <si>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</si>
  <si>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</si>
  <si>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</si>
  <si>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</si>
  <si>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</si>
  <si>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</si>
  <si>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</si>
  <si>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</si>
  <si>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</si>
  <si>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</si>
  <si>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</si>
  <si>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</si>
  <si>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</si>
  <si>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</si>
  <si>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704.202.208</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</si>
  <si>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</si>
  <si>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</si>
  <si>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</si>
  <si>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</si>
  <si>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</si>
  <si>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Naručiti 7</t>
  </si>
  <si>
    <t>PK: Ažurirati količine nakon ažuriranja shema</t>
  </si>
  <si>
    <t>PK: Provjeriti točan broj stezaljki u shemama</t>
  </si>
  <si>
    <t>PK: Riješiti signali</t>
  </si>
  <si>
    <t>PK: Popraviti technical characteristics da piše 220 VDC umjesto 230 VAC</t>
  </si>
  <si>
    <t>PK: Ja moram pronaći alternativu</t>
  </si>
  <si>
    <r>
      <t>700</t>
    </r>
    <r>
      <rPr>
        <sz val="11"/>
        <color rgb="FF000000"/>
        <rFont val="Calibri"/>
        <family val="2"/>
      </rPr>
      <t>-HN157</t>
    </r>
  </si>
  <si>
    <t>IKB01025N-</t>
  </si>
  <si>
    <t>EAO.10-2512.1149</t>
  </si>
  <si>
    <t>EAO.704.911.5-1</t>
  </si>
  <si>
    <t>EAO.704.229.500</t>
  </si>
  <si>
    <t>704.209.700</t>
  </si>
  <si>
    <t>ne postoje -K403…-K405</t>
  </si>
  <si>
    <r>
      <t xml:space="preserve">-K401, -K402; </t>
    </r>
    <r>
      <rPr>
        <sz val="11"/>
        <color rgb="FFFF0000"/>
        <rFont val="Calibri"/>
        <family val="2"/>
      </rPr>
      <t>-K403…-K405</t>
    </r>
  </si>
  <si>
    <t>-K101 -K102 -K102.1 -K103 -K103.1 -K104 -K105</t>
  </si>
  <si>
    <r>
      <t xml:space="preserve">-2K12, -2K13, -K101, -K102, -K102.1, -K103, -K103.1, -K104, -K105, -K401, -K402; </t>
    </r>
    <r>
      <rPr>
        <sz val="11"/>
        <color rgb="FFFF0000"/>
        <rFont val="Calibri"/>
        <family val="2"/>
      </rPr>
      <t>-K403…-K405</t>
    </r>
  </si>
  <si>
    <t>-2K12, -2K13, -K102.1, -K103.1</t>
  </si>
  <si>
    <r>
      <t xml:space="preserve">-H1...-H4, -H101, -H102, -H201, -H202, -H301, -H302, -H401...-H403, -H501...-H503, -H601...-H603, -S101, -S103, -S201, -S203, -S301, -S303; </t>
    </r>
    <r>
      <rPr>
        <sz val="11"/>
        <color rgb="FFFF0000"/>
        <rFont val="Calibri"/>
        <family val="2"/>
      </rPr>
      <t>-H5…-H8, -H404, -H504, -H604, -H701, -H702, -H703, H801, -H802, -S110</t>
    </r>
  </si>
  <si>
    <t>-S31</t>
  </si>
  <si>
    <r>
      <rPr>
        <sz val="11"/>
        <color theme="1"/>
        <rFont val="Calibri"/>
        <family val="2"/>
      </rPr>
      <t xml:space="preserve">-H4, -H102, -H202, -H302, -H402, -H502, -H602; </t>
    </r>
    <r>
      <rPr>
        <sz val="11"/>
        <color rgb="FFFF0000"/>
        <rFont val="Calibri"/>
        <family val="2"/>
      </rPr>
      <t>-H5, -H6, -H7, -H701, -H702, -H703, H801, -H802</t>
    </r>
  </si>
  <si>
    <t>ne postoje -H5, -H6, -H7, -H701, -H702, -H703, -H801, -H802</t>
  </si>
  <si>
    <t>-H1...-H3, -H401, -H501, -H601</t>
  </si>
  <si>
    <r>
      <t xml:space="preserve">-H101, -H201, -H301; </t>
    </r>
    <r>
      <rPr>
        <sz val="11"/>
        <color rgb="FFFF0000"/>
        <rFont val="Calibri"/>
        <family val="2"/>
      </rPr>
      <t>-H8, -H404, -H504, -H604</t>
    </r>
  </si>
  <si>
    <t>ne postoje -H8, -H404, -H504, -H604</t>
  </si>
  <si>
    <t>ne postoji -S110</t>
  </si>
  <si>
    <r>
      <rPr>
        <sz val="11"/>
        <color theme="1"/>
        <rFont val="Calibri"/>
        <family val="2"/>
      </rPr>
      <t xml:space="preserve">-S101, -S201, -S301; </t>
    </r>
    <r>
      <rPr>
        <sz val="11"/>
        <color rgb="FFFF0000"/>
        <rFont val="Calibri"/>
        <family val="2"/>
      </rPr>
      <t>-S110</t>
    </r>
  </si>
  <si>
    <t>-S101...-S103, -S201...-S203, -S301...-S303</t>
  </si>
  <si>
    <t>-V111</t>
  </si>
  <si>
    <t>-E101...-E104</t>
  </si>
  <si>
    <t>-S151...-S154</t>
  </si>
  <si>
    <t>-X500...-X502, -X505, -X550, -X551</t>
  </si>
  <si>
    <t>PK: Ja moram provjeriti naručene količine</t>
  </si>
  <si>
    <t>-F2, -F6...-F13, -F31...-F34, -F36...-F38</t>
  </si>
  <si>
    <t>-F31...-F34, -F36...-F38</t>
  </si>
  <si>
    <t>-F6...-F10, -F13</t>
  </si>
  <si>
    <t>-F101...-F106</t>
  </si>
  <si>
    <t>-F3...-F5</t>
  </si>
  <si>
    <t>-K3.1, -K4.1, -K5.1</t>
  </si>
  <si>
    <t>-K3.1, -K3.2, -K4.1, -K4.2, -K5.1, -K5.2</t>
  </si>
  <si>
    <t>-A121, -A122</t>
  </si>
  <si>
    <t>u summarized parts listi je na 2 mjesta, 246 i 135 komada</t>
  </si>
  <si>
    <t>-X0</t>
  </si>
  <si>
    <t>-2K01...-2K08, -2K11, -2K14...-2K18, -2K21...-2K28, -2K31...-2K38, -2K41...-2K48, -2K51...-2K55</t>
  </si>
  <si>
    <t>-1K101...-1K108, -1K111...-1K118, -1K121...-1K128, -1K131...-1K138, -1K141...-1K148, -1K151...-1K157</t>
  </si>
  <si>
    <t>-1K01...-1K08, -1K11...-1K18, -1K21...-1K24</t>
  </si>
  <si>
    <t>-U151...-U154, -U158...-U160</t>
  </si>
  <si>
    <t>-U155…-U157</t>
  </si>
  <si>
    <t>količina iz shema je po komadu;
-X100 kleme imaju isti nar. br. ali drugi part i njih je 4</t>
  </si>
  <si>
    <r>
      <t>6ES7522-1BL0</t>
    </r>
    <r>
      <rPr>
        <b/>
        <sz val="11"/>
        <color rgb="FF000000"/>
        <rFont val="Calibri"/>
        <family val="2"/>
      </rPr>
      <t>x</t>
    </r>
    <r>
      <rPr>
        <sz val="11"/>
        <color rgb="FF000000"/>
        <rFont val="Calibri"/>
        <family val="2"/>
      </rPr>
      <t>-0AB0 macro u EPLANu</t>
    </r>
  </si>
  <si>
    <r>
      <t>6ES7532-5</t>
    </r>
    <r>
      <rPr>
        <b/>
        <sz val="11"/>
        <color rgb="FF000000"/>
        <rFont val="Calibri"/>
        <family val="2"/>
      </rPr>
      <t>x</t>
    </r>
    <r>
      <rPr>
        <sz val="11"/>
        <color rgb="FF000000"/>
        <rFont val="Calibri"/>
        <family val="2"/>
      </rPr>
      <t>D00-0AB0 macro u EPLANu</t>
    </r>
  </si>
</sst>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font>
    <font>
      <sz val="11"/>
      <color theme="1"/>
      <name val="Aptos Narrow"/>
      <family val="2"/>
      <scheme val="minor"/>
    </font>
    <font>
      <sz val="11"/>
      <color theme="1"/>
      <name val="Aptos Narrow"/>
      <family val="2"/>
      <scheme val="minor"/>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
      <sz val="11"/>
      <color rgb="FF006100"/>
      <name val="Aptos Narrow"/>
      <family val="2"/>
      <scheme val="minor"/>
    </font>
    <font>
      <sz val="11"/>
      <color theme="1"/>
      <name val="Calibri"/>
      <family val="2"/>
    </font>
    <font>
      <strike/>
      <sz val="11"/>
      <color rgb="FF000000"/>
      <name val="Calibri"/>
      <family val="2"/>
    </font>
    <font>
      <sz val="11"/>
      <color rgb="FFFF0000"/>
      <name val="Calibri"/>
      <family val="2"/>
    </font>
    <font>
      <sz val="11"/>
      <name val="Calibri"/>
      <family val="2"/>
    </font>
  </fonts>
  <fills count="11">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
      <patternFill patternType="solid">
        <fgColor theme="7" tint="0.79998168889431442"/>
        <bgColor indexed="64"/>
      </patternFill>
    </fill>
  </fills>
  <borders count="12">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
      <start style="thin">
        <color rgb="FFB2B2B2"/>
      </start>
      <end style="thin">
        <color rgb="FFB2B2B2"/>
      </end>
      <top style="thin">
        <color rgb="FFB2B2B2"/>
      </top>
      <bottom style="thin">
        <color rgb="FFB2B2B2"/>
      </bottom>
      <diagonal/>
    </border>
    <border>
      <start style="thin">
        <color indexed="64"/>
      </start>
      <end style="thin">
        <color indexed="64"/>
      </end>
      <top style="thin">
        <color indexed="64"/>
      </top>
      <bottom style="thin">
        <color indexed="64"/>
      </bottom>
      <diagonal/>
    </border>
    <border>
      <start/>
      <end style="thin">
        <color rgb="FF000000"/>
      </end>
      <top style="thin">
        <color rgb="FF000000"/>
      </top>
      <bottom style="thin">
        <color rgb="FF000000"/>
      </bottom>
      <diagonal/>
    </border>
  </borders>
  <cellStyleXfs count="12">
    <xf numFmtId="0" fontId="0" fillId="0" borderId="0"/>
    <xf numFmtId="0" fontId="3" fillId="2" borderId="0" applyNumberFormat="0" applyFon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49" fontId="5" fillId="0" borderId="0" applyBorder="0" applyProtection="0">
      <alignment vertical="top" wrapText="1"/>
    </xf>
    <xf numFmtId="0" fontId="6" fillId="0" borderId="0" applyNumberFormat="0" applyBorder="0" applyProtection="0"/>
    <xf numFmtId="0" fontId="3" fillId="0" borderId="0" applyNumberFormat="0" applyFont="0" applyBorder="0" applyProtection="0"/>
    <xf numFmtId="0" fontId="10" fillId="7" borderId="0" applyNumberFormat="0" applyBorder="0" applyAlignment="0" applyProtection="0"/>
    <xf numFmtId="0" fontId="3" fillId="8" borderId="9" applyNumberFormat="0" applyFont="0" applyAlignment="0" applyProtection="0"/>
    <xf numFmtId="0" fontId="2" fillId="9" borderId="0" applyNumberFormat="0" applyBorder="0" applyAlignment="0" applyProtection="0"/>
    <xf numFmtId="49" fontId="1" fillId="0" borderId="0">
      <alignment vertical="top" wrapText="1"/>
    </xf>
  </cellStyleXfs>
  <cellXfs count="59">
    <xf numFmtId="0" fontId="0" fillId="0" borderId="0" xfId="0"/>
    <xf numFmtId="0" fontId="0" fillId="0" borderId="0" xfId="0" applyAlignment="1">
      <alignment wrapText="1"/>
    </xf>
    <xf numFmtId="0" fontId="7" fillId="0" borderId="1" xfId="0" applyFont="1" applyBorder="1" applyAlignment="1">
      <alignment wrapText="1"/>
    </xf>
    <xf numFmtId="0" fontId="7" fillId="0" borderId="2" xfId="0" applyFont="1" applyBorder="1" applyAlignment="1">
      <alignment wrapText="1"/>
    </xf>
    <xf numFmtId="0" fontId="7" fillId="0" borderId="2" xfId="0" applyFont="1" applyBorder="1"/>
    <xf numFmtId="0" fontId="7"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0" borderId="6" xfId="0" applyBorder="1"/>
    <xf numFmtId="0" fontId="0" fillId="6" borderId="5" xfId="0" applyFill="1" applyBorder="1" applyAlignment="1">
      <alignment wrapText="1"/>
    </xf>
    <xf numFmtId="0" fontId="0" fillId="0" borderId="5" xfId="0" quotePrefix="1" applyBorder="1" applyAlignment="1">
      <alignment wrapText="1"/>
    </xf>
    <xf numFmtId="0" fontId="9" fillId="0" borderId="5" xfId="0" applyFont="1" applyBorder="1" applyAlignment="1">
      <alignment horizontal="right" wrapText="1"/>
    </xf>
    <xf numFmtId="0" fontId="12" fillId="0" borderId="0" xfId="0" applyFont="1" applyAlignment="1">
      <alignment wrapText="1"/>
    </xf>
    <xf numFmtId="0" fontId="0" fillId="6" borderId="0" xfId="0" applyFill="1" applyAlignment="1">
      <alignment wrapText="1"/>
    </xf>
    <xf numFmtId="0" fontId="0" fillId="0" borderId="7" xfId="0" applyBorder="1" applyAlignment="1">
      <alignment wrapText="1"/>
    </xf>
    <xf numFmtId="0" fontId="0" fillId="10" borderId="5" xfId="0" applyFill="1" applyBorder="1" applyAlignment="1">
      <alignment wrapText="1"/>
    </xf>
    <xf numFmtId="0" fontId="0" fillId="10" borderId="5" xfId="0" applyFill="1" applyBorder="1" applyAlignment="1">
      <alignment horizontal="right" wrapText="1"/>
    </xf>
    <xf numFmtId="0" fontId="0" fillId="10" borderId="5" xfId="0" applyFill="1" applyBorder="1"/>
    <xf numFmtId="0" fontId="0" fillId="0" borderId="11" xfId="0" applyBorder="1"/>
    <xf numFmtId="0" fontId="0" fillId="0" borderId="6" xfId="0" applyBorder="1" applyAlignment="1">
      <alignment wrapText="1"/>
    </xf>
    <xf numFmtId="0" fontId="0" fillId="0" borderId="6" xfId="0" applyBorder="1" applyAlignment="1">
      <alignment horizontal="right" wrapText="1"/>
    </xf>
    <xf numFmtId="0" fontId="0" fillId="0" borderId="10" xfId="0" applyBorder="1" applyAlignment="1">
      <alignment wrapText="1"/>
    </xf>
    <xf numFmtId="3" fontId="0" fillId="0" borderId="10" xfId="0" applyNumberFormat="1" applyBorder="1" applyAlignment="1">
      <alignment horizontal="right" wrapText="1"/>
    </xf>
    <xf numFmtId="0" fontId="0" fillId="0" borderId="10" xfId="0" applyBorder="1"/>
    <xf numFmtId="0" fontId="0" fillId="0" borderId="10" xfId="0" quotePrefix="1" applyBorder="1" applyAlignment="1">
      <alignment wrapText="1"/>
    </xf>
    <xf numFmtId="0" fontId="7" fillId="0" borderId="8" xfId="0" applyFont="1" applyBorder="1" applyAlignment="1">
      <alignment wrapText="1"/>
    </xf>
    <xf numFmtId="0" fontId="12" fillId="0" borderId="7" xfId="0" applyFont="1" applyBorder="1" applyAlignment="1">
      <alignment wrapText="1"/>
    </xf>
    <xf numFmtId="0" fontId="0" fillId="6" borderId="7" xfId="0" applyFill="1" applyBorder="1" applyAlignment="1">
      <alignment wrapText="1"/>
    </xf>
    <xf numFmtId="0" fontId="2" fillId="0" borderId="5" xfId="10" applyFill="1" applyBorder="1" applyAlignment="1">
      <alignment wrapText="1"/>
    </xf>
    <xf numFmtId="3" fontId="2" fillId="0" borderId="5" xfId="10" applyNumberFormat="1" applyFill="1" applyBorder="1" applyAlignment="1">
      <alignment horizontal="right" wrapText="1"/>
    </xf>
    <xf numFmtId="0" fontId="2" fillId="0" borderId="5" xfId="10" applyFill="1" applyBorder="1"/>
    <xf numFmtId="0" fontId="11" fillId="0" borderId="10" xfId="2" applyFont="1" applyFill="1" applyBorder="1" applyAlignment="1">
      <alignment wrapText="1"/>
    </xf>
    <xf numFmtId="3" fontId="11" fillId="0" borderId="10" xfId="2" applyNumberFormat="1" applyFont="1" applyFill="1" applyBorder="1" applyAlignment="1">
      <alignment horizontal="right" wrapText="1"/>
    </xf>
    <xf numFmtId="0" fontId="11" fillId="0" borderId="10" xfId="2" applyFont="1" applyFill="1" applyBorder="1"/>
    <xf numFmtId="0" fontId="11" fillId="0" borderId="10" xfId="2" quotePrefix="1" applyFont="1" applyFill="1" applyBorder="1" applyAlignment="1">
      <alignment wrapText="1"/>
    </xf>
    <xf numFmtId="0" fontId="1" fillId="0" borderId="5" xfId="10" quotePrefix="1" applyFont="1" applyFill="1" applyBorder="1" applyAlignment="1">
      <alignment wrapText="1"/>
    </xf>
    <xf numFmtId="0" fontId="3" fillId="0" borderId="10" xfId="9" applyFont="1" applyFill="1" applyBorder="1" applyAlignment="1">
      <alignment wrapText="1"/>
    </xf>
    <xf numFmtId="3" fontId="3" fillId="0" borderId="10" xfId="9" applyNumberFormat="1" applyFont="1" applyFill="1" applyBorder="1" applyAlignment="1">
      <alignment horizontal="right" wrapText="1"/>
    </xf>
    <xf numFmtId="0" fontId="3" fillId="0" borderId="10" xfId="9" applyFont="1" applyFill="1" applyBorder="1"/>
    <xf numFmtId="0" fontId="1" fillId="0" borderId="10" xfId="8" applyFont="1" applyFill="1" applyBorder="1" applyAlignment="1">
      <alignment wrapText="1"/>
    </xf>
    <xf numFmtId="3" fontId="1" fillId="0" borderId="10" xfId="8" applyNumberFormat="1" applyFont="1" applyFill="1" applyBorder="1" applyAlignment="1">
      <alignment horizontal="right" wrapText="1"/>
    </xf>
    <xf numFmtId="0" fontId="1" fillId="0" borderId="10" xfId="8" applyFont="1" applyFill="1" applyBorder="1"/>
    <xf numFmtId="0" fontId="1" fillId="0" borderId="10" xfId="8" quotePrefix="1" applyFont="1" applyFill="1" applyBorder="1" applyAlignment="1">
      <alignment wrapText="1"/>
    </xf>
    <xf numFmtId="0" fontId="0" fillId="0" borderId="5" xfId="0" quotePrefix="1" applyBorder="1" applyAlignment="1">
      <alignment horizontal="left" wrapText="1"/>
    </xf>
    <xf numFmtId="0" fontId="0" fillId="6" borderId="5" xfId="0" applyFill="1" applyBorder="1"/>
    <xf numFmtId="0" fontId="14" fillId="0" borderId="5" xfId="0" quotePrefix="1" applyFont="1"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0" fillId="0" borderId="0" xfId="0" applyFill="1" applyAlignment="1">
      <alignment wrapText="1"/>
    </xf>
  </cellXfs>
  <cellStyles count="12">
    <cellStyle name="20% - Accent2" xfId="10" builtinId="34"/>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1" xfId="11" xr:uid="{DADC8658-60D5-4596-AFEA-8E8E2BFCEEDB}"/>
    <cellStyle name="ColStyle3" xfId="5" xr:uid="{F2DAC5EA-D14E-477E-B90F-4F365988442E}"/>
    <cellStyle name="Good" xfId="8" builtinId="26"/>
    <cellStyle name="Normal" xfId="0" builtinId="0" customBuiltin="1"/>
    <cellStyle name="Normal 2" xfId="6" xr:uid="{E19DF288-7D14-4C51-AC68-B5DE90415F70}"/>
    <cellStyle name="Normal 2 5" xfId="7" xr:uid="{CE5137AD-0C1F-4639-9579-8CD0BF4D72B1}"/>
    <cellStyle name="Note" xfId="9" builtinId="10"/>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137160</xdr:colOff>
          <xdr:row>227</xdr:row>
          <xdr:rowOff>121920</xdr:rowOff>
        </xdr:from>
        <xdr:to>
          <xdr:col>7</xdr:col>
          <xdr:colOff>1965960</xdr:colOff>
          <xdr:row>232</xdr:row>
          <xdr:rowOff>121920</xdr:rowOff>
        </xdr:to>
        <xdr:sp macro="" textlink="">
          <xdr:nvSpPr>
            <xdr:cNvPr id="1025" name="Comment 1" hidden="1">
              <a:extLst>
                <a:ext uri="{FF2B5EF4-FFF2-40B4-BE49-F238E27FC236}">
                  <a16:creationId xmlns:a16="http://schemas.microsoft.com/office/drawing/2014/main" id="{C539D04B-CFC0-0425-0520-8711987679CD}"/>
                </a:ext>
              </a:extLst>
            </xdr:cNvPr>
            <xdr:cNvSpPr txBox="1">
              <a:spLocks noChangeArrowheads="1"/>
            </xdr:cNvSpPr>
          </xdr:nvSpPr>
          <xdr:spPr bwMode="auto">
            <a:xfrm>
              <a:off x="13296900" y="68412360"/>
              <a:ext cx="1828800" cy="9144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GB" sz="1100" b="0" i="0" u="none" strike="noStrike" baseline="0%">
                  <a:solidFill>
                    <a:srgbClr val="000000"/>
                  </a:solidFill>
                  <a:latin typeface="Calibri"/>
                  <a:ea typeface="Calibri"/>
                  <a:cs typeface="Calibri"/>
                </a:rPr>
                <a:t>Comment:</a:t>
              </a:r>
            </a:p>
            <a:p>
              <a:pPr algn="l" rtl="0">
                <a:defRPr sz="1000"/>
              </a:pPr>
              <a:r>
                <a:rPr lang="en-GB"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2.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4.4"/>
  <cols>
    <col min="1" max="1" width="9.5546875" bestFit="1" customWidth="1"/>
    <col min="2" max="2" width="121.5546875" customWidth="1"/>
    <col min="3" max="3" width="8.88671875" customWidth="1"/>
  </cols>
  <sheetData>
    <row r="1" spans="1:2">
      <c r="A1" t="s">
        <v>0</v>
      </c>
      <c r="B1" t="s">
        <v>1</v>
      </c>
    </row>
    <row r="2" spans="1:2" ht="43.2">
      <c r="A2">
        <v>1</v>
      </c>
      <c r="B2" s="1" t="s">
        <v>2</v>
      </c>
    </row>
    <row r="3" spans="1:2" ht="129.6">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4"/>
  <sheetViews>
    <sheetView tabSelected="1" topLeftCell="A27" zoomScale="115" zoomScaleNormal="115" workbookViewId="0">
      <selection activeCell="K33" sqref="K33"/>
    </sheetView>
  </sheetViews>
  <sheetFormatPr defaultRowHeight="14.4"/>
  <cols>
    <col min="1" max="1" width="45.21875" style="1" customWidth="1"/>
    <col min="2" max="2" width="63" style="1" bestFit="1" customWidth="1"/>
    <col min="3" max="3" width="23.33203125" style="1" customWidth="1"/>
    <col min="4" max="4" width="26.6640625" bestFit="1" customWidth="1"/>
    <col min="5" max="5" width="10" bestFit="1" customWidth="1"/>
    <col min="6" max="6" width="13" bestFit="1" customWidth="1"/>
    <col min="7" max="7" width="10.6640625" bestFit="1" customWidth="1"/>
    <col min="8" max="8" width="33" style="1" customWidth="1"/>
    <col min="9" max="9" width="15.6640625" bestFit="1" customWidth="1"/>
    <col min="10" max="10" width="14.109375" bestFit="1" customWidth="1"/>
    <col min="11" max="11" width="38.21875" style="1" customWidth="1"/>
  </cols>
  <sheetData>
    <row r="1" spans="1:11" ht="15" thickBot="1">
      <c r="A1" s="2" t="s">
        <v>4</v>
      </c>
      <c r="B1" s="3" t="s">
        <v>5</v>
      </c>
      <c r="C1" s="3" t="s">
        <v>6</v>
      </c>
      <c r="D1" s="4" t="s">
        <v>7</v>
      </c>
      <c r="E1" s="4" t="s">
        <v>8</v>
      </c>
      <c r="F1" s="4" t="s">
        <v>9</v>
      </c>
      <c r="G1" s="4" t="s">
        <v>10</v>
      </c>
      <c r="H1" s="3" t="s">
        <v>11</v>
      </c>
      <c r="I1" s="4" t="s">
        <v>12</v>
      </c>
      <c r="J1" s="5" t="s">
        <v>13</v>
      </c>
      <c r="K1" s="32" t="s">
        <v>257</v>
      </c>
    </row>
    <row r="2" spans="1:11" ht="28.8">
      <c r="A2" s="6"/>
      <c r="B2" s="6" t="s">
        <v>14</v>
      </c>
      <c r="C2" s="7">
        <v>8808071</v>
      </c>
      <c r="D2" s="8" t="s">
        <v>15</v>
      </c>
      <c r="E2" s="8">
        <v>2</v>
      </c>
      <c r="F2" s="8" t="s">
        <v>16</v>
      </c>
      <c r="G2" s="8" t="s">
        <v>17</v>
      </c>
      <c r="H2" s="6"/>
      <c r="I2" s="8"/>
      <c r="J2" s="7" t="str">
        <f t="shared" ref="J2:J34" si="0">IF(ISBLANK(I2),"",E2-I2)</f>
        <v/>
      </c>
    </row>
    <row r="3" spans="1:11">
      <c r="A3" s="9"/>
      <c r="B3" s="9" t="s">
        <v>18</v>
      </c>
      <c r="C3" s="10">
        <v>4591700</v>
      </c>
      <c r="D3" s="11" t="s">
        <v>15</v>
      </c>
      <c r="E3" s="11">
        <v>2</v>
      </c>
      <c r="F3" s="11" t="s">
        <v>19</v>
      </c>
      <c r="G3" s="11" t="s">
        <v>17</v>
      </c>
      <c r="H3" s="9"/>
      <c r="I3" s="11"/>
      <c r="J3" s="7" t="str">
        <f t="shared" si="0"/>
        <v/>
      </c>
    </row>
    <row r="4" spans="1:11">
      <c r="A4" s="9"/>
      <c r="B4" s="9" t="s">
        <v>20</v>
      </c>
      <c r="C4" s="10">
        <v>4540000</v>
      </c>
      <c r="D4" s="11" t="s">
        <v>15</v>
      </c>
      <c r="E4" s="11">
        <v>1</v>
      </c>
      <c r="F4" s="11" t="s">
        <v>16</v>
      </c>
      <c r="G4" s="11" t="s">
        <v>17</v>
      </c>
      <c r="H4" s="9"/>
      <c r="I4" s="11"/>
      <c r="J4" s="7" t="str">
        <f t="shared" si="0"/>
        <v/>
      </c>
    </row>
    <row r="5" spans="1:11">
      <c r="A5" s="9"/>
      <c r="B5" s="9" t="s">
        <v>21</v>
      </c>
      <c r="C5" s="10">
        <v>8660003</v>
      </c>
      <c r="D5" s="11" t="s">
        <v>15</v>
      </c>
      <c r="E5" s="11">
        <v>2</v>
      </c>
      <c r="F5" s="11" t="s">
        <v>16</v>
      </c>
      <c r="G5" s="11" t="s">
        <v>17</v>
      </c>
      <c r="H5" s="9"/>
      <c r="I5" s="11"/>
      <c r="J5" s="7" t="str">
        <f t="shared" si="0"/>
        <v/>
      </c>
    </row>
    <row r="6" spans="1:11" ht="28.8">
      <c r="A6" s="9"/>
      <c r="B6" s="9" t="s">
        <v>22</v>
      </c>
      <c r="C6" s="10">
        <v>8617500</v>
      </c>
      <c r="D6" s="11" t="s">
        <v>15</v>
      </c>
      <c r="E6" s="11">
        <v>1</v>
      </c>
      <c r="F6" s="11" t="s">
        <v>16</v>
      </c>
      <c r="G6" s="11" t="s">
        <v>17</v>
      </c>
      <c r="H6" s="9"/>
      <c r="I6" s="11"/>
      <c r="J6" s="7" t="str">
        <f t="shared" si="0"/>
        <v/>
      </c>
    </row>
    <row r="7" spans="1:11">
      <c r="A7" s="9"/>
      <c r="B7" s="9" t="s">
        <v>23</v>
      </c>
      <c r="C7" s="10">
        <v>8108245</v>
      </c>
      <c r="D7" s="11" t="s">
        <v>15</v>
      </c>
      <c r="E7" s="11">
        <v>1</v>
      </c>
      <c r="F7" s="11" t="s">
        <v>16</v>
      </c>
      <c r="G7" s="11" t="s">
        <v>17</v>
      </c>
      <c r="H7" s="9"/>
      <c r="I7" s="11"/>
      <c r="J7" s="7" t="str">
        <f t="shared" si="0"/>
        <v/>
      </c>
    </row>
    <row r="8" spans="1:11">
      <c r="A8" s="9"/>
      <c r="B8" s="9" t="s">
        <v>24</v>
      </c>
      <c r="C8" s="10">
        <v>8660034</v>
      </c>
      <c r="D8" s="11" t="s">
        <v>15</v>
      </c>
      <c r="E8" s="11">
        <v>2</v>
      </c>
      <c r="F8" s="11" t="s">
        <v>16</v>
      </c>
      <c r="G8" s="11" t="s">
        <v>17</v>
      </c>
      <c r="H8" s="9"/>
      <c r="I8" s="11"/>
      <c r="J8" s="7" t="str">
        <f t="shared" si="0"/>
        <v/>
      </c>
    </row>
    <row r="9" spans="1:11">
      <c r="A9" s="9"/>
      <c r="B9" s="9" t="s">
        <v>25</v>
      </c>
      <c r="C9" s="10">
        <v>1206421</v>
      </c>
      <c r="D9" s="11" t="s">
        <v>15</v>
      </c>
      <c r="E9" s="11">
        <v>2</v>
      </c>
      <c r="F9" s="11" t="s">
        <v>19</v>
      </c>
      <c r="G9" s="11" t="s">
        <v>17</v>
      </c>
      <c r="H9" s="9"/>
      <c r="I9" s="11"/>
      <c r="J9" s="7" t="str">
        <f t="shared" si="0"/>
        <v/>
      </c>
    </row>
    <row r="10" spans="1:11">
      <c r="A10" s="9"/>
      <c r="B10" s="9" t="s">
        <v>26</v>
      </c>
      <c r="C10" s="10">
        <v>8617502</v>
      </c>
      <c r="D10" s="11" t="s">
        <v>15</v>
      </c>
      <c r="E10" s="11">
        <v>1</v>
      </c>
      <c r="F10" s="11" t="s">
        <v>16</v>
      </c>
      <c r="G10" s="11" t="s">
        <v>17</v>
      </c>
      <c r="H10" s="9"/>
      <c r="I10" s="11"/>
      <c r="J10" s="7" t="str">
        <f t="shared" si="0"/>
        <v/>
      </c>
    </row>
    <row r="11" spans="1:11">
      <c r="A11" s="9"/>
      <c r="B11" s="9" t="s">
        <v>27</v>
      </c>
      <c r="C11" s="10">
        <v>8800885</v>
      </c>
      <c r="D11" s="11" t="s">
        <v>15</v>
      </c>
      <c r="E11" s="11">
        <v>1</v>
      </c>
      <c r="F11" s="11" t="s">
        <v>19</v>
      </c>
      <c r="G11" s="11" t="s">
        <v>17</v>
      </c>
      <c r="H11" s="9"/>
      <c r="I11" s="11"/>
      <c r="J11" s="7" t="str">
        <f t="shared" si="0"/>
        <v/>
      </c>
    </row>
    <row r="12" spans="1:11" ht="28.8">
      <c r="A12" s="9"/>
      <c r="B12" s="9" t="s">
        <v>28</v>
      </c>
      <c r="C12" s="10">
        <v>5302351</v>
      </c>
      <c r="D12" s="11" t="s">
        <v>15</v>
      </c>
      <c r="E12" s="11">
        <v>4</v>
      </c>
      <c r="F12" s="11" t="s">
        <v>19</v>
      </c>
      <c r="G12" s="11" t="s">
        <v>17</v>
      </c>
      <c r="H12" s="9"/>
      <c r="I12" s="11"/>
      <c r="J12" s="7" t="str">
        <f t="shared" si="0"/>
        <v/>
      </c>
    </row>
    <row r="13" spans="1:11">
      <c r="A13" s="9"/>
      <c r="B13" s="9" t="s">
        <v>29</v>
      </c>
      <c r="C13" s="10">
        <v>4568000</v>
      </c>
      <c r="D13" s="11" t="s">
        <v>15</v>
      </c>
      <c r="E13" s="11">
        <v>2</v>
      </c>
      <c r="F13" s="11" t="s">
        <v>16</v>
      </c>
      <c r="G13" s="11" t="s">
        <v>17</v>
      </c>
      <c r="H13" s="9"/>
      <c r="I13" s="11"/>
      <c r="J13" s="7" t="str">
        <f t="shared" si="0"/>
        <v/>
      </c>
    </row>
    <row r="14" spans="1:11">
      <c r="A14" s="9"/>
      <c r="B14" s="9" t="s">
        <v>30</v>
      </c>
      <c r="C14" s="10">
        <v>8618200</v>
      </c>
      <c r="D14" s="11" t="s">
        <v>15</v>
      </c>
      <c r="E14" s="11">
        <v>4</v>
      </c>
      <c r="F14" s="11" t="s">
        <v>19</v>
      </c>
      <c r="G14" s="11" t="s">
        <v>17</v>
      </c>
      <c r="H14" s="9"/>
      <c r="I14" s="11"/>
      <c r="J14" s="7" t="str">
        <f t="shared" si="0"/>
        <v/>
      </c>
    </row>
    <row r="15" spans="1:11">
      <c r="A15" s="9"/>
      <c r="B15" s="9" t="s">
        <v>31</v>
      </c>
      <c r="C15" s="10">
        <v>8618801</v>
      </c>
      <c r="D15" s="11" t="s">
        <v>15</v>
      </c>
      <c r="E15" s="11">
        <v>4</v>
      </c>
      <c r="F15" s="11" t="s">
        <v>16</v>
      </c>
      <c r="G15" s="11" t="s">
        <v>17</v>
      </c>
      <c r="H15" s="9"/>
      <c r="I15" s="11"/>
      <c r="J15" s="7" t="str">
        <f t="shared" si="0"/>
        <v/>
      </c>
    </row>
    <row r="16" spans="1:11" ht="28.8">
      <c r="A16" s="9"/>
      <c r="B16" s="9" t="s">
        <v>32</v>
      </c>
      <c r="C16" s="10">
        <v>4118000</v>
      </c>
      <c r="D16" s="11" t="s">
        <v>15</v>
      </c>
      <c r="E16" s="11">
        <v>2</v>
      </c>
      <c r="F16" s="11" t="s">
        <v>19</v>
      </c>
      <c r="G16" s="11" t="s">
        <v>17</v>
      </c>
      <c r="H16" s="9"/>
      <c r="I16" s="11"/>
      <c r="J16" s="7" t="str">
        <f t="shared" si="0"/>
        <v/>
      </c>
    </row>
    <row r="17" spans="1:11">
      <c r="A17" s="17" t="s">
        <v>291</v>
      </c>
      <c r="B17" s="9" t="s">
        <v>33</v>
      </c>
      <c r="C17" s="10">
        <v>2500460</v>
      </c>
      <c r="D17" s="11" t="s">
        <v>15</v>
      </c>
      <c r="E17" s="11">
        <v>4</v>
      </c>
      <c r="F17" s="11" t="s">
        <v>19</v>
      </c>
      <c r="G17" s="11" t="s">
        <v>17</v>
      </c>
      <c r="H17" s="9"/>
      <c r="I17" s="11">
        <v>4</v>
      </c>
      <c r="J17" s="7">
        <f t="shared" si="0"/>
        <v>0</v>
      </c>
    </row>
    <row r="18" spans="1:11" ht="28.8">
      <c r="A18" s="9" t="s">
        <v>34</v>
      </c>
      <c r="B18" s="9" t="s">
        <v>35</v>
      </c>
      <c r="C18" s="10">
        <v>3105370</v>
      </c>
      <c r="D18" s="11" t="s">
        <v>15</v>
      </c>
      <c r="E18" s="11">
        <v>2</v>
      </c>
      <c r="F18" s="11" t="s">
        <v>19</v>
      </c>
      <c r="G18" s="11" t="s">
        <v>17</v>
      </c>
      <c r="H18" s="9"/>
      <c r="I18" s="11">
        <v>2</v>
      </c>
      <c r="J18" s="7">
        <f t="shared" si="0"/>
        <v>0</v>
      </c>
    </row>
    <row r="19" spans="1:11">
      <c r="A19" s="9" t="s">
        <v>36</v>
      </c>
      <c r="B19" s="9" t="s">
        <v>37</v>
      </c>
      <c r="C19" s="10">
        <v>3110000</v>
      </c>
      <c r="D19" s="11" t="s">
        <v>15</v>
      </c>
      <c r="E19" s="11">
        <v>1</v>
      </c>
      <c r="F19" s="11" t="s">
        <v>19</v>
      </c>
      <c r="G19" s="11" t="s">
        <v>17</v>
      </c>
      <c r="H19" s="9"/>
      <c r="I19" s="11">
        <v>1</v>
      </c>
      <c r="J19" s="7">
        <f t="shared" si="0"/>
        <v>0</v>
      </c>
    </row>
    <row r="20" spans="1:11" ht="28.8">
      <c r="A20" s="9"/>
      <c r="B20" s="9" t="s">
        <v>38</v>
      </c>
      <c r="C20" s="10">
        <v>2500530</v>
      </c>
      <c r="D20" s="11" t="s">
        <v>15</v>
      </c>
      <c r="E20" s="11">
        <v>2</v>
      </c>
      <c r="F20" s="11" t="s">
        <v>19</v>
      </c>
      <c r="G20" s="11" t="s">
        <v>17</v>
      </c>
      <c r="H20" s="9"/>
      <c r="I20" s="11"/>
      <c r="J20" s="7" t="str">
        <f t="shared" si="0"/>
        <v/>
      </c>
    </row>
    <row r="21" spans="1:11">
      <c r="A21" s="9"/>
      <c r="B21" s="9" t="s">
        <v>39</v>
      </c>
      <c r="C21" s="10" t="s">
        <v>40</v>
      </c>
      <c r="D21" s="11" t="s">
        <v>15</v>
      </c>
      <c r="E21" s="11">
        <v>2</v>
      </c>
      <c r="F21" s="11" t="s">
        <v>19</v>
      </c>
      <c r="G21" s="11" t="s">
        <v>17</v>
      </c>
      <c r="H21" s="9"/>
      <c r="I21" s="11"/>
      <c r="J21" s="7" t="str">
        <f t="shared" si="0"/>
        <v/>
      </c>
    </row>
    <row r="22" spans="1:11" ht="28.8">
      <c r="A22" s="17" t="s">
        <v>290</v>
      </c>
      <c r="B22" s="9" t="s">
        <v>41</v>
      </c>
      <c r="C22" s="10">
        <v>2500200</v>
      </c>
      <c r="D22" s="11" t="s">
        <v>15</v>
      </c>
      <c r="E22" s="11">
        <v>2</v>
      </c>
      <c r="F22" s="11" t="s">
        <v>19</v>
      </c>
      <c r="G22" s="11" t="s">
        <v>17</v>
      </c>
      <c r="H22" s="9"/>
      <c r="I22" s="11">
        <v>4</v>
      </c>
      <c r="J22" s="7">
        <f t="shared" si="0"/>
        <v>-2</v>
      </c>
      <c r="K22" s="21" t="s">
        <v>258</v>
      </c>
    </row>
    <row r="23" spans="1:11" ht="28.8">
      <c r="A23" s="9"/>
      <c r="B23" s="9" t="s">
        <v>42</v>
      </c>
      <c r="C23" s="10">
        <v>2500490</v>
      </c>
      <c r="D23" s="11" t="s">
        <v>15</v>
      </c>
      <c r="E23" s="11">
        <v>4</v>
      </c>
      <c r="F23" s="11" t="s">
        <v>19</v>
      </c>
      <c r="G23" s="11" t="s">
        <v>17</v>
      </c>
      <c r="H23" s="9"/>
      <c r="I23" s="11"/>
      <c r="J23" s="7" t="str">
        <f t="shared" si="0"/>
        <v/>
      </c>
    </row>
    <row r="24" spans="1:11">
      <c r="A24" s="9" t="s">
        <v>43</v>
      </c>
      <c r="B24" s="9" t="s">
        <v>44</v>
      </c>
      <c r="C24" s="10">
        <v>3118000</v>
      </c>
      <c r="D24" s="11" t="s">
        <v>15</v>
      </c>
      <c r="E24" s="11">
        <v>1</v>
      </c>
      <c r="F24" s="11" t="s">
        <v>19</v>
      </c>
      <c r="G24" s="11" t="s">
        <v>17</v>
      </c>
      <c r="H24" s="9"/>
      <c r="I24" s="11">
        <v>1</v>
      </c>
      <c r="J24" s="7">
        <f t="shared" si="0"/>
        <v>0</v>
      </c>
    </row>
    <row r="25" spans="1:11" ht="25.2" customHeight="1">
      <c r="A25" s="9" t="s">
        <v>45</v>
      </c>
      <c r="B25" s="9" t="s">
        <v>46</v>
      </c>
      <c r="C25" s="10" t="s">
        <v>47</v>
      </c>
      <c r="D25" s="11" t="s">
        <v>48</v>
      </c>
      <c r="E25" s="11">
        <v>2</v>
      </c>
      <c r="F25" s="11" t="s">
        <v>19</v>
      </c>
      <c r="G25" s="11" t="s">
        <v>17</v>
      </c>
      <c r="H25" s="9"/>
      <c r="I25" s="11">
        <v>2</v>
      </c>
      <c r="J25" s="7">
        <f t="shared" si="0"/>
        <v>0</v>
      </c>
      <c r="K25" s="33"/>
    </row>
    <row r="26" spans="1:11" ht="86.4">
      <c r="A26" s="9" t="s">
        <v>49</v>
      </c>
      <c r="B26" s="9" t="s">
        <v>50</v>
      </c>
      <c r="C26" s="10" t="s">
        <v>51</v>
      </c>
      <c r="D26" s="11" t="s">
        <v>52</v>
      </c>
      <c r="E26" s="11">
        <v>1</v>
      </c>
      <c r="F26" s="11" t="s">
        <v>19</v>
      </c>
      <c r="G26" s="11" t="s">
        <v>17</v>
      </c>
      <c r="H26" s="9"/>
      <c r="I26" s="11">
        <v>1</v>
      </c>
      <c r="J26" s="7">
        <f t="shared" si="0"/>
        <v>0</v>
      </c>
    </row>
    <row r="27" spans="1:11" ht="72">
      <c r="A27" s="9"/>
      <c r="B27" s="9" t="s">
        <v>53</v>
      </c>
      <c r="C27" s="10" t="s">
        <v>54</v>
      </c>
      <c r="D27" s="11" t="s">
        <v>52</v>
      </c>
      <c r="E27" s="11">
        <v>1</v>
      </c>
      <c r="F27" s="11" t="s">
        <v>19</v>
      </c>
      <c r="G27" s="11" t="s">
        <v>17</v>
      </c>
      <c r="H27" s="9"/>
      <c r="I27" s="11"/>
      <c r="J27" s="7" t="str">
        <f t="shared" si="0"/>
        <v/>
      </c>
    </row>
    <row r="28" spans="1:11" ht="28.8">
      <c r="A28" s="9"/>
      <c r="B28" s="9" t="s">
        <v>55</v>
      </c>
      <c r="C28" s="10" t="s">
        <v>56</v>
      </c>
      <c r="D28" s="11" t="s">
        <v>52</v>
      </c>
      <c r="E28" s="11">
        <v>2</v>
      </c>
      <c r="F28" s="11" t="s">
        <v>19</v>
      </c>
      <c r="G28" s="11" t="s">
        <v>17</v>
      </c>
      <c r="H28" s="9"/>
      <c r="I28" s="11"/>
      <c r="J28" s="7" t="str">
        <f t="shared" si="0"/>
        <v/>
      </c>
    </row>
    <row r="29" spans="1:11" ht="57.6">
      <c r="A29" s="9" t="s">
        <v>57</v>
      </c>
      <c r="B29" s="9" t="s">
        <v>58</v>
      </c>
      <c r="C29" s="10" t="s">
        <v>59</v>
      </c>
      <c r="D29" s="11" t="s">
        <v>52</v>
      </c>
      <c r="E29" s="11">
        <v>1</v>
      </c>
      <c r="F29" s="11" t="s">
        <v>19</v>
      </c>
      <c r="G29" s="11" t="s">
        <v>17</v>
      </c>
      <c r="H29" s="9"/>
      <c r="I29" s="11">
        <v>1</v>
      </c>
      <c r="J29" s="7">
        <f t="shared" si="0"/>
        <v>0</v>
      </c>
    </row>
    <row r="30" spans="1:11" ht="28.8">
      <c r="A30" s="17" t="s">
        <v>57</v>
      </c>
      <c r="B30" s="9" t="s">
        <v>60</v>
      </c>
      <c r="C30" s="10" t="s">
        <v>61</v>
      </c>
      <c r="D30" s="11" t="s">
        <v>52</v>
      </c>
      <c r="E30" s="11">
        <v>1</v>
      </c>
      <c r="F30" s="11" t="s">
        <v>19</v>
      </c>
      <c r="G30" s="11" t="s">
        <v>17</v>
      </c>
      <c r="H30" s="9"/>
      <c r="I30" s="11">
        <v>1</v>
      </c>
      <c r="J30" s="7">
        <f t="shared" si="0"/>
        <v>0</v>
      </c>
    </row>
    <row r="31" spans="1:11" ht="57.6">
      <c r="A31" s="17" t="s">
        <v>62</v>
      </c>
      <c r="B31" s="9" t="s">
        <v>63</v>
      </c>
      <c r="C31" s="10" t="s">
        <v>64</v>
      </c>
      <c r="D31" s="11" t="s">
        <v>52</v>
      </c>
      <c r="E31" s="11">
        <v>3</v>
      </c>
      <c r="F31" s="11" t="s">
        <v>19</v>
      </c>
      <c r="G31" s="11" t="s">
        <v>17</v>
      </c>
      <c r="H31" s="9"/>
      <c r="I31" s="11">
        <v>3</v>
      </c>
      <c r="J31" s="7">
        <f t="shared" si="0"/>
        <v>0</v>
      </c>
    </row>
    <row r="32" spans="1:11" ht="86.4">
      <c r="A32" s="17" t="s">
        <v>301</v>
      </c>
      <c r="B32" s="9" t="s">
        <v>65</v>
      </c>
      <c r="C32" s="10" t="s">
        <v>66</v>
      </c>
      <c r="D32" s="11" t="s">
        <v>52</v>
      </c>
      <c r="E32" s="11">
        <v>2</v>
      </c>
      <c r="F32" s="11" t="s">
        <v>19</v>
      </c>
      <c r="G32" s="11" t="s">
        <v>17</v>
      </c>
      <c r="H32" s="9" t="s">
        <v>310</v>
      </c>
      <c r="I32" s="11">
        <v>2</v>
      </c>
      <c r="J32" s="7">
        <f t="shared" si="0"/>
        <v>0</v>
      </c>
    </row>
    <row r="33" spans="1:11" ht="72">
      <c r="A33" s="9" t="s">
        <v>67</v>
      </c>
      <c r="B33" s="9" t="s">
        <v>68</v>
      </c>
      <c r="C33" s="10" t="s">
        <v>69</v>
      </c>
      <c r="D33" s="11" t="s">
        <v>52</v>
      </c>
      <c r="E33" s="11">
        <v>5</v>
      </c>
      <c r="F33" s="11" t="s">
        <v>19</v>
      </c>
      <c r="G33" s="11" t="s">
        <v>17</v>
      </c>
      <c r="H33" s="9"/>
      <c r="I33" s="11">
        <v>7</v>
      </c>
      <c r="J33" s="7">
        <f t="shared" si="0"/>
        <v>-2</v>
      </c>
    </row>
    <row r="34" spans="1:11" ht="100.8">
      <c r="A34" s="52" t="s">
        <v>261</v>
      </c>
      <c r="B34" s="9" t="s">
        <v>259</v>
      </c>
      <c r="C34" s="10" t="s">
        <v>260</v>
      </c>
      <c r="D34" s="11" t="s">
        <v>52</v>
      </c>
      <c r="E34" s="11">
        <v>1</v>
      </c>
      <c r="F34" s="11" t="s">
        <v>19</v>
      </c>
      <c r="G34" s="11" t="s">
        <v>17</v>
      </c>
      <c r="H34" s="9" t="s">
        <v>311</v>
      </c>
      <c r="I34" s="11"/>
      <c r="J34" s="7" t="str">
        <f t="shared" si="0"/>
        <v/>
      </c>
      <c r="K34" s="58"/>
    </row>
    <row r="35" spans="1:11" ht="57.6">
      <c r="A35" s="9"/>
      <c r="B35" s="9" t="s">
        <v>70</v>
      </c>
      <c r="C35" s="10" t="s">
        <v>71</v>
      </c>
      <c r="D35" s="11" t="s">
        <v>52</v>
      </c>
      <c r="E35" s="11">
        <v>4</v>
      </c>
      <c r="F35" s="11" t="s">
        <v>19</v>
      </c>
      <c r="G35" s="11" t="s">
        <v>17</v>
      </c>
      <c r="H35" s="9"/>
      <c r="I35" s="11"/>
      <c r="J35" s="7" t="str">
        <f t="shared" ref="J35:J66" si="1">IF(ISBLANK(I35),"",E35-I35)</f>
        <v/>
      </c>
    </row>
    <row r="36" spans="1:11" ht="43.2">
      <c r="A36" s="9"/>
      <c r="B36" s="9" t="s">
        <v>72</v>
      </c>
      <c r="C36" s="10" t="s">
        <v>73</v>
      </c>
      <c r="D36" s="11" t="s">
        <v>52</v>
      </c>
      <c r="E36" s="11">
        <v>1</v>
      </c>
      <c r="F36" s="11" t="s">
        <v>16</v>
      </c>
      <c r="G36" s="11" t="s">
        <v>17</v>
      </c>
      <c r="H36" s="9"/>
      <c r="I36" s="11"/>
      <c r="J36" s="7" t="str">
        <f t="shared" si="1"/>
        <v/>
      </c>
    </row>
    <row r="37" spans="1:11" ht="43.2">
      <c r="A37" s="17" t="s">
        <v>57</v>
      </c>
      <c r="B37" s="9" t="s">
        <v>74</v>
      </c>
      <c r="C37" s="10" t="s">
        <v>75</v>
      </c>
      <c r="D37" s="11" t="s">
        <v>52</v>
      </c>
      <c r="E37" s="11">
        <v>1</v>
      </c>
      <c r="F37" s="11" t="s">
        <v>19</v>
      </c>
      <c r="G37" s="11" t="s">
        <v>17</v>
      </c>
      <c r="H37" s="9"/>
      <c r="I37" s="11">
        <v>1</v>
      </c>
      <c r="J37" s="7">
        <f t="shared" si="1"/>
        <v>0</v>
      </c>
    </row>
    <row r="38" spans="1:11" ht="28.8">
      <c r="A38" s="9"/>
      <c r="B38" s="9" t="s">
        <v>76</v>
      </c>
      <c r="C38" s="10" t="s">
        <v>77</v>
      </c>
      <c r="D38" s="11" t="s">
        <v>52</v>
      </c>
      <c r="E38" s="11">
        <v>10</v>
      </c>
      <c r="F38" s="11" t="s">
        <v>19</v>
      </c>
      <c r="G38" s="11" t="s">
        <v>17</v>
      </c>
      <c r="H38" s="9"/>
      <c r="I38" s="11"/>
      <c r="J38" s="7" t="str">
        <f t="shared" si="1"/>
        <v/>
      </c>
    </row>
    <row r="39" spans="1:11" ht="57.6">
      <c r="A39" s="9" t="s">
        <v>78</v>
      </c>
      <c r="B39" s="9" t="s">
        <v>79</v>
      </c>
      <c r="C39" s="10" t="s">
        <v>80</v>
      </c>
      <c r="D39" s="11" t="s">
        <v>52</v>
      </c>
      <c r="E39" s="11">
        <v>1</v>
      </c>
      <c r="F39" s="11" t="s">
        <v>19</v>
      </c>
      <c r="G39" s="11" t="s">
        <v>17</v>
      </c>
      <c r="H39" s="9"/>
      <c r="I39" s="11">
        <v>1</v>
      </c>
      <c r="J39" s="7">
        <f t="shared" si="1"/>
        <v>0</v>
      </c>
    </row>
    <row r="40" spans="1:11" ht="28.8">
      <c r="A40" s="9" t="s">
        <v>81</v>
      </c>
      <c r="B40" s="9" t="s">
        <v>82</v>
      </c>
      <c r="C40" s="10" t="s">
        <v>83</v>
      </c>
      <c r="D40" s="11" t="s">
        <v>52</v>
      </c>
      <c r="E40" s="11">
        <v>2</v>
      </c>
      <c r="F40" s="11" t="s">
        <v>19</v>
      </c>
      <c r="G40" s="11" t="s">
        <v>17</v>
      </c>
      <c r="H40" s="9"/>
      <c r="I40" s="11">
        <v>2</v>
      </c>
      <c r="J40" s="7">
        <f t="shared" si="1"/>
        <v>0</v>
      </c>
    </row>
    <row r="41" spans="1:11" ht="28.8">
      <c r="A41" s="9" t="s">
        <v>84</v>
      </c>
      <c r="B41" s="9" t="s">
        <v>85</v>
      </c>
      <c r="C41" s="10" t="s">
        <v>86</v>
      </c>
      <c r="D41" s="11" t="s">
        <v>52</v>
      </c>
      <c r="E41" s="11">
        <v>1</v>
      </c>
      <c r="F41" s="11" t="s">
        <v>19</v>
      </c>
      <c r="G41" s="11" t="s">
        <v>17</v>
      </c>
      <c r="H41" s="9"/>
      <c r="I41" s="11">
        <v>1</v>
      </c>
      <c r="J41" s="7">
        <f t="shared" si="1"/>
        <v>0</v>
      </c>
    </row>
    <row r="42" spans="1:11" ht="43.2">
      <c r="A42" s="9" t="s">
        <v>87</v>
      </c>
      <c r="B42" s="9" t="s">
        <v>88</v>
      </c>
      <c r="C42" s="10" t="s">
        <v>89</v>
      </c>
      <c r="D42" s="11" t="s">
        <v>52</v>
      </c>
      <c r="E42" s="11">
        <v>2</v>
      </c>
      <c r="F42" s="11" t="s">
        <v>19</v>
      </c>
      <c r="G42" s="11" t="s">
        <v>17</v>
      </c>
      <c r="H42" s="9"/>
      <c r="I42" s="11">
        <v>2</v>
      </c>
      <c r="J42" s="7">
        <f t="shared" si="1"/>
        <v>0</v>
      </c>
    </row>
    <row r="43" spans="1:11" ht="28.8">
      <c r="A43" s="17" t="s">
        <v>308</v>
      </c>
      <c r="B43" s="9" t="s">
        <v>90</v>
      </c>
      <c r="C43" s="10">
        <v>1176010000</v>
      </c>
      <c r="D43" s="11" t="s">
        <v>91</v>
      </c>
      <c r="E43" s="11">
        <v>3</v>
      </c>
      <c r="F43" s="11" t="s">
        <v>19</v>
      </c>
      <c r="G43" s="11" t="s">
        <v>17</v>
      </c>
      <c r="H43" s="9"/>
      <c r="I43" s="11">
        <v>3</v>
      </c>
      <c r="J43" s="7">
        <f t="shared" si="1"/>
        <v>0</v>
      </c>
    </row>
    <row r="44" spans="1:11" ht="43.2">
      <c r="A44" s="17" t="s">
        <v>307</v>
      </c>
      <c r="B44" s="9" t="s">
        <v>92</v>
      </c>
      <c r="C44" s="10">
        <v>1176000000</v>
      </c>
      <c r="D44" s="11" t="s">
        <v>91</v>
      </c>
      <c r="E44" s="11">
        <v>5</v>
      </c>
      <c r="F44" s="11" t="s">
        <v>19</v>
      </c>
      <c r="G44" s="12" t="s">
        <v>93</v>
      </c>
      <c r="H44" s="9" t="s">
        <v>94</v>
      </c>
      <c r="I44" s="11">
        <v>7</v>
      </c>
      <c r="J44" s="7">
        <f t="shared" si="1"/>
        <v>-2</v>
      </c>
      <c r="K44" s="1" t="s">
        <v>262</v>
      </c>
    </row>
    <row r="45" spans="1:11" ht="43.2">
      <c r="A45" s="9"/>
      <c r="B45" s="9" t="s">
        <v>95</v>
      </c>
      <c r="C45" s="10">
        <v>1877680000</v>
      </c>
      <c r="D45" s="11" t="s">
        <v>91</v>
      </c>
      <c r="E45" s="11">
        <v>1</v>
      </c>
      <c r="F45" s="11" t="s">
        <v>16</v>
      </c>
      <c r="G45" s="11" t="s">
        <v>17</v>
      </c>
      <c r="H45" s="9"/>
      <c r="I45" s="11"/>
      <c r="J45" s="7" t="str">
        <f t="shared" si="1"/>
        <v/>
      </c>
    </row>
    <row r="46" spans="1:11" ht="43.2">
      <c r="A46" s="17" t="s">
        <v>306</v>
      </c>
      <c r="B46" s="9" t="s">
        <v>96</v>
      </c>
      <c r="C46" s="10">
        <v>1123540000</v>
      </c>
      <c r="D46" s="11" t="s">
        <v>91</v>
      </c>
      <c r="E46" s="11">
        <v>41</v>
      </c>
      <c r="F46" s="11" t="s">
        <v>19</v>
      </c>
      <c r="G46" s="13" t="s">
        <v>17</v>
      </c>
      <c r="H46" s="9"/>
      <c r="I46" s="11">
        <v>20</v>
      </c>
      <c r="J46" s="7">
        <f t="shared" si="1"/>
        <v>21</v>
      </c>
      <c r="K46" s="1" t="s">
        <v>263</v>
      </c>
    </row>
    <row r="47" spans="1:11" ht="57.6">
      <c r="A47" s="9"/>
      <c r="B47" s="9" t="s">
        <v>97</v>
      </c>
      <c r="C47" s="10">
        <v>2556460000</v>
      </c>
      <c r="D47" s="11" t="s">
        <v>91</v>
      </c>
      <c r="E47" s="11">
        <v>1</v>
      </c>
      <c r="F47" s="11" t="s">
        <v>16</v>
      </c>
      <c r="G47" s="11" t="s">
        <v>17</v>
      </c>
      <c r="H47" s="9"/>
      <c r="I47" s="11"/>
      <c r="J47" s="7" t="str">
        <f t="shared" si="1"/>
        <v/>
      </c>
    </row>
    <row r="48" spans="1:11" ht="43.2">
      <c r="A48" s="17" t="s">
        <v>304</v>
      </c>
      <c r="B48" s="9" t="s">
        <v>98</v>
      </c>
      <c r="C48" s="10">
        <v>1122770000</v>
      </c>
      <c r="D48" s="11" t="s">
        <v>91</v>
      </c>
      <c r="E48" s="11">
        <v>40</v>
      </c>
      <c r="F48" s="11" t="s">
        <v>19</v>
      </c>
      <c r="G48" s="13" t="s">
        <v>17</v>
      </c>
      <c r="H48" s="9"/>
      <c r="I48" s="11">
        <v>43</v>
      </c>
      <c r="J48" s="7">
        <f t="shared" si="1"/>
        <v>-3</v>
      </c>
      <c r="K48" s="1" t="s">
        <v>263</v>
      </c>
    </row>
    <row r="49" spans="1:11" ht="28.8">
      <c r="A49" s="9" t="s">
        <v>99</v>
      </c>
      <c r="B49" s="9" t="s">
        <v>100</v>
      </c>
      <c r="C49" s="10" t="s">
        <v>101</v>
      </c>
      <c r="D49" s="11" t="s">
        <v>102</v>
      </c>
      <c r="E49" s="11">
        <v>2</v>
      </c>
      <c r="F49" s="11" t="s">
        <v>19</v>
      </c>
      <c r="G49" s="13" t="s">
        <v>17</v>
      </c>
      <c r="H49" s="9"/>
      <c r="I49" s="11">
        <v>2</v>
      </c>
      <c r="J49" s="7">
        <f t="shared" si="1"/>
        <v>0</v>
      </c>
      <c r="K49" s="1" t="s">
        <v>258</v>
      </c>
    </row>
    <row r="50" spans="1:11" ht="43.2">
      <c r="A50" s="17" t="s">
        <v>305</v>
      </c>
      <c r="B50" s="9" t="s">
        <v>103</v>
      </c>
      <c r="C50" s="10">
        <v>1123490000</v>
      </c>
      <c r="D50" s="11" t="s">
        <v>91</v>
      </c>
      <c r="E50" s="11">
        <v>30</v>
      </c>
      <c r="F50" s="11" t="s">
        <v>19</v>
      </c>
      <c r="G50" s="13" t="s">
        <v>17</v>
      </c>
      <c r="H50" s="9"/>
      <c r="I50" s="11">
        <v>47</v>
      </c>
      <c r="J50" s="7">
        <f t="shared" si="1"/>
        <v>-17</v>
      </c>
      <c r="K50" s="1" t="s">
        <v>258</v>
      </c>
    </row>
    <row r="51" spans="1:11" ht="43.2">
      <c r="A51" s="9"/>
      <c r="B51" s="9" t="s">
        <v>104</v>
      </c>
      <c r="C51" s="10">
        <v>1240800000</v>
      </c>
      <c r="D51" s="11" t="s">
        <v>91</v>
      </c>
      <c r="E51" s="11">
        <v>1</v>
      </c>
      <c r="F51" s="11" t="s">
        <v>16</v>
      </c>
      <c r="G51" s="11" t="s">
        <v>17</v>
      </c>
      <c r="H51" s="9"/>
      <c r="I51" s="11"/>
      <c r="J51" s="7" t="str">
        <f t="shared" si="1"/>
        <v/>
      </c>
    </row>
    <row r="52" spans="1:11" ht="57.6">
      <c r="A52" s="9"/>
      <c r="B52" s="9" t="s">
        <v>105</v>
      </c>
      <c r="C52" s="10">
        <v>2556450000</v>
      </c>
      <c r="D52" s="11" t="s">
        <v>91</v>
      </c>
      <c r="E52" s="11">
        <v>1</v>
      </c>
      <c r="F52" s="11" t="s">
        <v>16</v>
      </c>
      <c r="G52" s="11" t="s">
        <v>17</v>
      </c>
      <c r="H52" s="9"/>
      <c r="I52" s="11"/>
      <c r="J52" s="7" t="str">
        <f t="shared" si="1"/>
        <v/>
      </c>
    </row>
    <row r="53" spans="1:11" ht="28.8">
      <c r="A53" s="9" t="s">
        <v>106</v>
      </c>
      <c r="B53" s="9" t="s">
        <v>107</v>
      </c>
      <c r="C53" s="10">
        <v>1020100000</v>
      </c>
      <c r="D53" s="11" t="s">
        <v>91</v>
      </c>
      <c r="E53" s="11">
        <v>6</v>
      </c>
      <c r="F53" s="11" t="s">
        <v>16</v>
      </c>
      <c r="G53" s="11" t="s">
        <v>17</v>
      </c>
      <c r="H53" s="16" t="s">
        <v>302</v>
      </c>
      <c r="I53" s="11">
        <f>246+135</f>
        <v>381</v>
      </c>
      <c r="J53" s="7">
        <f t="shared" si="1"/>
        <v>-375</v>
      </c>
      <c r="K53" s="20" t="s">
        <v>264</v>
      </c>
    </row>
    <row r="54" spans="1:11" ht="28.8">
      <c r="A54" s="9"/>
      <c r="B54" s="9" t="s">
        <v>108</v>
      </c>
      <c r="C54" s="10">
        <v>1061200000</v>
      </c>
      <c r="D54" s="11" t="s">
        <v>91</v>
      </c>
      <c r="E54" s="11">
        <v>2</v>
      </c>
      <c r="F54" s="11" t="s">
        <v>16</v>
      </c>
      <c r="G54" s="11" t="s">
        <v>17</v>
      </c>
      <c r="H54" s="9"/>
      <c r="I54" s="11"/>
      <c r="J54" s="7" t="str">
        <f t="shared" si="1"/>
        <v/>
      </c>
    </row>
    <row r="55" spans="1:11" ht="28.8">
      <c r="A55" s="9"/>
      <c r="B55" s="9" t="s">
        <v>109</v>
      </c>
      <c r="C55" s="10">
        <v>2460780000</v>
      </c>
      <c r="D55" s="11" t="s">
        <v>91</v>
      </c>
      <c r="E55" s="11">
        <v>1</v>
      </c>
      <c r="F55" s="11" t="s">
        <v>16</v>
      </c>
      <c r="G55" s="11" t="s">
        <v>17</v>
      </c>
      <c r="H55" s="9"/>
      <c r="I55" s="11"/>
      <c r="J55" s="7" t="str">
        <f t="shared" si="1"/>
        <v/>
      </c>
    </row>
    <row r="56" spans="1:11" ht="28.8">
      <c r="A56" s="9"/>
      <c r="B56" s="9" t="s">
        <v>110</v>
      </c>
      <c r="C56" s="10">
        <v>2460740000</v>
      </c>
      <c r="D56" s="11" t="s">
        <v>91</v>
      </c>
      <c r="E56" s="11">
        <v>3</v>
      </c>
      <c r="F56" s="11" t="s">
        <v>16</v>
      </c>
      <c r="G56" s="11" t="s">
        <v>17</v>
      </c>
      <c r="H56" s="9"/>
      <c r="I56" s="11"/>
      <c r="J56" s="7" t="str">
        <f t="shared" si="1"/>
        <v/>
      </c>
    </row>
    <row r="57" spans="1:11" ht="28.8">
      <c r="A57" s="9"/>
      <c r="B57" s="9" t="s">
        <v>111</v>
      </c>
      <c r="C57" s="10">
        <v>2561600000</v>
      </c>
      <c r="D57" s="11" t="s">
        <v>91</v>
      </c>
      <c r="E57" s="11">
        <v>3</v>
      </c>
      <c r="F57" s="11" t="s">
        <v>16</v>
      </c>
      <c r="G57" s="11" t="s">
        <v>17</v>
      </c>
      <c r="H57" s="9"/>
      <c r="I57" s="11"/>
      <c r="J57" s="7" t="str">
        <f t="shared" si="1"/>
        <v/>
      </c>
    </row>
    <row r="58" spans="1:11" ht="28.8">
      <c r="A58" s="9"/>
      <c r="B58" s="9" t="s">
        <v>112</v>
      </c>
      <c r="C58" s="10">
        <v>1050000000</v>
      </c>
      <c r="D58" s="11" t="s">
        <v>91</v>
      </c>
      <c r="E58" s="11">
        <v>2</v>
      </c>
      <c r="F58" s="11" t="s">
        <v>16</v>
      </c>
      <c r="G58" s="11" t="s">
        <v>17</v>
      </c>
      <c r="H58" s="9"/>
      <c r="I58" s="11"/>
      <c r="J58" s="7" t="str">
        <f t="shared" si="1"/>
        <v/>
      </c>
    </row>
    <row r="59" spans="1:11" ht="43.2">
      <c r="A59" s="17" t="s">
        <v>303</v>
      </c>
      <c r="B59" s="9" t="s">
        <v>113</v>
      </c>
      <c r="C59" s="10">
        <v>1020400000</v>
      </c>
      <c r="D59" s="11" t="s">
        <v>91</v>
      </c>
      <c r="E59" s="11">
        <v>1</v>
      </c>
      <c r="F59" s="11" t="s">
        <v>16</v>
      </c>
      <c r="G59" s="11" t="s">
        <v>17</v>
      </c>
      <c r="H59" s="16" t="s">
        <v>309</v>
      </c>
      <c r="I59" s="11">
        <v>8</v>
      </c>
      <c r="J59" s="7">
        <f t="shared" si="1"/>
        <v>-7</v>
      </c>
    </row>
    <row r="60" spans="1:11" ht="28.8">
      <c r="A60" s="9"/>
      <c r="B60" s="9" t="s">
        <v>114</v>
      </c>
      <c r="C60" s="10">
        <v>1059000000</v>
      </c>
      <c r="D60" s="11" t="s">
        <v>91</v>
      </c>
      <c r="E60" s="11">
        <v>1</v>
      </c>
      <c r="F60" s="11" t="s">
        <v>16</v>
      </c>
      <c r="G60" s="11" t="s">
        <v>17</v>
      </c>
      <c r="H60" s="9"/>
      <c r="I60" s="11"/>
      <c r="J60" s="7" t="str">
        <f t="shared" si="1"/>
        <v/>
      </c>
    </row>
    <row r="61" spans="1:11" ht="28.8">
      <c r="A61" s="9"/>
      <c r="B61" s="9" t="s">
        <v>115</v>
      </c>
      <c r="C61" s="10">
        <v>1050100000</v>
      </c>
      <c r="D61" s="11" t="s">
        <v>91</v>
      </c>
      <c r="E61" s="11">
        <v>1</v>
      </c>
      <c r="F61" s="11" t="s">
        <v>16</v>
      </c>
      <c r="G61" s="11" t="s">
        <v>17</v>
      </c>
      <c r="H61" s="9"/>
      <c r="I61" s="11"/>
      <c r="J61" s="7" t="str">
        <f t="shared" si="1"/>
        <v/>
      </c>
    </row>
    <row r="62" spans="1:11" ht="43.2">
      <c r="A62" s="17" t="s">
        <v>289</v>
      </c>
      <c r="B62" s="9" t="s">
        <v>116</v>
      </c>
      <c r="C62" s="10">
        <v>2954934</v>
      </c>
      <c r="D62" s="11" t="s">
        <v>117</v>
      </c>
      <c r="E62" s="11">
        <v>1</v>
      </c>
      <c r="F62" s="11" t="s">
        <v>19</v>
      </c>
      <c r="G62" s="11" t="s">
        <v>17</v>
      </c>
      <c r="H62" s="9"/>
      <c r="I62" s="11">
        <v>1</v>
      </c>
      <c r="J62" s="7">
        <f t="shared" si="1"/>
        <v>0</v>
      </c>
      <c r="K62" s="19"/>
    </row>
    <row r="63" spans="1:11" ht="72">
      <c r="A63" s="17" t="s">
        <v>279</v>
      </c>
      <c r="B63" s="9" t="s">
        <v>118</v>
      </c>
      <c r="C63" s="10" t="s">
        <v>119</v>
      </c>
      <c r="D63" s="11" t="s">
        <v>120</v>
      </c>
      <c r="E63" s="11">
        <v>41</v>
      </c>
      <c r="F63" s="11" t="s">
        <v>19</v>
      </c>
      <c r="G63" s="11" t="s">
        <v>17</v>
      </c>
      <c r="H63" s="9"/>
      <c r="I63" s="11">
        <v>25</v>
      </c>
      <c r="J63" s="7">
        <f t="shared" si="1"/>
        <v>16</v>
      </c>
    </row>
    <row r="64" spans="1:11">
      <c r="A64" s="17" t="s">
        <v>288</v>
      </c>
      <c r="B64" s="9" t="s">
        <v>121</v>
      </c>
      <c r="C64" s="10" t="s">
        <v>122</v>
      </c>
      <c r="D64" s="11" t="s">
        <v>120</v>
      </c>
      <c r="E64" s="11">
        <v>11</v>
      </c>
      <c r="F64" s="11" t="s">
        <v>19</v>
      </c>
      <c r="G64" s="11" t="s">
        <v>17</v>
      </c>
      <c r="H64" s="9"/>
      <c r="I64" s="11">
        <v>9</v>
      </c>
      <c r="J64" s="7">
        <f t="shared" si="1"/>
        <v>2</v>
      </c>
    </row>
    <row r="65" spans="1:11">
      <c r="A65" s="22"/>
      <c r="B65" s="22" t="s">
        <v>123</v>
      </c>
      <c r="C65" s="23" t="s">
        <v>124</v>
      </c>
      <c r="D65" s="24" t="s">
        <v>120</v>
      </c>
      <c r="E65" s="11">
        <v>1</v>
      </c>
      <c r="F65" s="11" t="s">
        <v>19</v>
      </c>
      <c r="G65" s="11" t="s">
        <v>17</v>
      </c>
      <c r="H65" s="9"/>
      <c r="I65" s="11"/>
      <c r="J65" s="7" t="str">
        <f t="shared" si="1"/>
        <v/>
      </c>
    </row>
    <row r="66" spans="1:11">
      <c r="A66" s="22"/>
      <c r="B66" s="22" t="s">
        <v>125</v>
      </c>
      <c r="C66" s="23" t="s">
        <v>126</v>
      </c>
      <c r="D66" s="24" t="s">
        <v>120</v>
      </c>
      <c r="E66" s="11">
        <v>1</v>
      </c>
      <c r="F66" s="11" t="s">
        <v>19</v>
      </c>
      <c r="G66" s="11" t="s">
        <v>17</v>
      </c>
      <c r="H66" s="9"/>
      <c r="I66" s="11"/>
      <c r="J66" s="7" t="str">
        <f t="shared" si="1"/>
        <v/>
      </c>
    </row>
    <row r="67" spans="1:11" ht="28.8">
      <c r="A67" s="26" t="s">
        <v>127</v>
      </c>
      <c r="B67" s="26" t="s">
        <v>128</v>
      </c>
      <c r="C67" s="27" t="s">
        <v>129</v>
      </c>
      <c r="D67" s="15" t="s">
        <v>130</v>
      </c>
      <c r="E67" s="11">
        <v>7</v>
      </c>
      <c r="F67" s="11" t="s">
        <v>19</v>
      </c>
      <c r="G67" s="11" t="s">
        <v>17</v>
      </c>
      <c r="H67" s="9"/>
      <c r="I67" s="11">
        <v>7</v>
      </c>
      <c r="J67" s="7">
        <f t="shared" ref="J67:J97" si="2">IF(ISBLANK(I67),"",E67-I67)</f>
        <v>0</v>
      </c>
      <c r="K67" s="19"/>
    </row>
    <row r="68" spans="1:11" ht="43.8" customHeight="1">
      <c r="A68" s="41" t="s">
        <v>281</v>
      </c>
      <c r="B68" s="38" t="s">
        <v>131</v>
      </c>
      <c r="C68" s="39" t="s">
        <v>256</v>
      </c>
      <c r="D68" s="40" t="s">
        <v>120</v>
      </c>
      <c r="E68" s="25">
        <v>15</v>
      </c>
      <c r="F68" s="11" t="s">
        <v>19</v>
      </c>
      <c r="G68" s="11" t="s">
        <v>17</v>
      </c>
      <c r="H68" s="9" t="s">
        <v>282</v>
      </c>
      <c r="I68" s="11">
        <v>7</v>
      </c>
      <c r="J68" s="7">
        <f t="shared" si="2"/>
        <v>8</v>
      </c>
      <c r="K68" s="34" t="s">
        <v>265</v>
      </c>
    </row>
    <row r="69" spans="1:11" ht="28.8">
      <c r="A69" s="49" t="s">
        <v>283</v>
      </c>
      <c r="B69" s="46" t="s">
        <v>132</v>
      </c>
      <c r="C69" s="47" t="s">
        <v>133</v>
      </c>
      <c r="D69" s="48" t="s">
        <v>120</v>
      </c>
      <c r="E69" s="25">
        <v>6</v>
      </c>
      <c r="F69" s="11" t="s">
        <v>19</v>
      </c>
      <c r="G69" s="11" t="s">
        <v>17</v>
      </c>
      <c r="H69" s="9"/>
      <c r="I69" s="11">
        <v>6</v>
      </c>
      <c r="J69" s="7">
        <f t="shared" si="2"/>
        <v>0</v>
      </c>
    </row>
    <row r="70" spans="1:11" ht="37.200000000000003" customHeight="1">
      <c r="A70" s="31" t="s">
        <v>284</v>
      </c>
      <c r="B70" s="28" t="s">
        <v>134</v>
      </c>
      <c r="C70" s="29" t="s">
        <v>135</v>
      </c>
      <c r="D70" s="30" t="s">
        <v>120</v>
      </c>
      <c r="E70" s="25">
        <v>6</v>
      </c>
      <c r="F70" s="11" t="s">
        <v>19</v>
      </c>
      <c r="G70" s="11" t="s">
        <v>17</v>
      </c>
      <c r="H70" s="9" t="s">
        <v>285</v>
      </c>
      <c r="I70" s="11">
        <v>3</v>
      </c>
      <c r="J70" s="7">
        <f t="shared" si="2"/>
        <v>3</v>
      </c>
    </row>
    <row r="71" spans="1:11" ht="28.8">
      <c r="A71" s="43" t="s">
        <v>136</v>
      </c>
      <c r="B71" s="43" t="s">
        <v>137</v>
      </c>
      <c r="C71" s="44" t="s">
        <v>138</v>
      </c>
      <c r="D71" s="45" t="s">
        <v>120</v>
      </c>
      <c r="E71" s="25">
        <v>3</v>
      </c>
      <c r="F71" s="11" t="s">
        <v>19</v>
      </c>
      <c r="G71" s="11" t="s">
        <v>17</v>
      </c>
      <c r="H71" s="9"/>
      <c r="I71" s="11">
        <v>3</v>
      </c>
      <c r="J71" s="7">
        <f t="shared" si="2"/>
        <v>0</v>
      </c>
    </row>
    <row r="72" spans="1:11" ht="28.8">
      <c r="A72" s="41" t="s">
        <v>287</v>
      </c>
      <c r="B72" s="38" t="s">
        <v>139</v>
      </c>
      <c r="C72" s="39" t="s">
        <v>140</v>
      </c>
      <c r="D72" s="40" t="s">
        <v>120</v>
      </c>
      <c r="E72" s="11">
        <v>4</v>
      </c>
      <c r="F72" s="11" t="s">
        <v>19</v>
      </c>
      <c r="G72" s="11" t="s">
        <v>17</v>
      </c>
      <c r="H72" s="9" t="s">
        <v>286</v>
      </c>
      <c r="I72" s="11">
        <v>3</v>
      </c>
      <c r="J72" s="7">
        <f t="shared" si="2"/>
        <v>1</v>
      </c>
    </row>
    <row r="73" spans="1:11" ht="28.8">
      <c r="A73" s="46" t="s">
        <v>141</v>
      </c>
      <c r="B73" s="46" t="s">
        <v>142</v>
      </c>
      <c r="C73" s="47" t="s">
        <v>143</v>
      </c>
      <c r="D73" s="48" t="s">
        <v>120</v>
      </c>
      <c r="E73" s="11">
        <v>3</v>
      </c>
      <c r="F73" s="11" t="s">
        <v>19</v>
      </c>
      <c r="G73" s="11" t="s">
        <v>17</v>
      </c>
      <c r="H73" s="9"/>
      <c r="I73" s="11">
        <v>3</v>
      </c>
      <c r="J73" s="7">
        <f t="shared" si="2"/>
        <v>0</v>
      </c>
    </row>
    <row r="74" spans="1:11" ht="28.8">
      <c r="A74" s="28" t="s">
        <v>144</v>
      </c>
      <c r="B74" s="28" t="s">
        <v>145</v>
      </c>
      <c r="C74" s="29" t="s">
        <v>273</v>
      </c>
      <c r="D74" s="30" t="s">
        <v>120</v>
      </c>
      <c r="E74" s="11">
        <v>3</v>
      </c>
      <c r="F74" s="11" t="s">
        <v>19</v>
      </c>
      <c r="G74" s="11" t="s">
        <v>17</v>
      </c>
      <c r="H74" s="9"/>
      <c r="I74" s="11">
        <v>3</v>
      </c>
      <c r="J74" s="7">
        <f t="shared" si="2"/>
        <v>0</v>
      </c>
    </row>
    <row r="75" spans="1:11" ht="28.8">
      <c r="A75" s="42" t="s">
        <v>280</v>
      </c>
      <c r="B75" s="35" t="s">
        <v>146</v>
      </c>
      <c r="C75" s="36" t="s">
        <v>147</v>
      </c>
      <c r="D75" s="37" t="s">
        <v>120</v>
      </c>
      <c r="E75" s="11">
        <v>1</v>
      </c>
      <c r="F75" s="11" t="s">
        <v>19</v>
      </c>
      <c r="G75" s="11" t="s">
        <v>17</v>
      </c>
      <c r="H75" s="9"/>
      <c r="I75" s="11">
        <v>1</v>
      </c>
      <c r="J75" s="7">
        <f t="shared" si="2"/>
        <v>0</v>
      </c>
    </row>
    <row r="76" spans="1:11">
      <c r="A76" s="42" t="s">
        <v>280</v>
      </c>
      <c r="B76" s="37" t="s">
        <v>148</v>
      </c>
      <c r="C76" s="36" t="s">
        <v>149</v>
      </c>
      <c r="D76" s="37" t="s">
        <v>120</v>
      </c>
      <c r="E76" s="11">
        <v>1</v>
      </c>
      <c r="F76" s="11" t="s">
        <v>19</v>
      </c>
      <c r="G76" s="11" t="s">
        <v>17</v>
      </c>
      <c r="H76" s="9"/>
      <c r="I76" s="11">
        <v>1</v>
      </c>
      <c r="J76" s="7">
        <f t="shared" si="2"/>
        <v>0</v>
      </c>
    </row>
    <row r="77" spans="1:11" ht="43.2">
      <c r="A77" s="9" t="s">
        <v>150</v>
      </c>
      <c r="B77" s="9" t="s">
        <v>151</v>
      </c>
      <c r="C77" s="10" t="s">
        <v>152</v>
      </c>
      <c r="D77" s="11" t="s">
        <v>52</v>
      </c>
      <c r="E77" s="11">
        <v>1</v>
      </c>
      <c r="F77" s="11" t="s">
        <v>19</v>
      </c>
      <c r="G77" s="11" t="s">
        <v>17</v>
      </c>
      <c r="H77" s="9"/>
      <c r="I77" s="11">
        <v>1</v>
      </c>
      <c r="J77" s="7">
        <f t="shared" si="2"/>
        <v>0</v>
      </c>
    </row>
    <row r="78" spans="1:11" ht="28.8">
      <c r="A78" s="50" t="s">
        <v>300</v>
      </c>
      <c r="B78" s="9" t="s">
        <v>153</v>
      </c>
      <c r="C78" s="10" t="s">
        <v>154</v>
      </c>
      <c r="D78" s="11" t="s">
        <v>48</v>
      </c>
      <c r="E78" s="11">
        <v>6</v>
      </c>
      <c r="F78" s="11" t="s">
        <v>19</v>
      </c>
      <c r="G78" s="11" t="s">
        <v>17</v>
      </c>
      <c r="H78" s="9"/>
      <c r="I78" s="11">
        <v>6</v>
      </c>
      <c r="J78" s="7">
        <f t="shared" si="2"/>
        <v>0</v>
      </c>
      <c r="K78" s="19" t="s">
        <v>266</v>
      </c>
    </row>
    <row r="79" spans="1:11" ht="28.8">
      <c r="A79" s="50" t="s">
        <v>299</v>
      </c>
      <c r="B79" s="9" t="s">
        <v>155</v>
      </c>
      <c r="C79" s="10" t="s">
        <v>156</v>
      </c>
      <c r="D79" s="11" t="s">
        <v>48</v>
      </c>
      <c r="E79" s="11">
        <v>3</v>
      </c>
      <c r="F79" s="11" t="s">
        <v>16</v>
      </c>
      <c r="G79" s="11" t="s">
        <v>17</v>
      </c>
      <c r="H79" s="9"/>
      <c r="I79" s="11">
        <v>3</v>
      </c>
      <c r="J79" s="7">
        <f t="shared" si="2"/>
        <v>0</v>
      </c>
      <c r="K79" s="33"/>
    </row>
    <row r="80" spans="1:11" ht="28.8">
      <c r="A80" s="9" t="s">
        <v>157</v>
      </c>
      <c r="B80" s="9" t="s">
        <v>158</v>
      </c>
      <c r="C80" s="10">
        <v>943405</v>
      </c>
      <c r="D80" s="11" t="s">
        <v>159</v>
      </c>
      <c r="E80" s="11">
        <v>1</v>
      </c>
      <c r="F80" s="11" t="s">
        <v>19</v>
      </c>
      <c r="G80" s="11" t="s">
        <v>17</v>
      </c>
      <c r="H80" s="9"/>
      <c r="I80" s="11">
        <v>1</v>
      </c>
      <c r="J80" s="7">
        <f t="shared" si="2"/>
        <v>0</v>
      </c>
    </row>
    <row r="81" spans="1:11" ht="28.8">
      <c r="A81" s="9" t="s">
        <v>160</v>
      </c>
      <c r="B81" s="9" t="s">
        <v>161</v>
      </c>
      <c r="C81" s="10">
        <v>93444012</v>
      </c>
      <c r="D81" s="11" t="s">
        <v>162</v>
      </c>
      <c r="E81" s="11">
        <v>1</v>
      </c>
      <c r="F81" s="11" t="s">
        <v>19</v>
      </c>
      <c r="G81" s="11" t="s">
        <v>17</v>
      </c>
      <c r="H81" s="9"/>
      <c r="I81" s="11">
        <v>1</v>
      </c>
      <c r="J81" s="7">
        <f t="shared" si="2"/>
        <v>0</v>
      </c>
    </row>
    <row r="82" spans="1:11">
      <c r="A82" s="9" t="s">
        <v>160</v>
      </c>
      <c r="B82" s="9" t="s">
        <v>163</v>
      </c>
      <c r="C82" s="10">
        <v>13094006</v>
      </c>
      <c r="D82" s="11" t="s">
        <v>162</v>
      </c>
      <c r="E82" s="11">
        <v>1</v>
      </c>
      <c r="F82" s="11" t="s">
        <v>19</v>
      </c>
      <c r="G82" s="11" t="s">
        <v>17</v>
      </c>
      <c r="H82" s="9"/>
      <c r="I82" s="11">
        <v>1</v>
      </c>
      <c r="J82" s="7">
        <f t="shared" si="2"/>
        <v>0</v>
      </c>
    </row>
    <row r="83" spans="1:11">
      <c r="A83" s="9" t="s">
        <v>160</v>
      </c>
      <c r="B83" s="9" t="s">
        <v>164</v>
      </c>
      <c r="C83" s="10">
        <v>22944016</v>
      </c>
      <c r="D83" s="11" t="s">
        <v>162</v>
      </c>
      <c r="E83" s="11">
        <v>1</v>
      </c>
      <c r="F83" s="11" t="s">
        <v>19</v>
      </c>
      <c r="G83" s="11" t="s">
        <v>17</v>
      </c>
      <c r="H83" s="9"/>
      <c r="I83" s="11">
        <v>1</v>
      </c>
      <c r="J83" s="7">
        <f t="shared" si="2"/>
        <v>0</v>
      </c>
    </row>
    <row r="84" spans="1:11">
      <c r="A84" s="9" t="s">
        <v>160</v>
      </c>
      <c r="B84" s="9" t="s">
        <v>165</v>
      </c>
      <c r="C84" s="10">
        <v>13994006</v>
      </c>
      <c r="D84" s="11" t="s">
        <v>162</v>
      </c>
      <c r="E84" s="11">
        <v>1</v>
      </c>
      <c r="F84" s="11" t="s">
        <v>19</v>
      </c>
      <c r="G84" s="11" t="s">
        <v>17</v>
      </c>
      <c r="H84" s="9"/>
      <c r="I84" s="11">
        <v>1</v>
      </c>
      <c r="J84" s="7">
        <f t="shared" si="2"/>
        <v>0</v>
      </c>
    </row>
    <row r="85" spans="1:11" ht="28.8">
      <c r="A85" s="9" t="s">
        <v>160</v>
      </c>
      <c r="B85" s="9" t="s">
        <v>166</v>
      </c>
      <c r="C85" s="10">
        <v>13091001</v>
      </c>
      <c r="D85" s="11" t="s">
        <v>162</v>
      </c>
      <c r="E85" s="11">
        <v>1</v>
      </c>
      <c r="F85" s="11" t="s">
        <v>19</v>
      </c>
      <c r="G85" s="11" t="s">
        <v>17</v>
      </c>
      <c r="H85" s="9"/>
      <c r="I85" s="11">
        <v>1</v>
      </c>
      <c r="J85" s="7">
        <f t="shared" si="2"/>
        <v>0</v>
      </c>
    </row>
    <row r="86" spans="1:11">
      <c r="A86" s="9" t="s">
        <v>167</v>
      </c>
      <c r="B86" s="9" t="s">
        <v>168</v>
      </c>
      <c r="C86" s="10" t="s">
        <v>169</v>
      </c>
      <c r="D86" s="11" t="s">
        <v>48</v>
      </c>
      <c r="E86" s="11">
        <v>1</v>
      </c>
      <c r="F86" s="11" t="s">
        <v>19</v>
      </c>
      <c r="G86" s="11" t="s">
        <v>17</v>
      </c>
      <c r="H86" s="9"/>
      <c r="I86" s="11">
        <v>1</v>
      </c>
      <c r="J86" s="7">
        <f t="shared" si="2"/>
        <v>0</v>
      </c>
    </row>
    <row r="87" spans="1:11" ht="28.8">
      <c r="A87" s="17" t="s">
        <v>294</v>
      </c>
      <c r="B87" s="9" t="s">
        <v>170</v>
      </c>
      <c r="C87" s="10" t="s">
        <v>171</v>
      </c>
      <c r="D87" s="11" t="s">
        <v>48</v>
      </c>
      <c r="E87" s="11">
        <v>30</v>
      </c>
      <c r="F87" s="11" t="s">
        <v>19</v>
      </c>
      <c r="G87" s="11" t="s">
        <v>17</v>
      </c>
      <c r="H87" s="9"/>
      <c r="I87" s="11">
        <v>16</v>
      </c>
      <c r="J87" s="7">
        <f t="shared" si="2"/>
        <v>14</v>
      </c>
    </row>
    <row r="88" spans="1:11" ht="28.8">
      <c r="A88" s="17" t="s">
        <v>298</v>
      </c>
      <c r="B88" s="9" t="s">
        <v>172</v>
      </c>
      <c r="C88" s="10" t="s">
        <v>173</v>
      </c>
      <c r="D88" s="11" t="s">
        <v>48</v>
      </c>
      <c r="E88" s="11">
        <v>3</v>
      </c>
      <c r="F88" s="11" t="s">
        <v>19</v>
      </c>
      <c r="G88" s="11" t="s">
        <v>17</v>
      </c>
      <c r="H88" s="9"/>
      <c r="I88" s="11">
        <v>3</v>
      </c>
      <c r="J88" s="7">
        <f t="shared" si="2"/>
        <v>0</v>
      </c>
    </row>
    <row r="89" spans="1:11" ht="43.2">
      <c r="A89" s="17" t="s">
        <v>298</v>
      </c>
      <c r="B89" s="9" t="s">
        <v>174</v>
      </c>
      <c r="C89" s="10" t="s">
        <v>175</v>
      </c>
      <c r="D89" s="11" t="s">
        <v>48</v>
      </c>
      <c r="E89" s="11">
        <v>3</v>
      </c>
      <c r="F89" s="11" t="s">
        <v>19</v>
      </c>
      <c r="G89" s="11" t="s">
        <v>17</v>
      </c>
      <c r="H89" s="9"/>
      <c r="I89" s="11">
        <v>3</v>
      </c>
      <c r="J89" s="7">
        <f t="shared" si="2"/>
        <v>0</v>
      </c>
    </row>
    <row r="90" spans="1:11" ht="28.8">
      <c r="A90" s="17" t="s">
        <v>296</v>
      </c>
      <c r="B90" s="9" t="s">
        <v>176</v>
      </c>
      <c r="C90" s="10" t="s">
        <v>177</v>
      </c>
      <c r="D90" s="11" t="s">
        <v>48</v>
      </c>
      <c r="E90" s="11">
        <v>6</v>
      </c>
      <c r="F90" s="11" t="s">
        <v>19</v>
      </c>
      <c r="G90" s="11" t="s">
        <v>17</v>
      </c>
      <c r="H90" s="9"/>
      <c r="I90" s="11">
        <v>6</v>
      </c>
      <c r="J90" s="7">
        <f t="shared" si="2"/>
        <v>0</v>
      </c>
    </row>
    <row r="91" spans="1:11" ht="28.8">
      <c r="A91" s="9" t="s">
        <v>178</v>
      </c>
      <c r="B91" s="9" t="s">
        <v>179</v>
      </c>
      <c r="C91" s="10" t="s">
        <v>180</v>
      </c>
      <c r="D91" s="11" t="s">
        <v>48</v>
      </c>
      <c r="E91" s="11">
        <v>1</v>
      </c>
      <c r="F91" s="11" t="s">
        <v>19</v>
      </c>
      <c r="G91" s="11" t="s">
        <v>17</v>
      </c>
      <c r="H91" s="9"/>
      <c r="I91" s="11">
        <v>1</v>
      </c>
      <c r="J91" s="7">
        <f t="shared" si="2"/>
        <v>0</v>
      </c>
    </row>
    <row r="92" spans="1:11" ht="28.8">
      <c r="A92" s="9" t="s">
        <v>181</v>
      </c>
      <c r="B92" s="9" t="s">
        <v>182</v>
      </c>
      <c r="C92" s="10" t="s">
        <v>183</v>
      </c>
      <c r="D92" s="11" t="s">
        <v>48</v>
      </c>
      <c r="E92" s="11">
        <v>1</v>
      </c>
      <c r="F92" s="11" t="s">
        <v>19</v>
      </c>
      <c r="G92" s="11" t="s">
        <v>17</v>
      </c>
      <c r="H92" s="9"/>
      <c r="I92" s="11">
        <v>1</v>
      </c>
      <c r="J92" s="7">
        <f t="shared" si="2"/>
        <v>0</v>
      </c>
    </row>
    <row r="93" spans="1:11" ht="28.8">
      <c r="A93" s="17" t="s">
        <v>295</v>
      </c>
      <c r="B93" s="9" t="s">
        <v>184</v>
      </c>
      <c r="C93" s="10" t="s">
        <v>185</v>
      </c>
      <c r="D93" s="11" t="s">
        <v>48</v>
      </c>
      <c r="E93" s="11">
        <v>14</v>
      </c>
      <c r="F93" s="11" t="s">
        <v>19</v>
      </c>
      <c r="G93" s="11" t="s">
        <v>17</v>
      </c>
      <c r="H93" s="9"/>
      <c r="I93" s="11">
        <v>7</v>
      </c>
      <c r="J93" s="7">
        <f t="shared" si="2"/>
        <v>7</v>
      </c>
    </row>
    <row r="94" spans="1:11" ht="28.8">
      <c r="A94" s="9" t="s">
        <v>186</v>
      </c>
      <c r="B94" s="9" t="s">
        <v>187</v>
      </c>
      <c r="C94" s="10" t="s">
        <v>188</v>
      </c>
      <c r="D94" s="11" t="s">
        <v>48</v>
      </c>
      <c r="E94" s="11"/>
      <c r="F94" s="9"/>
      <c r="G94" s="11"/>
      <c r="H94" s="9"/>
      <c r="I94" s="11">
        <v>2</v>
      </c>
      <c r="J94" s="7">
        <f t="shared" si="2"/>
        <v>-2</v>
      </c>
      <c r="K94" s="1" t="s">
        <v>258</v>
      </c>
    </row>
    <row r="95" spans="1:11" ht="28.8">
      <c r="A95" s="9" t="s">
        <v>189</v>
      </c>
      <c r="B95" s="9" t="s">
        <v>190</v>
      </c>
      <c r="C95" s="10" t="s">
        <v>191</v>
      </c>
      <c r="D95" s="11" t="s">
        <v>48</v>
      </c>
      <c r="E95" s="11">
        <v>2</v>
      </c>
      <c r="F95" s="11" t="s">
        <v>19</v>
      </c>
      <c r="G95" s="11" t="s">
        <v>17</v>
      </c>
      <c r="H95" s="9"/>
      <c r="I95" s="11">
        <v>2</v>
      </c>
      <c r="J95" s="7">
        <f t="shared" si="2"/>
        <v>0</v>
      </c>
    </row>
    <row r="96" spans="1:11" ht="28.8">
      <c r="A96" s="17" t="s">
        <v>297</v>
      </c>
      <c r="B96" s="9" t="s">
        <v>192</v>
      </c>
      <c r="C96" s="10" t="s">
        <v>193</v>
      </c>
      <c r="D96" s="11" t="s">
        <v>48</v>
      </c>
      <c r="E96" s="11">
        <v>8</v>
      </c>
      <c r="F96" s="11" t="s">
        <v>19</v>
      </c>
      <c r="G96" s="11" t="s">
        <v>17</v>
      </c>
      <c r="H96" s="9"/>
      <c r="I96" s="11">
        <v>6</v>
      </c>
      <c r="J96" s="7">
        <f t="shared" si="2"/>
        <v>2</v>
      </c>
    </row>
    <row r="97" spans="1:11" ht="28.8">
      <c r="A97" s="9" t="s">
        <v>194</v>
      </c>
      <c r="B97" s="9" t="s">
        <v>195</v>
      </c>
      <c r="C97" s="10" t="s">
        <v>196</v>
      </c>
      <c r="D97" s="11" t="s">
        <v>48</v>
      </c>
      <c r="E97" s="11">
        <v>6</v>
      </c>
      <c r="F97" s="11" t="s">
        <v>19</v>
      </c>
      <c r="G97" s="11" t="s">
        <v>17</v>
      </c>
      <c r="H97" s="9"/>
      <c r="I97" s="11">
        <v>6</v>
      </c>
      <c r="J97" s="7">
        <f t="shared" si="2"/>
        <v>0</v>
      </c>
    </row>
    <row r="98" spans="1:11" ht="28.8">
      <c r="A98" s="9" t="s">
        <v>197</v>
      </c>
      <c r="B98" s="9" t="s">
        <v>198</v>
      </c>
      <c r="C98" s="10" t="s">
        <v>199</v>
      </c>
      <c r="D98" s="11" t="s">
        <v>48</v>
      </c>
      <c r="E98" s="11">
        <v>2</v>
      </c>
      <c r="F98" s="11" t="s">
        <v>19</v>
      </c>
      <c r="G98" s="11" t="s">
        <v>17</v>
      </c>
      <c r="H98" s="9"/>
      <c r="I98" s="11">
        <v>2</v>
      </c>
      <c r="J98" s="7">
        <f t="shared" ref="J98:J112" si="3">IF(ISBLANK(I98),"",E98-I98)</f>
        <v>0</v>
      </c>
    </row>
    <row r="99" spans="1:11" ht="28.8">
      <c r="A99" s="9" t="s">
        <v>197</v>
      </c>
      <c r="B99" s="9" t="s">
        <v>200</v>
      </c>
      <c r="C99" s="10">
        <v>29450</v>
      </c>
      <c r="D99" s="11" t="s">
        <v>48</v>
      </c>
      <c r="E99" s="11">
        <v>2</v>
      </c>
      <c r="F99" s="11" t="s">
        <v>19</v>
      </c>
      <c r="G99" s="11" t="s">
        <v>17</v>
      </c>
      <c r="H99" s="9"/>
      <c r="I99" s="11">
        <v>2</v>
      </c>
      <c r="J99" s="7">
        <f t="shared" si="3"/>
        <v>0</v>
      </c>
      <c r="K99" s="33"/>
    </row>
    <row r="100" spans="1:11">
      <c r="A100" s="9" t="s">
        <v>201</v>
      </c>
      <c r="B100" s="9" t="s">
        <v>202</v>
      </c>
      <c r="C100" s="10" t="s">
        <v>203</v>
      </c>
      <c r="D100" s="11" t="s">
        <v>204</v>
      </c>
      <c r="E100" s="11">
        <v>2</v>
      </c>
      <c r="F100" s="11" t="s">
        <v>19</v>
      </c>
      <c r="G100" s="11" t="s">
        <v>17</v>
      </c>
      <c r="H100" s="9"/>
      <c r="I100" s="11">
        <v>2</v>
      </c>
      <c r="J100" s="7">
        <f t="shared" si="3"/>
        <v>0</v>
      </c>
    </row>
    <row r="101" spans="1:11">
      <c r="A101" s="9" t="s">
        <v>201</v>
      </c>
      <c r="B101" s="9" t="s">
        <v>205</v>
      </c>
      <c r="C101" s="10" t="s">
        <v>206</v>
      </c>
      <c r="D101" s="11" t="s">
        <v>204</v>
      </c>
      <c r="E101" s="11">
        <v>1</v>
      </c>
      <c r="F101" s="11" t="s">
        <v>19</v>
      </c>
      <c r="G101" s="11" t="s">
        <v>17</v>
      </c>
      <c r="H101" s="9"/>
      <c r="I101" s="51">
        <v>1</v>
      </c>
      <c r="J101" s="7">
        <f t="shared" si="3"/>
        <v>0</v>
      </c>
      <c r="K101" s="19"/>
    </row>
    <row r="102" spans="1:11" ht="43.2">
      <c r="A102" s="9" t="s">
        <v>207</v>
      </c>
      <c r="B102" s="9" t="s">
        <v>208</v>
      </c>
      <c r="C102" s="10" t="s">
        <v>209</v>
      </c>
      <c r="D102" s="11" t="s">
        <v>210</v>
      </c>
      <c r="E102" s="11">
        <v>1</v>
      </c>
      <c r="F102" s="11" t="s">
        <v>19</v>
      </c>
      <c r="G102" s="11" t="s">
        <v>17</v>
      </c>
      <c r="H102" s="9"/>
      <c r="I102" s="11">
        <v>1</v>
      </c>
      <c r="J102" s="7">
        <f t="shared" si="3"/>
        <v>0</v>
      </c>
      <c r="K102" s="21"/>
    </row>
    <row r="103" spans="1:11" ht="28.8">
      <c r="A103" s="9" t="s">
        <v>211</v>
      </c>
      <c r="B103" s="9" t="s">
        <v>212</v>
      </c>
      <c r="C103" s="10">
        <v>2864011</v>
      </c>
      <c r="D103" s="11" t="s">
        <v>117</v>
      </c>
      <c r="E103" s="11">
        <v>2</v>
      </c>
      <c r="F103" s="11" t="s">
        <v>19</v>
      </c>
      <c r="G103" s="11" t="s">
        <v>17</v>
      </c>
      <c r="H103" s="9"/>
      <c r="I103" s="11">
        <v>2</v>
      </c>
      <c r="J103" s="7">
        <f t="shared" si="3"/>
        <v>0</v>
      </c>
    </row>
    <row r="104" spans="1:11" ht="28.8">
      <c r="A104" s="9" t="s">
        <v>213</v>
      </c>
      <c r="B104" s="9" t="s">
        <v>214</v>
      </c>
      <c r="C104" s="10" t="s">
        <v>215</v>
      </c>
      <c r="D104" s="11" t="s">
        <v>216</v>
      </c>
      <c r="E104" s="11">
        <v>2</v>
      </c>
      <c r="F104" s="11" t="s">
        <v>19</v>
      </c>
      <c r="G104" s="12" t="s">
        <v>93</v>
      </c>
      <c r="H104" s="9" t="s">
        <v>217</v>
      </c>
      <c r="I104" s="11"/>
      <c r="J104" s="7" t="str">
        <f t="shared" si="3"/>
        <v/>
      </c>
      <c r="K104" s="1" t="s">
        <v>267</v>
      </c>
    </row>
    <row r="105" spans="1:11" ht="28.8">
      <c r="A105" s="17" t="s">
        <v>275</v>
      </c>
      <c r="B105" s="9" t="s">
        <v>218</v>
      </c>
      <c r="C105" s="10" t="s">
        <v>219</v>
      </c>
      <c r="D105" s="11" t="s">
        <v>102</v>
      </c>
      <c r="E105" s="11">
        <v>5</v>
      </c>
      <c r="F105" s="11" t="s">
        <v>19</v>
      </c>
      <c r="G105" s="13" t="s">
        <v>17</v>
      </c>
      <c r="H105" s="9" t="s">
        <v>274</v>
      </c>
      <c r="I105" s="11">
        <v>2</v>
      </c>
      <c r="J105" s="7">
        <f t="shared" si="3"/>
        <v>3</v>
      </c>
      <c r="K105" s="19"/>
    </row>
    <row r="106" spans="1:11" ht="43.2">
      <c r="A106" s="17" t="s">
        <v>277</v>
      </c>
      <c r="B106" s="9" t="s">
        <v>220</v>
      </c>
      <c r="C106" s="18" t="s">
        <v>268</v>
      </c>
      <c r="D106" s="11" t="s">
        <v>102</v>
      </c>
      <c r="E106" s="11">
        <v>13</v>
      </c>
      <c r="F106" s="11" t="s">
        <v>19</v>
      </c>
      <c r="G106" s="13" t="s">
        <v>17</v>
      </c>
      <c r="H106" s="9" t="s">
        <v>274</v>
      </c>
      <c r="I106" s="11">
        <v>11</v>
      </c>
      <c r="J106" s="7">
        <f t="shared" si="3"/>
        <v>2</v>
      </c>
    </row>
    <row r="107" spans="1:11" ht="43.2">
      <c r="A107" s="17" t="s">
        <v>277</v>
      </c>
      <c r="B107" s="9" t="s">
        <v>221</v>
      </c>
      <c r="C107" s="10" t="s">
        <v>222</v>
      </c>
      <c r="D107" s="11" t="s">
        <v>102</v>
      </c>
      <c r="E107" s="11">
        <v>13</v>
      </c>
      <c r="F107" s="11" t="s">
        <v>19</v>
      </c>
      <c r="G107" s="13" t="s">
        <v>17</v>
      </c>
      <c r="H107" s="9"/>
      <c r="I107" s="11">
        <v>11</v>
      </c>
      <c r="J107" s="7">
        <f t="shared" si="3"/>
        <v>2</v>
      </c>
    </row>
    <row r="108" spans="1:11" ht="28.8">
      <c r="A108" s="9" t="s">
        <v>276</v>
      </c>
      <c r="B108" s="9" t="s">
        <v>223</v>
      </c>
      <c r="C108" s="10" t="s">
        <v>224</v>
      </c>
      <c r="D108" s="11" t="s">
        <v>102</v>
      </c>
      <c r="E108" s="11">
        <v>6</v>
      </c>
      <c r="F108" s="11" t="s">
        <v>19</v>
      </c>
      <c r="G108" s="13" t="s">
        <v>17</v>
      </c>
      <c r="H108" s="9"/>
      <c r="I108" s="11">
        <v>7</v>
      </c>
      <c r="J108" s="7">
        <f t="shared" si="3"/>
        <v>-1</v>
      </c>
      <c r="K108" s="19"/>
    </row>
    <row r="109" spans="1:11">
      <c r="A109" s="17" t="s">
        <v>278</v>
      </c>
      <c r="B109" s="9" t="s">
        <v>225</v>
      </c>
      <c r="C109" s="10" t="s">
        <v>226</v>
      </c>
      <c r="D109" s="11" t="s">
        <v>102</v>
      </c>
      <c r="E109" s="11">
        <v>3</v>
      </c>
      <c r="F109" s="11" t="s">
        <v>19</v>
      </c>
      <c r="G109" s="13" t="s">
        <v>17</v>
      </c>
      <c r="H109" s="9"/>
      <c r="I109" s="11">
        <v>4</v>
      </c>
      <c r="J109" s="7">
        <f t="shared" si="3"/>
        <v>-1</v>
      </c>
      <c r="K109" s="19"/>
    </row>
    <row r="110" spans="1:11" ht="43.2">
      <c r="A110" s="9" t="s">
        <v>227</v>
      </c>
      <c r="B110" s="9" t="s">
        <v>228</v>
      </c>
      <c r="C110" s="10" t="s">
        <v>229</v>
      </c>
      <c r="D110" s="11" t="s">
        <v>230</v>
      </c>
      <c r="E110" s="11">
        <v>1</v>
      </c>
      <c r="F110" s="11" t="s">
        <v>19</v>
      </c>
      <c r="G110" s="11" t="s">
        <v>17</v>
      </c>
      <c r="H110" s="9"/>
      <c r="I110" s="11">
        <v>1</v>
      </c>
      <c r="J110" s="7">
        <f t="shared" si="3"/>
        <v>0</v>
      </c>
    </row>
    <row r="111" spans="1:11" ht="57.6">
      <c r="A111" s="17" t="s">
        <v>292</v>
      </c>
      <c r="B111" s="9" t="s">
        <v>231</v>
      </c>
      <c r="C111" s="10" t="s">
        <v>269</v>
      </c>
      <c r="D111" s="11" t="s">
        <v>230</v>
      </c>
      <c r="E111" s="11">
        <v>5</v>
      </c>
      <c r="F111" s="11" t="s">
        <v>19</v>
      </c>
      <c r="G111" s="11" t="s">
        <v>17</v>
      </c>
      <c r="H111" s="9"/>
      <c r="I111" s="11">
        <v>7</v>
      </c>
      <c r="J111" s="7">
        <f t="shared" si="3"/>
        <v>-2</v>
      </c>
      <c r="K111" s="21" t="s">
        <v>293</v>
      </c>
    </row>
    <row r="112" spans="1:11" ht="72">
      <c r="A112" s="9" t="s">
        <v>232</v>
      </c>
      <c r="B112" s="9" t="s">
        <v>233</v>
      </c>
      <c r="C112" s="10" t="s">
        <v>234</v>
      </c>
      <c r="D112" s="11" t="s">
        <v>230</v>
      </c>
      <c r="E112" s="11">
        <v>2</v>
      </c>
      <c r="F112" s="11" t="s">
        <v>19</v>
      </c>
      <c r="G112" s="11" t="s">
        <v>17</v>
      </c>
      <c r="H112" s="9"/>
      <c r="I112" s="11">
        <v>2</v>
      </c>
      <c r="J112" s="7">
        <f t="shared" si="3"/>
        <v>0</v>
      </c>
    </row>
    <row r="113" spans="1:10">
      <c r="A113" s="9"/>
      <c r="B113" s="9"/>
      <c r="C113" s="10"/>
      <c r="D113" s="11"/>
      <c r="E113" s="11"/>
      <c r="F113" s="11"/>
      <c r="G113" s="11"/>
      <c r="H113" s="9"/>
      <c r="I113" s="11"/>
      <c r="J113" s="7"/>
    </row>
    <row r="114" spans="1:10" ht="43.2">
      <c r="A114" s="9"/>
      <c r="B114" s="9" t="s">
        <v>235</v>
      </c>
      <c r="C114" s="10" t="s">
        <v>236</v>
      </c>
      <c r="D114" s="11" t="s">
        <v>15</v>
      </c>
      <c r="E114" s="11">
        <v>1</v>
      </c>
      <c r="F114" s="11" t="s">
        <v>19</v>
      </c>
      <c r="G114" s="11" t="s">
        <v>17</v>
      </c>
      <c r="H114" s="9"/>
      <c r="I114" s="11"/>
      <c r="J114" s="7" t="str">
        <f t="shared" ref="J114:J121" si="4">IF(ISBLANK(I114),"",E114-I114)</f>
        <v/>
      </c>
    </row>
    <row r="115" spans="1:10" ht="28.8">
      <c r="A115" s="9" t="s">
        <v>237</v>
      </c>
      <c r="B115" s="9" t="s">
        <v>238</v>
      </c>
      <c r="C115" s="10" t="s">
        <v>239</v>
      </c>
      <c r="D115" s="11" t="s">
        <v>15</v>
      </c>
      <c r="E115" s="11">
        <v>1</v>
      </c>
      <c r="F115" s="11" t="s">
        <v>19</v>
      </c>
      <c r="G115" s="11" t="s">
        <v>17</v>
      </c>
      <c r="H115" s="9"/>
      <c r="I115" s="11"/>
      <c r="J115" s="7" t="str">
        <f t="shared" si="4"/>
        <v/>
      </c>
    </row>
    <row r="116" spans="1:10" ht="28.8">
      <c r="A116" s="9"/>
      <c r="B116" s="9" t="s">
        <v>107</v>
      </c>
      <c r="C116" s="10">
        <v>1020100000</v>
      </c>
      <c r="D116" s="11" t="s">
        <v>91</v>
      </c>
      <c r="E116" s="11">
        <v>1</v>
      </c>
      <c r="F116" s="11" t="s">
        <v>16</v>
      </c>
      <c r="G116" s="11" t="s">
        <v>17</v>
      </c>
      <c r="H116" s="9"/>
      <c r="I116" s="11"/>
      <c r="J116" s="7" t="str">
        <f t="shared" si="4"/>
        <v/>
      </c>
    </row>
    <row r="117" spans="1:10">
      <c r="A117" s="9" t="s">
        <v>240</v>
      </c>
      <c r="B117" s="9" t="s">
        <v>241</v>
      </c>
      <c r="C117" s="14" t="s">
        <v>242</v>
      </c>
      <c r="D117" s="11" t="s">
        <v>15</v>
      </c>
      <c r="E117" s="11">
        <v>1</v>
      </c>
      <c r="F117" s="11" t="s">
        <v>19</v>
      </c>
      <c r="G117" s="12" t="s">
        <v>93</v>
      </c>
      <c r="H117" s="9" t="s">
        <v>243</v>
      </c>
      <c r="I117" s="11"/>
      <c r="J117" s="7" t="str">
        <f t="shared" si="4"/>
        <v/>
      </c>
    </row>
    <row r="118" spans="1:10">
      <c r="A118" s="9" t="s">
        <v>36</v>
      </c>
      <c r="B118" s="9" t="s">
        <v>244</v>
      </c>
      <c r="C118" s="14" t="s">
        <v>245</v>
      </c>
      <c r="D118" s="11" t="s">
        <v>15</v>
      </c>
      <c r="E118" s="11">
        <v>1</v>
      </c>
      <c r="F118" s="11" t="s">
        <v>19</v>
      </c>
      <c r="G118" s="12" t="s">
        <v>93</v>
      </c>
      <c r="H118" s="9" t="s">
        <v>243</v>
      </c>
      <c r="I118" s="11"/>
      <c r="J118" s="7" t="str">
        <f t="shared" si="4"/>
        <v/>
      </c>
    </row>
    <row r="119" spans="1:10">
      <c r="A119" s="9" t="s">
        <v>43</v>
      </c>
      <c r="B119" s="9" t="s">
        <v>246</v>
      </c>
      <c r="C119" s="10" t="s">
        <v>247</v>
      </c>
      <c r="D119" s="11" t="s">
        <v>15</v>
      </c>
      <c r="E119" s="11">
        <v>1</v>
      </c>
      <c r="F119" s="11" t="s">
        <v>19</v>
      </c>
      <c r="G119" s="12" t="s">
        <v>93</v>
      </c>
      <c r="H119" s="9" t="s">
        <v>243</v>
      </c>
      <c r="I119" s="11"/>
      <c r="J119" s="7" t="str">
        <f t="shared" si="4"/>
        <v/>
      </c>
    </row>
    <row r="120" spans="1:10">
      <c r="A120" s="9" t="s">
        <v>248</v>
      </c>
      <c r="B120" s="9" t="s">
        <v>249</v>
      </c>
      <c r="C120" s="10" t="s">
        <v>250</v>
      </c>
      <c r="D120" s="11" t="s">
        <v>15</v>
      </c>
      <c r="E120" s="11">
        <v>1</v>
      </c>
      <c r="F120" s="11" t="s">
        <v>19</v>
      </c>
      <c r="G120" s="12" t="s">
        <v>93</v>
      </c>
      <c r="H120" s="9" t="s">
        <v>243</v>
      </c>
      <c r="I120" s="11"/>
      <c r="J120" s="7" t="str">
        <f t="shared" si="4"/>
        <v/>
      </c>
    </row>
    <row r="121" spans="1:10">
      <c r="A121" s="9" t="s">
        <v>251</v>
      </c>
      <c r="B121" s="9" t="s">
        <v>252</v>
      </c>
      <c r="C121" s="10" t="s">
        <v>253</v>
      </c>
      <c r="D121" s="11" t="s">
        <v>15</v>
      </c>
      <c r="E121" s="11">
        <v>1</v>
      </c>
      <c r="F121" s="11" t="s">
        <v>19</v>
      </c>
      <c r="G121" s="12" t="s">
        <v>93</v>
      </c>
      <c r="H121" s="9" t="s">
        <v>243</v>
      </c>
      <c r="I121" s="11"/>
      <c r="J121" s="7" t="str">
        <f t="shared" si="4"/>
        <v/>
      </c>
    </row>
    <row r="122" spans="1:10">
      <c r="A122" s="9"/>
      <c r="B122" s="9"/>
      <c r="C122" s="10"/>
      <c r="D122" s="11"/>
      <c r="E122" s="11"/>
      <c r="F122" s="11"/>
      <c r="G122" s="11"/>
      <c r="H122" s="9"/>
      <c r="I122" s="15"/>
      <c r="J122" s="7"/>
    </row>
    <row r="123" spans="1:10">
      <c r="A123" s="54"/>
      <c r="B123" s="56" t="s">
        <v>254</v>
      </c>
      <c r="C123" s="55" t="s">
        <v>255</v>
      </c>
      <c r="D123" s="53" t="s">
        <v>48</v>
      </c>
      <c r="E123" s="57">
        <v>1</v>
      </c>
      <c r="F123" s="53" t="s">
        <v>16</v>
      </c>
      <c r="G123" s="53" t="s">
        <v>17</v>
      </c>
      <c r="H123" s="54"/>
      <c r="I123" s="54"/>
      <c r="J123" s="55" t="str">
        <f>IF(ISBLANK(I123), "", E123-I123)</f>
        <v/>
      </c>
    </row>
    <row r="124" spans="1:10">
      <c r="A124" s="54"/>
      <c r="B124" s="56"/>
      <c r="C124" s="55"/>
      <c r="D124" s="53"/>
      <c r="E124" s="57"/>
      <c r="F124" s="53"/>
      <c r="G124" s="53"/>
      <c r="H124" s="54"/>
      <c r="I124" s="54"/>
      <c r="J124" s="55"/>
    </row>
  </sheetData>
  <autoFilter ref="B1:F114" xr:uid="{22550ED4-55A0-4F53-98B1-D10F42FD3934}"/>
  <mergeCells count="10">
    <mergeCell ref="G123:G124"/>
    <mergeCell ref="H123:H124"/>
    <mergeCell ref="I123:I124"/>
    <mergeCell ref="J123:J124"/>
    <mergeCell ref="A123:A124"/>
    <mergeCell ref="B123:B124"/>
    <mergeCell ref="C123:C124"/>
    <mergeCell ref="D123:D124"/>
    <mergeCell ref="E123:E124"/>
    <mergeCell ref="F123:F124"/>
  </mergeCells>
  <conditionalFormatting sqref="J1:J123 J125:J1048576">
    <cfRule type="cellIs" dxfId="0" priority="1" stopIfTrue="1" operator="lessThan">
      <formula>0</formula>
    </cfRule>
  </conditionalFormatting>
  <pageMargins left="0.70000000000000007" right="0.70000000000000007" top="0.75" bottom="0.75" header="0.30000000000000004" footer="0.30000000000000004"/>
  <pageSetup paperSize="9" fitToWidth="0" fitToHeight="0" orientation="portrait" r:id="rId1"/>
  <drawing r:id="rId2"/>
  <mc:AlternateContent xmlns:mc="http://schemas.openxmlformats.org/markup-compatibility/2006">
    <mc:Choice Requires="v">
      <legacyDrawing r:id="rId3"/>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4BE4E-0550-4764-9E84-993432B630D6}">
  <dimension ref="A1:A3"/>
  <sheetViews>
    <sheetView workbookViewId="0">
      <selection activeCell="A3" sqref="A3"/>
    </sheetView>
  </sheetViews>
  <sheetFormatPr defaultRowHeight="14.4"/>
  <sheetData>
    <row r="1" spans="1:1">
      <c r="A1" t="s">
        <v>272</v>
      </c>
    </row>
    <row r="2" spans="1:1">
      <c r="A2" t="s">
        <v>270</v>
      </c>
    </row>
    <row r="3" spans="1:1">
      <c r="A3" t="s">
        <v>271</v>
      </c>
    </row>
  </sheetData>
  <pageMargins left="0.7" right="0.7" top="0.75" bottom="0.75" header="0.3" footer="0.3"/>
  <pageSetup paperSize="9" orientation="portrait" r:id="rId1"/>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Zadaci</vt:lpstr>
      <vt:lpstr>Specifikacija_opreme_-_HEP-v2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Fran Švarc</cp:lastModifiedBy>
  <dcterms:created xsi:type="dcterms:W3CDTF">2015-06-05T18:17:20Z</dcterms:created>
  <dcterms:modified xsi:type="dcterms:W3CDTF">2026-08-13T14:19:07Z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