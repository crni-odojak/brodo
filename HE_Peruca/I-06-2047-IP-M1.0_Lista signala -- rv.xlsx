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ojak\Brodotehna\Projekti\HE_Peruca\"/>
    </mc:Choice>
  </mc:AlternateContent>
  <xr:revisionPtr revIDLastSave="0" documentId="13_ncr:1_{0EFD948A-E978-4DC5-8A28-0AAAC82A967B}" xr6:coauthVersionLast="47" xr6:coauthVersionMax="47" xr10:uidLastSave="{00000000-0000-0000-0000-000000000000}"/>
  <bookViews>
    <workbookView xWindow="-120" yWindow="-120" windowWidth="29040" windowHeight="16440" activeTab="1" xr2:uid="{64407FD5-12A7-499C-B17F-6F95B5B63C63}"/>
  </bookViews>
  <sheets>
    <sheet name="Lista signala" sheetId="1" r:id="rId1"/>
    <sheet name="Pregled IO kartica" sheetId="2" r:id="rId2"/>
  </sheets>
  <definedNames>
    <definedName name="_xlnm._FilterDatabase" localSheetId="0" hidden="1">'Lista signala'!#REF!</definedName>
    <definedName name="_xlnm.Print_Area" localSheetId="0">'Lista signala'!$A$1:$Y$62</definedName>
    <definedName name="_xlnm.Print_Titles" localSheetId="0">'Lista signala'!$1:$1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X154" i="2"/>
  <c r="W154" i="2"/>
  <c r="V154" i="2"/>
  <c r="U154" i="2"/>
  <c r="T56" i="1" l="1"/>
  <c r="S56" i="1"/>
  <c r="R56" i="1"/>
  <c r="Q56" i="1"/>
  <c r="P56" i="1"/>
  <c r="E2" i="1"/>
  <c r="E8" i="1"/>
  <c r="E7" i="1"/>
  <c r="E6" i="1"/>
  <c r="E5" i="1"/>
  <c r="E4" i="1"/>
  <c r="E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<sst xmlns="http://schemas.openxmlformats.org/spreadsheetml/2006/main" count="1482" uniqueCount="370">
  <si>
    <t>KKS</t>
  </si>
  <si>
    <t>Opis</t>
  </si>
  <si>
    <t>(br.up.2891)</t>
  </si>
  <si>
    <t>R.b.</t>
  </si>
  <si>
    <t>Lokacija</t>
  </si>
  <si>
    <t>Ime
sign.</t>
  </si>
  <si>
    <t>Symbolic adress</t>
  </si>
  <si>
    <t>Mjerno područje 
/ Funkcija</t>
  </si>
  <si>
    <t>Modul</t>
  </si>
  <si>
    <t>RB kanala</t>
  </si>
  <si>
    <t>Tip modula</t>
  </si>
  <si>
    <t>DI 24VDC</t>
  </si>
  <si>
    <t>DO 24VDC</t>
  </si>
  <si>
    <t>AI2W_4-20</t>
  </si>
  <si>
    <t>AI4W_0-20</t>
  </si>
  <si>
    <t xml:space="preserve">AO_4-20mA </t>
  </si>
  <si>
    <t>Ex zaštita</t>
  </si>
  <si>
    <t>PLC omar</t>
  </si>
  <si>
    <t>Vrsta instrumenta</t>
  </si>
  <si>
    <t>SIL</t>
  </si>
  <si>
    <t>Napomena</t>
  </si>
  <si>
    <t>XQ01</t>
  </si>
  <si>
    <t>Projektant: Alen Kušec, mag.ing.el.techn.inf.</t>
  </si>
  <si>
    <t>-</t>
  </si>
  <si>
    <t>Vanjska temperatura</t>
  </si>
  <si>
    <t>Položaj hidrauličkog klipa</t>
  </si>
  <si>
    <t>YLND10</t>
  </si>
  <si>
    <t>Pretvornik signala</t>
  </si>
  <si>
    <t>A2</t>
  </si>
  <si>
    <t>A3</t>
  </si>
  <si>
    <t>A4</t>
  </si>
  <si>
    <t>A5</t>
  </si>
  <si>
    <t>Temperatura bočnice 1 na strani 1</t>
  </si>
  <si>
    <t>Temperatura bočnice 1 na strani 2</t>
  </si>
  <si>
    <t>Temperatura bočnice 2 na strani 1</t>
  </si>
  <si>
    <t>Temperatura bočnice 2 na strani 2</t>
  </si>
  <si>
    <t>PT 100</t>
  </si>
  <si>
    <t>Baterija OK</t>
  </si>
  <si>
    <t>Baterija alarm</t>
  </si>
  <si>
    <t>Baterija manje od 85%</t>
  </si>
  <si>
    <t>Zaustavljanje u nuždi</t>
  </si>
  <si>
    <t>Ispad napajanja digitalnih izlaza</t>
  </si>
  <si>
    <t>Voda u grijaču bočnica na strani 1</t>
  </si>
  <si>
    <t>Voda u grijaču bočnica na strani 2</t>
  </si>
  <si>
    <t xml:space="preserve">Preljevna klapna dizanje </t>
  </si>
  <si>
    <t>Preljevna klapna spuštanje</t>
  </si>
  <si>
    <t>Preljevna klapna radni P tlak maksimalan</t>
  </si>
  <si>
    <t>Ukupno:</t>
  </si>
  <si>
    <t>Vrata ormara YLND10GH001 otvorena</t>
  </si>
  <si>
    <t>pin 1</t>
  </si>
  <si>
    <t>pin 2</t>
  </si>
  <si>
    <t>pin 3</t>
  </si>
  <si>
    <t>pin 4</t>
  </si>
  <si>
    <t>Opis kanala</t>
  </si>
  <si>
    <t>M0/IC0</t>
  </si>
  <si>
    <t>M2/IC2</t>
  </si>
  <si>
    <t>Ispad osigurača napajanja ispravljača 24VDC</t>
  </si>
  <si>
    <t>Ispad osigurača baterije 24VDC</t>
  </si>
  <si>
    <t>Ispad AC napona</t>
  </si>
  <si>
    <t>RB</t>
  </si>
  <si>
    <t>OZNAKA SIGNALA</t>
  </si>
  <si>
    <t>KKS1</t>
  </si>
  <si>
    <t>KKS2
(XX)</t>
  </si>
  <si>
    <t>KKS2
(nnn)</t>
  </si>
  <si>
    <t>signal</t>
  </si>
  <si>
    <t>Oznaka signala</t>
  </si>
  <si>
    <t>OPIS</t>
  </si>
  <si>
    <t>Setting</t>
  </si>
  <si>
    <t>TIP</t>
  </si>
  <si>
    <t>Ormar</t>
  </si>
  <si>
    <t>Bit.</t>
  </si>
  <si>
    <t>pin</t>
  </si>
  <si>
    <t>"par"</t>
  </si>
  <si>
    <t>3W</t>
  </si>
  <si>
    <t>Kartica</t>
  </si>
  <si>
    <t>PT100</t>
  </si>
  <si>
    <t>AI_4-20mA</t>
  </si>
  <si>
    <t>Relay</t>
  </si>
  <si>
    <t>230 VAC</t>
  </si>
  <si>
    <t>HART</t>
  </si>
  <si>
    <t>M-bus</t>
  </si>
  <si>
    <t>Profibus</t>
  </si>
  <si>
    <t>Ethernet</t>
  </si>
  <si>
    <t>SW ALARM</t>
  </si>
  <si>
    <t>SP ALARMA</t>
  </si>
  <si>
    <t>SW BLOKADA</t>
  </si>
  <si>
    <t>SP BLOKADE</t>
  </si>
  <si>
    <t>PV regulacije</t>
  </si>
  <si>
    <t>AKCIJA</t>
  </si>
  <si>
    <t>VRIJEME UZORKOVANJA</t>
  </si>
  <si>
    <t>REV.</t>
  </si>
  <si>
    <t>Komentar</t>
  </si>
  <si>
    <t>Komentar 2</t>
  </si>
  <si>
    <t>DI</t>
  </si>
  <si>
    <t>REZERVA</t>
  </si>
  <si>
    <t>DO</t>
  </si>
  <si>
    <t>UV0</t>
  </si>
  <si>
    <t>Nivo gornje vode preljevne klapne</t>
  </si>
  <si>
    <t>UV1</t>
  </si>
  <si>
    <t>UV2</t>
  </si>
  <si>
    <t>UV3</t>
  </si>
  <si>
    <t>M0+</t>
  </si>
  <si>
    <t>M0-</t>
  </si>
  <si>
    <t>M1+</t>
  </si>
  <si>
    <t>M1-</t>
  </si>
  <si>
    <t>M2+</t>
  </si>
  <si>
    <t>M2-</t>
  </si>
  <si>
    <t>M3-</t>
  </si>
  <si>
    <t>M3+</t>
  </si>
  <si>
    <t>AI 2W</t>
  </si>
  <si>
    <t>AI 4W</t>
  </si>
  <si>
    <t>Potvrda uključenja hidrauličke pumpe 1</t>
  </si>
  <si>
    <t>Potvrda uključenja hidrauličke pumpe 2</t>
  </si>
  <si>
    <t>Preljevna klapna upravljanje LOKALNO</t>
  </si>
  <si>
    <t>Preljevna klapna upravljanje RUČNO</t>
  </si>
  <si>
    <t>Preljevna klapna upravljanje AUTOMATSKI</t>
  </si>
  <si>
    <t>Preljevna klapna upravljanje DALJINSKI</t>
  </si>
  <si>
    <t>Grijač bočnica grijanje 80%</t>
  </si>
  <si>
    <t>Grijač bočnica grijanje 100%</t>
  </si>
  <si>
    <t>Preljevna klapna STOP</t>
  </si>
  <si>
    <t>Sklopka za zaustavljanje klapna preotvorena</t>
  </si>
  <si>
    <t>Upozorenje nivo ulja hidraulike preljevne klapne</t>
  </si>
  <si>
    <t>Preljevna klapna manjak ulja u hidraulici</t>
  </si>
  <si>
    <t>Preljevna klapna crpka 1 tlak MIN pucanje cijevi</t>
  </si>
  <si>
    <t>Preljevna klapna crpka 2 tlak MIN pucanje cijevi</t>
  </si>
  <si>
    <t>RUČNO upravljanje</t>
  </si>
  <si>
    <t>AUTOMATSKO upravljanje</t>
  </si>
  <si>
    <t>Grijač bočnica na strani 1 80%</t>
  </si>
  <si>
    <t>Grijač bočnica na strani 1 20%</t>
  </si>
  <si>
    <t>Grijač bočnica na strani 2 80%</t>
  </si>
  <si>
    <t>Grijač bočnica na strani 2 20%</t>
  </si>
  <si>
    <t>UKUPNO:</t>
  </si>
  <si>
    <t>Ispad zaštite hidrauličke pumpe 1</t>
  </si>
  <si>
    <t>Ispad zaštite hidrauličke pumpe 2</t>
  </si>
  <si>
    <t>Grijač bočnica grijanje ISKLJUČENO</t>
  </si>
  <si>
    <t>ISKLJUČENO upravljanje</t>
  </si>
  <si>
    <t>Hidraulička pumpa 1 START/STOP</t>
  </si>
  <si>
    <t>Hidraulička pumpa 2 START/STOP</t>
  </si>
  <si>
    <t>Preljevna klapna dizanje</t>
  </si>
  <si>
    <t>Ispad osigurača grijača bočnica na strani 1</t>
  </si>
  <si>
    <t>Ispad osigurača grijača bočnica na strani 2</t>
  </si>
  <si>
    <t>Ispad osigurača grijača pumpi 1+2</t>
  </si>
  <si>
    <t>YLNA01CL001</t>
  </si>
  <si>
    <t>YLND11AP001</t>
  </si>
  <si>
    <t>YLND11AP002</t>
  </si>
  <si>
    <t>Preljevna klapna pumpa 1 tlak MIN pucanje cijevi</t>
  </si>
  <si>
    <t>Preljevna klapna pumpa 2 tlak MIN pucanje cijevi</t>
  </si>
  <si>
    <t>YLND11CP301</t>
  </si>
  <si>
    <t>YLND11CP302</t>
  </si>
  <si>
    <t>YLND11CP304</t>
  </si>
  <si>
    <t>YLND11CL301</t>
  </si>
  <si>
    <t>YLND11CL302</t>
  </si>
  <si>
    <t>XB01</t>
  </si>
  <si>
    <t>XB48</t>
  </si>
  <si>
    <t>YB21</t>
  </si>
  <si>
    <t>XG01</t>
  </si>
  <si>
    <t>YLNDA10CE301</t>
  </si>
  <si>
    <t>XG48</t>
  </si>
  <si>
    <t>YLNDA10CE302</t>
  </si>
  <si>
    <t>YLNDA10CE303</t>
  </si>
  <si>
    <t>YLNDA10CE304</t>
  </si>
  <si>
    <t>YLNDA10CE305</t>
  </si>
  <si>
    <t>YLNDA10CE306</t>
  </si>
  <si>
    <t>YLND10CG001</t>
  </si>
  <si>
    <t>YLND10CT001</t>
  </si>
  <si>
    <t>YLND10AH001</t>
  </si>
  <si>
    <t>YLND10AH002</t>
  </si>
  <si>
    <t>YLNA10CT001</t>
  </si>
  <si>
    <t>YLND10CT002</t>
  </si>
  <si>
    <t>YLND20CT001</t>
  </si>
  <si>
    <t>YLND20CT002</t>
  </si>
  <si>
    <t>YLND10GH001</t>
  </si>
  <si>
    <t>XB56</t>
  </si>
  <si>
    <t>XB02</t>
  </si>
  <si>
    <t>XB03</t>
  </si>
  <si>
    <t>XB04</t>
  </si>
  <si>
    <t>XB23</t>
  </si>
  <si>
    <t>XB22</t>
  </si>
  <si>
    <t>XB24</t>
  </si>
  <si>
    <t>YB01</t>
  </si>
  <si>
    <t>YB02</t>
  </si>
  <si>
    <t>YB48</t>
  </si>
  <si>
    <t>YB49</t>
  </si>
  <si>
    <t>YB50</t>
  </si>
  <si>
    <t>Preljevna klapna pumpa 1 radi u remontu</t>
  </si>
  <si>
    <t>Preljevna klapna pumpa 2 radi u remontu</t>
  </si>
  <si>
    <t>XB32</t>
  </si>
  <si>
    <t>XB33</t>
  </si>
  <si>
    <t>XB34</t>
  </si>
  <si>
    <t>XB41</t>
  </si>
  <si>
    <t>XB42</t>
  </si>
  <si>
    <t>XB43</t>
  </si>
  <si>
    <t>XB15</t>
  </si>
  <si>
    <t>XB66</t>
  </si>
  <si>
    <t>XB67</t>
  </si>
  <si>
    <t>YB32</t>
  </si>
  <si>
    <t>YB33</t>
  </si>
  <si>
    <t>YB34</t>
  </si>
  <si>
    <t>YB35</t>
  </si>
  <si>
    <t>6ES7134-6GD01-0BA1</t>
  </si>
  <si>
    <t>2I0+</t>
  </si>
  <si>
    <t>PIW0</t>
  </si>
  <si>
    <t>2I1+</t>
  </si>
  <si>
    <t>PIW2</t>
  </si>
  <si>
    <t>PIW4</t>
  </si>
  <si>
    <t>2I2+</t>
  </si>
  <si>
    <t>6ES7134-6JD00-0CA1</t>
  </si>
  <si>
    <t>PIW40</t>
  </si>
  <si>
    <t>PIW42</t>
  </si>
  <si>
    <t>M1/IC1</t>
  </si>
  <si>
    <t>PIW44</t>
  </si>
  <si>
    <t>PIW46</t>
  </si>
  <si>
    <t>M3/IC3</t>
  </si>
  <si>
    <t>DI0</t>
  </si>
  <si>
    <t>6ES7131-6BH01-0BA0</t>
  </si>
  <si>
    <t>I0.0</t>
  </si>
  <si>
    <t>A6</t>
  </si>
  <si>
    <t>DI1</t>
  </si>
  <si>
    <t>I0.1</t>
  </si>
  <si>
    <t>DI2</t>
  </si>
  <si>
    <t>I0.2</t>
  </si>
  <si>
    <t>DI3</t>
  </si>
  <si>
    <t>I0.3</t>
  </si>
  <si>
    <t>DI4</t>
  </si>
  <si>
    <t>I0.4</t>
  </si>
  <si>
    <t>DI5</t>
  </si>
  <si>
    <t>I0.5</t>
  </si>
  <si>
    <t>DI6</t>
  </si>
  <si>
    <t>I0.6</t>
  </si>
  <si>
    <t>DI7</t>
  </si>
  <si>
    <t>I0.7</t>
  </si>
  <si>
    <t>DI8</t>
  </si>
  <si>
    <t>DI9</t>
  </si>
  <si>
    <t>DI10</t>
  </si>
  <si>
    <t>DI11</t>
  </si>
  <si>
    <t>DI12</t>
  </si>
  <si>
    <t>DI13</t>
  </si>
  <si>
    <t>DI14</t>
  </si>
  <si>
    <t>DI15</t>
  </si>
  <si>
    <t>I1.0</t>
  </si>
  <si>
    <t>I1.1</t>
  </si>
  <si>
    <t>I1.2</t>
  </si>
  <si>
    <t>I1.3</t>
  </si>
  <si>
    <t>I1.4</t>
  </si>
  <si>
    <t>I1.5</t>
  </si>
  <si>
    <t>I1.6</t>
  </si>
  <si>
    <t>I1.7</t>
  </si>
  <si>
    <t>I2.0</t>
  </si>
  <si>
    <t>I2.1</t>
  </si>
  <si>
    <t>I2.2</t>
  </si>
  <si>
    <t>I2.3</t>
  </si>
  <si>
    <t>I2.4</t>
  </si>
  <si>
    <t>I2.5</t>
  </si>
  <si>
    <t>I2.6</t>
  </si>
  <si>
    <t>I2.7</t>
  </si>
  <si>
    <t>I3.0</t>
  </si>
  <si>
    <t>I3.1</t>
  </si>
  <si>
    <t>I3.2</t>
  </si>
  <si>
    <t>I3.3</t>
  </si>
  <si>
    <t>I3.4</t>
  </si>
  <si>
    <t>I3.5</t>
  </si>
  <si>
    <t>I3.6</t>
  </si>
  <si>
    <t>I3.7</t>
  </si>
  <si>
    <t>A7</t>
  </si>
  <si>
    <t>I4.0</t>
  </si>
  <si>
    <t>I4.1</t>
  </si>
  <si>
    <t>I4.2</t>
  </si>
  <si>
    <t>I4.3</t>
  </si>
  <si>
    <t>A9</t>
  </si>
  <si>
    <t>DQ0</t>
  </si>
  <si>
    <t>O0.0</t>
  </si>
  <si>
    <t>DQ1</t>
  </si>
  <si>
    <t>O0.1</t>
  </si>
  <si>
    <t>6ES7132-6BH01-0BA0</t>
  </si>
  <si>
    <t>DQ2</t>
  </si>
  <si>
    <t>O0.2</t>
  </si>
  <si>
    <t>DQ3</t>
  </si>
  <si>
    <t>O0.3</t>
  </si>
  <si>
    <t>DQ4</t>
  </si>
  <si>
    <t>O0.4</t>
  </si>
  <si>
    <t>DQ5</t>
  </si>
  <si>
    <t>O0.5</t>
  </si>
  <si>
    <t>DQ6</t>
  </si>
  <si>
    <t>O0.6</t>
  </si>
  <si>
    <t>DQ7</t>
  </si>
  <si>
    <t>O0.7</t>
  </si>
  <si>
    <t>DQ8</t>
  </si>
  <si>
    <t>DQ9</t>
  </si>
  <si>
    <t>DQ10</t>
  </si>
  <si>
    <t>O1.0</t>
  </si>
  <si>
    <t>O1.1</t>
  </si>
  <si>
    <t>O1.2</t>
  </si>
  <si>
    <t>1I0+</t>
  </si>
  <si>
    <t>1I0-</t>
  </si>
  <si>
    <t>PIW6</t>
  </si>
  <si>
    <t>1I1+</t>
  </si>
  <si>
    <t>1I1-</t>
  </si>
  <si>
    <t>1I2+</t>
  </si>
  <si>
    <t>1I2-</t>
  </si>
  <si>
    <t>1I3+</t>
  </si>
  <si>
    <t>1I3-</t>
  </si>
  <si>
    <t>2I3+</t>
  </si>
  <si>
    <t>PIW8</t>
  </si>
  <si>
    <t>PIW10</t>
  </si>
  <si>
    <t>PIW12</t>
  </si>
  <si>
    <t>PIW14</t>
  </si>
  <si>
    <t>A8</t>
  </si>
  <si>
    <t>IC0+</t>
  </si>
  <si>
    <t>IC0-</t>
  </si>
  <si>
    <t>IC3+</t>
  </si>
  <si>
    <t>IC3-</t>
  </si>
  <si>
    <t>IC2+</t>
  </si>
  <si>
    <t>IC2-</t>
  </si>
  <si>
    <t>IC1+</t>
  </si>
  <si>
    <t>IC1-</t>
  </si>
  <si>
    <t>A10</t>
  </si>
  <si>
    <t>I4.4</t>
  </si>
  <si>
    <t>I4.5</t>
  </si>
  <si>
    <t>I4.6</t>
  </si>
  <si>
    <t>I4.7</t>
  </si>
  <si>
    <t>I5.0</t>
  </si>
  <si>
    <t>I5.1</t>
  </si>
  <si>
    <t>I5.2</t>
  </si>
  <si>
    <t>I5.3</t>
  </si>
  <si>
    <t>I5.4</t>
  </si>
  <si>
    <t>I5.5</t>
  </si>
  <si>
    <t>I5.6</t>
  </si>
  <si>
    <t>I5.7</t>
  </si>
  <si>
    <t>I6.0</t>
  </si>
  <si>
    <t>I6.1</t>
  </si>
  <si>
    <t>I6.2</t>
  </si>
  <si>
    <t>I6.3</t>
  </si>
  <si>
    <t>I6.4</t>
  </si>
  <si>
    <t>I6.5</t>
  </si>
  <si>
    <t>I6.6</t>
  </si>
  <si>
    <t>I6.7</t>
  </si>
  <si>
    <t>I7.0</t>
  </si>
  <si>
    <t>I7.1</t>
  </si>
  <si>
    <t>I7.2</t>
  </si>
  <si>
    <t>I7.3</t>
  </si>
  <si>
    <t>I7.4</t>
  </si>
  <si>
    <t>I7.5</t>
  </si>
  <si>
    <t>I7.6</t>
  </si>
  <si>
    <t>I7.7</t>
  </si>
  <si>
    <t>DQ11</t>
  </si>
  <si>
    <t>DQ12</t>
  </si>
  <si>
    <t>DQ13</t>
  </si>
  <si>
    <t>DQ14</t>
  </si>
  <si>
    <t>DQ15</t>
  </si>
  <si>
    <t>O1.3</t>
  </si>
  <si>
    <t>O1.4</t>
  </si>
  <si>
    <t>O1.5</t>
  </si>
  <si>
    <t>O1.6</t>
  </si>
  <si>
    <t>O1.7</t>
  </si>
  <si>
    <t>O2.0</t>
  </si>
  <si>
    <t>O2.1</t>
  </si>
  <si>
    <t>O2.2</t>
  </si>
  <si>
    <t>O2.3</t>
  </si>
  <si>
    <t>O2.4</t>
  </si>
  <si>
    <t>O2.5</t>
  </si>
  <si>
    <t>O2.6</t>
  </si>
  <si>
    <t>O2.7</t>
  </si>
  <si>
    <t>O3.0</t>
  </si>
  <si>
    <t>O3.1</t>
  </si>
  <si>
    <t>O3.2</t>
  </si>
  <si>
    <t>O3.3</t>
  </si>
  <si>
    <t>O3.4</t>
  </si>
  <si>
    <t>O3.5</t>
  </si>
  <si>
    <t>O3.6</t>
  </si>
  <si>
    <t>O3.7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</si>
</sst>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name val="Calibri"/>
      <family val="2"/>
      <charset val="238"/>
    </font>
    <font>
      <sz val="10"/>
      <name val="Arial"/>
      <family val="2"/>
    </font>
    <font>
      <b/>
      <sz val="9"/>
      <name val="Arial Narrow"/>
      <family val="2"/>
      <charset val="238"/>
    </font>
    <font>
      <sz val="8"/>
      <name val="Calibri"/>
      <family val="2"/>
      <scheme val="minor"/>
    </font>
    <font>
      <sz val="11"/>
      <name val="Arial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1"/>
      <name val="Arial"/>
      <family val="2"/>
    </font>
    <font>
      <sz val="7"/>
      <name val="Arial"/>
      <family val="2"/>
      <charset val="238"/>
    </font>
    <font>
      <sz val="8"/>
      <color rgb="FFFF0000"/>
      <name val="Arial Narrow"/>
      <family val="2"/>
      <charset val="238"/>
    </font>
    <font>
      <sz val="11"/>
      <name val="Calibri"/>
      <family val="2"/>
      <charset val="238"/>
      <scheme val="minor"/>
    </font>
    <font>
      <sz val="8"/>
      <name val="Arial"/>
      <family val="2"/>
    </font>
    <font>
      <sz val="11"/>
      <color indexed="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6" fillId="2" borderId="0" applyNumberFormat="0" applyBorder="0" applyAlignment="0" applyProtection="0"/>
    <xf numFmtId="0" fontId="13" fillId="3" borderId="0" applyNumberFormat="0" applyBorder="0" applyAlignment="0" applyProtection="0"/>
    <xf numFmtId="0" fontId="6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left" vertical="top" textRotation="90" wrapText="1"/>
    </xf>
    <xf numFmtId="0" fontId="9" fillId="0" borderId="1" xfId="1" applyFont="1" applyBorder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 textRotation="90" wrapText="1"/>
    </xf>
    <xf numFmtId="0" fontId="9" fillId="0" borderId="0" xfId="1" applyFont="1" applyAlignment="1">
      <alignment horizontal="left" vertical="top" textRotation="90" wrapText="1"/>
    </xf>
    <xf numFmtId="0" fontId="9" fillId="0" borderId="0" xfId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Dobro" xfId="2" xr:uid="{F5075DA7-08C0-471B-8F2C-5FBAD06874A9}"/>
    <cellStyle name="Isticanje2" xfId="3" xr:uid="{DD660F04-BD95-4170-8250-627762AA7A80}"/>
    <cellStyle name="Normal" xfId="0" builtinId="0"/>
    <cellStyle name="Normal 2" xfId="4" xr:uid="{DE30F4D9-4431-4F66-8CFC-946BDDFF6897}"/>
    <cellStyle name="Normal_4100-D-S-10-68-11 Rev.1 Signal_Base_for_PLC_Terminal Omisalj" xfId="1" xr:uid="{2E4737A8-1D2A-4582-94C3-2056BC12B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D225-DEB6-4AA4-BED1-9EBDD7C203AE}">
  <dimension ref="A1:Y60"/>
  <sheetViews>
    <sheetView zoomScale="114" zoomScaleNormal="120" zoomScaleSheetLayoutView="130" zoomScalePageLayoutView="85" workbookViewId="0">
      <pane ySplit="1" topLeftCell="A2" activePane="bottomLeft" state="frozen"/>
      <selection pane="bottomLeft" activeCell="F35" sqref="F35:F36"/>
    </sheetView>
  </sheetViews>
  <sheetFormatPr defaultRowHeight="15" x14ac:dyDescent="0.25"/>
  <cols>
    <col min="1" max="1" width="4.7109375" customWidth="1"/>
    <col min="2" max="2" width="8.7109375" customWidth="1"/>
    <col min="3" max="3" width="11.7109375" customWidth="1"/>
    <col min="4" max="4" width="4.7109375" customWidth="1"/>
    <col min="5" max="5" width="14.140625" bestFit="1" customWidth="1"/>
    <col min="6" max="6" width="39.28515625" customWidth="1"/>
    <col min="7" max="7" width="12.140625" customWidth="1"/>
    <col min="8" max="8" width="4.140625" bestFit="1" customWidth="1"/>
    <col min="9" max="12" width="3.7109375" customWidth="1"/>
    <col min="13" max="13" width="5.140625" bestFit="1" customWidth="1"/>
    <col min="14" max="14" width="6" customWidth="1"/>
    <col min="15" max="15" width="14.85546875" customWidth="1"/>
    <col min="16" max="16" width="2.7109375" bestFit="1" customWidth="1"/>
    <col min="17" max="17" width="3.42578125" customWidth="1"/>
    <col min="18" max="18" width="3.7109375" customWidth="1"/>
    <col min="19" max="19" width="3.42578125" customWidth="1"/>
    <col min="20" max="20" width="3.5703125" customWidth="1"/>
    <col min="21" max="21" width="6.28515625" customWidth="1"/>
    <col min="22" max="22" width="7" bestFit="1" customWidth="1"/>
    <col min="23" max="23" width="11.7109375" customWidth="1"/>
    <col min="24" max="24" width="2.85546875" bestFit="1" customWidth="1"/>
    <col min="25" max="25" width="18.7109375" customWidth="1"/>
  </cols>
  <sheetData>
    <row r="1" spans="1:25" ht="43.5" thickBot="1" x14ac:dyDescent="0.3">
      <c r="A1" s="17" t="s">
        <v>3</v>
      </c>
      <c r="B1" s="17" t="s">
        <v>4</v>
      </c>
      <c r="C1" s="17" t="s">
        <v>0</v>
      </c>
      <c r="D1" s="17" t="s">
        <v>5</v>
      </c>
      <c r="E1" s="17" t="s">
        <v>6</v>
      </c>
      <c r="F1" s="18" t="s">
        <v>1</v>
      </c>
      <c r="G1" s="40" t="s">
        <v>7</v>
      </c>
      <c r="H1" s="41" t="s">
        <v>8</v>
      </c>
      <c r="I1" s="19" t="s">
        <v>49</v>
      </c>
      <c r="J1" s="19" t="s">
        <v>50</v>
      </c>
      <c r="K1" s="19" t="s">
        <v>51</v>
      </c>
      <c r="L1" s="19" t="s">
        <v>52</v>
      </c>
      <c r="M1" s="41" t="s">
        <v>53</v>
      </c>
      <c r="N1" s="19" t="s">
        <v>9</v>
      </c>
      <c r="O1" s="17" t="s">
        <v>10</v>
      </c>
      <c r="P1" s="41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17" t="s">
        <v>16</v>
      </c>
      <c r="V1" s="17" t="s">
        <v>17</v>
      </c>
      <c r="W1" s="17" t="s">
        <v>18</v>
      </c>
      <c r="X1" s="17" t="s">
        <v>19</v>
      </c>
      <c r="Y1" s="20" t="s">
        <v>20</v>
      </c>
    </row>
    <row r="2" spans="1:25" x14ac:dyDescent="0.25">
      <c r="A2" s="12">
        <v>1</v>
      </c>
      <c r="B2" s="12" t="s">
        <v>23</v>
      </c>
      <c r="C2" s="12" t="s">
        <v>163</v>
      </c>
      <c r="D2" s="7" t="s">
        <v>21</v>
      </c>
      <c r="E2" s="12" t="str">
        <f>CONCATENATE(C2,"_",D2)</f>
        <v>YLND10CG001_XQ01</v>
      </c>
      <c r="F2" s="13" t="s">
        <v>25</v>
      </c>
      <c r="G2" s="42"/>
      <c r="H2" s="12" t="s">
        <v>28</v>
      </c>
      <c r="I2" s="12">
        <v>9</v>
      </c>
      <c r="J2" s="12">
        <v>13</v>
      </c>
      <c r="K2" s="12"/>
      <c r="L2" s="12"/>
      <c r="M2" s="14" t="s">
        <v>200</v>
      </c>
      <c r="N2" s="12" t="s">
        <v>201</v>
      </c>
      <c r="O2" s="12" t="s">
        <v>199</v>
      </c>
      <c r="P2" s="45"/>
      <c r="Q2" s="12"/>
      <c r="R2" s="12">
        <v>1</v>
      </c>
      <c r="S2" s="12"/>
      <c r="T2" s="12"/>
      <c r="U2" s="12"/>
      <c r="V2" s="12" t="s">
        <v>26</v>
      </c>
      <c r="W2" s="12" t="s">
        <v>27</v>
      </c>
      <c r="X2" s="12">
        <v>0</v>
      </c>
      <c r="Y2" s="16"/>
    </row>
    <row r="3" spans="1:25" x14ac:dyDescent="0.25">
      <c r="A3" s="7">
        <f>A2+1</f>
        <v>2</v>
      </c>
      <c r="B3" s="12" t="s">
        <v>23</v>
      </c>
      <c r="C3" s="12" t="s">
        <v>167</v>
      </c>
      <c r="D3" s="7" t="s">
        <v>21</v>
      </c>
      <c r="E3" s="7" t="str">
        <f t="shared" ref="E3:E55" si="0">CONCATENATE(C3,"_",D3)</f>
        <v>YLNA10CT001_XQ01</v>
      </c>
      <c r="F3" s="8" t="s">
        <v>24</v>
      </c>
      <c r="G3" s="43"/>
      <c r="H3" s="7" t="s">
        <v>28</v>
      </c>
      <c r="I3" s="7">
        <v>10</v>
      </c>
      <c r="J3" s="7">
        <v>14</v>
      </c>
      <c r="K3" s="7"/>
      <c r="L3" s="7"/>
      <c r="M3" s="48" t="s">
        <v>202</v>
      </c>
      <c r="N3" s="7" t="s">
        <v>203</v>
      </c>
      <c r="O3" s="7" t="s">
        <v>199</v>
      </c>
      <c r="P3" s="46"/>
      <c r="Q3" s="7"/>
      <c r="R3" s="7">
        <v>1</v>
      </c>
      <c r="S3" s="7"/>
      <c r="T3" s="7"/>
      <c r="U3" s="7"/>
      <c r="V3" s="12" t="s">
        <v>26</v>
      </c>
      <c r="W3" s="12" t="s">
        <v>27</v>
      </c>
      <c r="X3" s="7">
        <v>0</v>
      </c>
      <c r="Y3" s="10"/>
    </row>
    <row r="4" spans="1:25" x14ac:dyDescent="0.25">
      <c r="A4" s="7">
        <f t="shared" ref="A4:A55" si="1">A3+1</f>
        <v>3</v>
      </c>
      <c r="B4" s="12" t="s">
        <v>23</v>
      </c>
      <c r="C4" s="12" t="s">
        <v>142</v>
      </c>
      <c r="D4" s="7" t="s">
        <v>21</v>
      </c>
      <c r="E4" s="7" t="str">
        <f t="shared" si="0"/>
        <v>YLNA01CL001_XQ01</v>
      </c>
      <c r="F4" s="8" t="s">
        <v>97</v>
      </c>
      <c r="G4" s="44"/>
      <c r="H4" s="7" t="s">
        <v>28</v>
      </c>
      <c r="I4" s="7">
        <v>11</v>
      </c>
      <c r="J4" s="7">
        <v>15</v>
      </c>
      <c r="K4" s="7"/>
      <c r="L4" s="7"/>
      <c r="M4" s="48" t="s">
        <v>205</v>
      </c>
      <c r="N4" s="7" t="s">
        <v>204</v>
      </c>
      <c r="O4" s="7" t="s">
        <v>199</v>
      </c>
      <c r="P4" s="46"/>
      <c r="Q4" s="7"/>
      <c r="R4" s="7">
        <v>1</v>
      </c>
      <c r="S4" s="7"/>
      <c r="T4" s="7"/>
      <c r="U4" s="7"/>
      <c r="V4" s="12" t="s">
        <v>26</v>
      </c>
      <c r="W4" s="12" t="s">
        <v>27</v>
      </c>
      <c r="X4" s="7">
        <v>0</v>
      </c>
      <c r="Y4" s="10"/>
    </row>
    <row r="5" spans="1:25" ht="25.5" x14ac:dyDescent="0.25">
      <c r="A5" s="7">
        <f t="shared" si="1"/>
        <v>4</v>
      </c>
      <c r="B5" s="12" t="s">
        <v>23</v>
      </c>
      <c r="C5" s="12" t="s">
        <v>164</v>
      </c>
      <c r="D5" s="7" t="s">
        <v>21</v>
      </c>
      <c r="E5" s="7" t="str">
        <f t="shared" si="0"/>
        <v>YLND10CT001_XQ01</v>
      </c>
      <c r="F5" s="8" t="s">
        <v>32</v>
      </c>
      <c r="G5" s="43"/>
      <c r="H5" s="7" t="s">
        <v>30</v>
      </c>
      <c r="I5" s="7">
        <v>1</v>
      </c>
      <c r="J5" s="7">
        <v>5</v>
      </c>
      <c r="K5" s="7">
        <v>9</v>
      </c>
      <c r="L5" s="7">
        <v>13</v>
      </c>
      <c r="M5" s="48" t="s">
        <v>54</v>
      </c>
      <c r="N5" s="7" t="s">
        <v>207</v>
      </c>
      <c r="O5" s="7" t="s">
        <v>206</v>
      </c>
      <c r="P5" s="46"/>
      <c r="Q5" s="7"/>
      <c r="R5" s="7"/>
      <c r="S5" s="7">
        <v>1</v>
      </c>
      <c r="T5" s="7"/>
      <c r="U5" s="7"/>
      <c r="V5" s="12" t="s">
        <v>26</v>
      </c>
      <c r="W5" s="7" t="s">
        <v>36</v>
      </c>
      <c r="X5" s="7">
        <v>0</v>
      </c>
      <c r="Y5" s="10"/>
    </row>
    <row r="6" spans="1:25" ht="25.5" x14ac:dyDescent="0.25">
      <c r="A6" s="7">
        <f t="shared" si="1"/>
        <v>5</v>
      </c>
      <c r="B6" s="12" t="s">
        <v>23</v>
      </c>
      <c r="C6" s="12" t="s">
        <v>168</v>
      </c>
      <c r="D6" s="7" t="s">
        <v>21</v>
      </c>
      <c r="E6" s="7" t="str">
        <f t="shared" si="0"/>
        <v>YLND10CT002_XQ01</v>
      </c>
      <c r="F6" s="8" t="s">
        <v>33</v>
      </c>
      <c r="G6" s="43"/>
      <c r="H6" s="7" t="s">
        <v>30</v>
      </c>
      <c r="I6" s="7">
        <v>2</v>
      </c>
      <c r="J6" s="7">
        <v>6</v>
      </c>
      <c r="K6" s="7">
        <v>10</v>
      </c>
      <c r="L6" s="7">
        <v>14</v>
      </c>
      <c r="M6" s="48" t="s">
        <v>209</v>
      </c>
      <c r="N6" s="7" t="s">
        <v>208</v>
      </c>
      <c r="O6" s="7" t="s">
        <v>206</v>
      </c>
      <c r="P6" s="46"/>
      <c r="Q6" s="7"/>
      <c r="R6" s="7"/>
      <c r="S6" s="7">
        <v>1</v>
      </c>
      <c r="T6" s="7"/>
      <c r="U6" s="7"/>
      <c r="V6" s="12" t="s">
        <v>26</v>
      </c>
      <c r="W6" s="7" t="s">
        <v>36</v>
      </c>
      <c r="X6" s="7">
        <v>0</v>
      </c>
      <c r="Y6" s="10"/>
    </row>
    <row r="7" spans="1:25" ht="25.5" x14ac:dyDescent="0.25">
      <c r="A7" s="7">
        <f t="shared" si="1"/>
        <v>6</v>
      </c>
      <c r="B7" s="12" t="s">
        <v>23</v>
      </c>
      <c r="C7" s="12" t="s">
        <v>169</v>
      </c>
      <c r="D7" s="7" t="s">
        <v>21</v>
      </c>
      <c r="E7" s="7" t="str">
        <f t="shared" si="0"/>
        <v>YLND20CT001_XQ01</v>
      </c>
      <c r="F7" s="8" t="s">
        <v>34</v>
      </c>
      <c r="G7" s="43"/>
      <c r="H7" s="7" t="s">
        <v>30</v>
      </c>
      <c r="I7" s="7">
        <v>3</v>
      </c>
      <c r="J7" s="7">
        <v>7</v>
      </c>
      <c r="K7" s="7">
        <v>11</v>
      </c>
      <c r="L7" s="7">
        <v>15</v>
      </c>
      <c r="M7" s="48" t="s">
        <v>55</v>
      </c>
      <c r="N7" s="7" t="s">
        <v>210</v>
      </c>
      <c r="O7" s="7" t="s">
        <v>206</v>
      </c>
      <c r="P7" s="46"/>
      <c r="Q7" s="7"/>
      <c r="R7" s="7"/>
      <c r="S7" s="7">
        <v>1</v>
      </c>
      <c r="T7" s="7"/>
      <c r="U7" s="11"/>
      <c r="V7" s="12" t="s">
        <v>26</v>
      </c>
      <c r="W7" s="7" t="s">
        <v>36</v>
      </c>
      <c r="X7" s="7">
        <v>0</v>
      </c>
      <c r="Y7" s="10"/>
    </row>
    <row r="8" spans="1:25" ht="25.5" x14ac:dyDescent="0.25">
      <c r="A8" s="7">
        <f t="shared" si="1"/>
        <v>7</v>
      </c>
      <c r="B8" s="12" t="s">
        <v>23</v>
      </c>
      <c r="C8" s="12" t="s">
        <v>170</v>
      </c>
      <c r="D8" s="7" t="s">
        <v>21</v>
      </c>
      <c r="E8" s="7" t="str">
        <f t="shared" si="0"/>
        <v>YLND20CT002_XQ01</v>
      </c>
      <c r="F8" s="8" t="s">
        <v>35</v>
      </c>
      <c r="G8" s="43"/>
      <c r="H8" s="7" t="s">
        <v>30</v>
      </c>
      <c r="I8" s="7">
        <v>4</v>
      </c>
      <c r="J8" s="7">
        <v>8</v>
      </c>
      <c r="K8" s="7">
        <v>12</v>
      </c>
      <c r="L8" s="7">
        <v>16</v>
      </c>
      <c r="M8" s="48" t="s">
        <v>212</v>
      </c>
      <c r="N8" s="7" t="s">
        <v>211</v>
      </c>
      <c r="O8" s="7" t="s">
        <v>206</v>
      </c>
      <c r="P8" s="46"/>
      <c r="Q8" s="7"/>
      <c r="R8" s="7"/>
      <c r="S8" s="7">
        <v>1</v>
      </c>
      <c r="T8" s="7"/>
      <c r="U8" s="7"/>
      <c r="V8" s="12" t="s">
        <v>26</v>
      </c>
      <c r="W8" s="7" t="s">
        <v>36</v>
      </c>
      <c r="X8" s="7">
        <v>0</v>
      </c>
      <c r="Y8" s="10"/>
    </row>
    <row r="9" spans="1:25" x14ac:dyDescent="0.25">
      <c r="A9" s="7">
        <f t="shared" si="1"/>
        <v>8</v>
      </c>
      <c r="B9" s="12" t="s">
        <v>23</v>
      </c>
      <c r="C9" s="12" t="s">
        <v>171</v>
      </c>
      <c r="D9" s="7" t="s">
        <v>172</v>
      </c>
      <c r="E9" s="7" t="str">
        <f t="shared" si="0"/>
        <v>YLND10GH001_XB56</v>
      </c>
      <c r="F9" s="8" t="s">
        <v>40</v>
      </c>
      <c r="G9" s="43"/>
      <c r="H9" s="7" t="s">
        <v>31</v>
      </c>
      <c r="I9" s="7">
        <v>1</v>
      </c>
      <c r="J9" s="7"/>
      <c r="K9" s="7"/>
      <c r="L9" s="7"/>
      <c r="M9" s="48" t="s">
        <v>213</v>
      </c>
      <c r="N9" s="7" t="s">
        <v>215</v>
      </c>
      <c r="O9" s="7" t="s">
        <v>214</v>
      </c>
      <c r="P9" s="46">
        <v>1</v>
      </c>
      <c r="Q9" s="7"/>
      <c r="R9" s="7"/>
      <c r="S9" s="7"/>
      <c r="T9" s="7"/>
      <c r="U9" s="7"/>
      <c r="V9" s="12" t="s">
        <v>26</v>
      </c>
      <c r="W9" s="7"/>
      <c r="X9" s="7">
        <v>0</v>
      </c>
      <c r="Y9" s="10"/>
    </row>
    <row r="10" spans="1:25" x14ac:dyDescent="0.25">
      <c r="A10" s="7">
        <f t="shared" si="1"/>
        <v>9</v>
      </c>
      <c r="B10" s="12" t="s">
        <v>23</v>
      </c>
      <c r="C10" s="12" t="s">
        <v>143</v>
      </c>
      <c r="D10" s="7" t="s">
        <v>152</v>
      </c>
      <c r="E10" s="7" t="str">
        <f t="shared" si="0"/>
        <v>YLND11AP001_XB01</v>
      </c>
      <c r="F10" s="8" t="s">
        <v>132</v>
      </c>
      <c r="G10" s="43"/>
      <c r="H10" s="7" t="s">
        <v>31</v>
      </c>
      <c r="I10" s="7">
        <v>2</v>
      </c>
      <c r="J10" s="7"/>
      <c r="K10" s="7"/>
      <c r="L10" s="7"/>
      <c r="M10" s="48" t="s">
        <v>217</v>
      </c>
      <c r="N10" s="7" t="s">
        <v>218</v>
      </c>
      <c r="O10" s="7" t="s">
        <v>214</v>
      </c>
      <c r="P10" s="46">
        <v>1</v>
      </c>
      <c r="Q10" s="7"/>
      <c r="R10" s="7"/>
      <c r="S10" s="7"/>
      <c r="T10" s="7"/>
      <c r="U10" s="7"/>
      <c r="V10" s="12" t="s">
        <v>26</v>
      </c>
      <c r="W10" s="7"/>
      <c r="X10" s="7">
        <v>0</v>
      </c>
      <c r="Y10" s="10"/>
    </row>
    <row r="11" spans="1:25" x14ac:dyDescent="0.25">
      <c r="A11" s="7">
        <f t="shared" si="1"/>
        <v>10</v>
      </c>
      <c r="B11" s="12" t="s">
        <v>23</v>
      </c>
      <c r="C11" s="12" t="s">
        <v>144</v>
      </c>
      <c r="D11" s="7" t="s">
        <v>152</v>
      </c>
      <c r="E11" s="7" t="str">
        <f t="shared" si="0"/>
        <v>YLND11AP002_XB01</v>
      </c>
      <c r="F11" s="8" t="s">
        <v>133</v>
      </c>
      <c r="G11" s="43"/>
      <c r="H11" s="7" t="s">
        <v>31</v>
      </c>
      <c r="I11" s="7">
        <v>3</v>
      </c>
      <c r="J11" s="7"/>
      <c r="K11" s="7"/>
      <c r="L11" s="7"/>
      <c r="M11" s="48" t="s">
        <v>219</v>
      </c>
      <c r="N11" s="7" t="s">
        <v>220</v>
      </c>
      <c r="O11" s="7" t="s">
        <v>214</v>
      </c>
      <c r="P11" s="46">
        <v>1</v>
      </c>
      <c r="Q11" s="7"/>
      <c r="R11" s="7"/>
      <c r="S11" s="7"/>
      <c r="T11" s="7"/>
      <c r="U11" s="7"/>
      <c r="V11" s="12" t="s">
        <v>26</v>
      </c>
      <c r="W11" s="7"/>
      <c r="X11" s="7">
        <v>0</v>
      </c>
      <c r="Y11" s="10"/>
    </row>
    <row r="12" spans="1:25" ht="25.5" x14ac:dyDescent="0.25">
      <c r="A12" s="7">
        <f t="shared" si="1"/>
        <v>11</v>
      </c>
      <c r="B12" s="12" t="s">
        <v>23</v>
      </c>
      <c r="C12" s="12" t="s">
        <v>159</v>
      </c>
      <c r="D12" s="7" t="s">
        <v>155</v>
      </c>
      <c r="E12" s="7" t="str">
        <f t="shared" si="0"/>
        <v>YLNDA10CE303_XG01</v>
      </c>
      <c r="F12" s="8" t="s">
        <v>41</v>
      </c>
      <c r="G12" s="43"/>
      <c r="H12" s="7" t="s">
        <v>31</v>
      </c>
      <c r="I12" s="7">
        <v>4</v>
      </c>
      <c r="J12" s="7"/>
      <c r="K12" s="7"/>
      <c r="L12" s="7"/>
      <c r="M12" s="48" t="s">
        <v>221</v>
      </c>
      <c r="N12" s="7" t="s">
        <v>222</v>
      </c>
      <c r="O12" s="7" t="s">
        <v>214</v>
      </c>
      <c r="P12" s="46">
        <v>1</v>
      </c>
      <c r="Q12" s="7"/>
      <c r="R12" s="7"/>
      <c r="S12" s="7"/>
      <c r="T12" s="7"/>
      <c r="U12" s="7"/>
      <c r="V12" s="12" t="s">
        <v>26</v>
      </c>
      <c r="W12" s="7"/>
      <c r="X12" s="7">
        <v>0</v>
      </c>
      <c r="Y12" s="10"/>
    </row>
    <row r="13" spans="1:25" ht="25.5" x14ac:dyDescent="0.25">
      <c r="A13" s="7">
        <f t="shared" si="1"/>
        <v>12</v>
      </c>
      <c r="B13" s="12" t="s">
        <v>23</v>
      </c>
      <c r="C13" s="12" t="s">
        <v>160</v>
      </c>
      <c r="D13" s="7" t="s">
        <v>155</v>
      </c>
      <c r="E13" s="7" t="str">
        <f t="shared" si="0"/>
        <v>YLNDA10CE304_XG01</v>
      </c>
      <c r="F13" s="8" t="s">
        <v>56</v>
      </c>
      <c r="G13" s="43"/>
      <c r="H13" s="7" t="s">
        <v>31</v>
      </c>
      <c r="I13" s="7">
        <v>5</v>
      </c>
      <c r="J13" s="7"/>
      <c r="K13" s="7"/>
      <c r="L13" s="7"/>
      <c r="M13" s="48" t="s">
        <v>223</v>
      </c>
      <c r="N13" s="7" t="s">
        <v>224</v>
      </c>
      <c r="O13" s="7" t="s">
        <v>214</v>
      </c>
      <c r="P13" s="46">
        <v>1</v>
      </c>
      <c r="Q13" s="7"/>
      <c r="R13" s="7"/>
      <c r="S13" s="7"/>
      <c r="T13" s="7"/>
      <c r="U13" s="7"/>
      <c r="V13" s="12" t="s">
        <v>26</v>
      </c>
      <c r="W13" s="7"/>
      <c r="X13" s="7">
        <v>0</v>
      </c>
      <c r="Y13" s="10"/>
    </row>
    <row r="14" spans="1:25" ht="25.5" x14ac:dyDescent="0.25">
      <c r="A14" s="7">
        <f t="shared" si="1"/>
        <v>13</v>
      </c>
      <c r="B14" s="12" t="s">
        <v>23</v>
      </c>
      <c r="C14" s="12" t="s">
        <v>161</v>
      </c>
      <c r="D14" s="7" t="s">
        <v>155</v>
      </c>
      <c r="E14" s="7" t="str">
        <f t="shared" si="0"/>
        <v>YLNDA10CE305_XG01</v>
      </c>
      <c r="F14" s="8" t="s">
        <v>57</v>
      </c>
      <c r="G14" s="43"/>
      <c r="H14" s="7" t="s">
        <v>31</v>
      </c>
      <c r="I14" s="7">
        <v>6</v>
      </c>
      <c r="J14" s="7"/>
      <c r="K14" s="7"/>
      <c r="L14" s="7"/>
      <c r="M14" s="48" t="s">
        <v>225</v>
      </c>
      <c r="N14" s="7" t="s">
        <v>226</v>
      </c>
      <c r="O14" s="7" t="s">
        <v>214</v>
      </c>
      <c r="P14" s="46">
        <v>1</v>
      </c>
      <c r="Q14" s="7"/>
      <c r="R14" s="7"/>
      <c r="S14" s="7"/>
      <c r="T14" s="7"/>
      <c r="U14" s="7"/>
      <c r="V14" s="12" t="s">
        <v>26</v>
      </c>
      <c r="W14" s="7"/>
      <c r="X14" s="7">
        <v>0</v>
      </c>
      <c r="Y14" s="10"/>
    </row>
    <row r="15" spans="1:25" ht="25.5" x14ac:dyDescent="0.25">
      <c r="A15" s="7">
        <f t="shared" si="1"/>
        <v>14</v>
      </c>
      <c r="B15" s="12" t="s">
        <v>23</v>
      </c>
      <c r="C15" s="12" t="s">
        <v>156</v>
      </c>
      <c r="D15" s="7" t="s">
        <v>157</v>
      </c>
      <c r="E15" s="7" t="str">
        <f t="shared" si="0"/>
        <v>YLNDA10CE301_XG48</v>
      </c>
      <c r="F15" s="8" t="s">
        <v>58</v>
      </c>
      <c r="G15" s="43"/>
      <c r="H15" s="7" t="s">
        <v>31</v>
      </c>
      <c r="I15" s="7">
        <v>7</v>
      </c>
      <c r="J15" s="7"/>
      <c r="K15" s="7"/>
      <c r="L15" s="7"/>
      <c r="M15" s="48" t="s">
        <v>227</v>
      </c>
      <c r="N15" s="7" t="s">
        <v>228</v>
      </c>
      <c r="O15" s="7" t="s">
        <v>214</v>
      </c>
      <c r="P15" s="46">
        <v>1</v>
      </c>
      <c r="Q15" s="7"/>
      <c r="R15" s="7"/>
      <c r="S15" s="7"/>
      <c r="T15" s="7"/>
      <c r="U15" s="7"/>
      <c r="V15" s="12" t="s">
        <v>26</v>
      </c>
      <c r="W15" s="7"/>
      <c r="X15" s="7">
        <v>0</v>
      </c>
      <c r="Y15" s="10"/>
    </row>
    <row r="16" spans="1:25" ht="25.5" x14ac:dyDescent="0.25">
      <c r="A16" s="7">
        <f t="shared" si="1"/>
        <v>15</v>
      </c>
      <c r="B16" s="12" t="s">
        <v>23</v>
      </c>
      <c r="C16" s="12" t="s">
        <v>156</v>
      </c>
      <c r="D16" s="7" t="s">
        <v>155</v>
      </c>
      <c r="E16" s="7" t="str">
        <f t="shared" si="0"/>
        <v>YLNDA10CE301_XG01</v>
      </c>
      <c r="F16" s="8" t="s">
        <v>139</v>
      </c>
      <c r="G16" s="43"/>
      <c r="H16" s="7" t="s">
        <v>31</v>
      </c>
      <c r="I16" s="7">
        <v>8</v>
      </c>
      <c r="J16" s="7"/>
      <c r="K16" s="7"/>
      <c r="L16" s="7"/>
      <c r="M16" s="48" t="s">
        <v>229</v>
      </c>
      <c r="N16" s="7" t="s">
        <v>230</v>
      </c>
      <c r="O16" s="7" t="s">
        <v>214</v>
      </c>
      <c r="P16" s="46">
        <v>1</v>
      </c>
      <c r="Q16" s="7"/>
      <c r="R16" s="7"/>
      <c r="S16" s="7"/>
      <c r="T16" s="7"/>
      <c r="U16" s="7"/>
      <c r="V16" s="12" t="s">
        <v>26</v>
      </c>
      <c r="W16" s="7"/>
      <c r="X16" s="7">
        <v>0</v>
      </c>
      <c r="Y16" s="10"/>
    </row>
    <row r="17" spans="1:25" ht="25.5" x14ac:dyDescent="0.25">
      <c r="A17" s="7">
        <f t="shared" si="1"/>
        <v>16</v>
      </c>
      <c r="B17" s="12" t="s">
        <v>23</v>
      </c>
      <c r="C17" s="12" t="s">
        <v>158</v>
      </c>
      <c r="D17" s="7" t="s">
        <v>155</v>
      </c>
      <c r="E17" s="7" t="str">
        <f t="shared" si="0"/>
        <v>YLNDA10CE302_XG01</v>
      </c>
      <c r="F17" s="8" t="s">
        <v>140</v>
      </c>
      <c r="G17" s="43"/>
      <c r="H17" s="7" t="s">
        <v>31</v>
      </c>
      <c r="I17" s="7">
        <v>9</v>
      </c>
      <c r="J17" s="7"/>
      <c r="K17" s="7"/>
      <c r="L17" s="7"/>
      <c r="M17" s="48" t="s">
        <v>231</v>
      </c>
      <c r="N17" s="7" t="s">
        <v>239</v>
      </c>
      <c r="O17" s="7" t="s">
        <v>214</v>
      </c>
      <c r="P17" s="46">
        <v>1</v>
      </c>
      <c r="Q17" s="7"/>
      <c r="R17" s="7"/>
      <c r="S17" s="7"/>
      <c r="T17" s="7"/>
      <c r="U17" s="7"/>
      <c r="V17" s="12" t="s">
        <v>26</v>
      </c>
      <c r="W17" s="7"/>
      <c r="X17" s="7">
        <v>0</v>
      </c>
      <c r="Y17" s="10"/>
    </row>
    <row r="18" spans="1:25" ht="25.5" x14ac:dyDescent="0.25">
      <c r="A18" s="7">
        <f t="shared" si="1"/>
        <v>17</v>
      </c>
      <c r="B18" s="12" t="s">
        <v>23</v>
      </c>
      <c r="C18" s="12" t="s">
        <v>162</v>
      </c>
      <c r="D18" s="7" t="s">
        <v>155</v>
      </c>
      <c r="E18" s="7" t="str">
        <f t="shared" si="0"/>
        <v>YLNDA10CE306_XG01</v>
      </c>
      <c r="F18" s="8" t="s">
        <v>141</v>
      </c>
      <c r="G18" s="43"/>
      <c r="H18" s="7" t="s">
        <v>31</v>
      </c>
      <c r="I18" s="7">
        <v>10</v>
      </c>
      <c r="J18" s="7"/>
      <c r="K18" s="7"/>
      <c r="L18" s="7"/>
      <c r="M18" s="48" t="s">
        <v>232</v>
      </c>
      <c r="N18" s="7" t="s">
        <v>240</v>
      </c>
      <c r="O18" s="7" t="s">
        <v>214</v>
      </c>
      <c r="P18" s="46">
        <v>1</v>
      </c>
      <c r="Q18" s="7"/>
      <c r="R18" s="7"/>
      <c r="S18" s="7"/>
      <c r="T18" s="7"/>
      <c r="U18" s="7"/>
      <c r="V18" s="12" t="s">
        <v>26</v>
      </c>
      <c r="W18" s="7"/>
      <c r="X18" s="7">
        <v>0</v>
      </c>
      <c r="Y18" s="10"/>
    </row>
    <row r="19" spans="1:25" x14ac:dyDescent="0.25">
      <c r="A19" s="7">
        <f t="shared" si="1"/>
        <v>18</v>
      </c>
      <c r="B19" s="12" t="s">
        <v>23</v>
      </c>
      <c r="C19" s="12" t="s">
        <v>171</v>
      </c>
      <c r="D19" s="7" t="s">
        <v>152</v>
      </c>
      <c r="E19" s="7" t="str">
        <f t="shared" si="0"/>
        <v>YLND10GH001_XB01</v>
      </c>
      <c r="F19" s="8" t="s">
        <v>114</v>
      </c>
      <c r="G19" s="43"/>
      <c r="H19" s="7" t="s">
        <v>31</v>
      </c>
      <c r="I19" s="7">
        <v>11</v>
      </c>
      <c r="J19" s="7"/>
      <c r="K19" s="7"/>
      <c r="L19" s="7"/>
      <c r="M19" s="48" t="s">
        <v>233</v>
      </c>
      <c r="N19" s="7" t="s">
        <v>241</v>
      </c>
      <c r="O19" s="7" t="s">
        <v>214</v>
      </c>
      <c r="P19" s="46">
        <v>1</v>
      </c>
      <c r="Q19" s="7"/>
      <c r="R19" s="7"/>
      <c r="S19" s="7"/>
      <c r="T19" s="7"/>
      <c r="U19" s="7"/>
      <c r="V19" s="12" t="s">
        <v>26</v>
      </c>
      <c r="W19" s="7"/>
      <c r="X19" s="7">
        <v>0</v>
      </c>
      <c r="Y19" s="10"/>
    </row>
    <row r="20" spans="1:25" x14ac:dyDescent="0.25">
      <c r="A20" s="7">
        <f t="shared" si="1"/>
        <v>19</v>
      </c>
      <c r="B20" s="12" t="s">
        <v>23</v>
      </c>
      <c r="C20" s="12" t="s">
        <v>171</v>
      </c>
      <c r="D20" s="7" t="s">
        <v>173</v>
      </c>
      <c r="E20" s="7" t="str">
        <f t="shared" si="0"/>
        <v>YLND10GH001_XB02</v>
      </c>
      <c r="F20" s="8" t="s">
        <v>115</v>
      </c>
      <c r="G20" s="43"/>
      <c r="H20" s="7" t="s">
        <v>31</v>
      </c>
      <c r="I20" s="7">
        <v>12</v>
      </c>
      <c r="J20" s="7"/>
      <c r="K20" s="7"/>
      <c r="L20" s="7"/>
      <c r="M20" s="48" t="s">
        <v>234</v>
      </c>
      <c r="N20" s="7" t="s">
        <v>242</v>
      </c>
      <c r="O20" s="7" t="s">
        <v>214</v>
      </c>
      <c r="P20" s="46">
        <v>1</v>
      </c>
      <c r="Q20" s="7"/>
      <c r="R20" s="7"/>
      <c r="S20" s="7"/>
      <c r="T20" s="7"/>
      <c r="U20" s="7"/>
      <c r="V20" s="12" t="s">
        <v>26</v>
      </c>
      <c r="W20" s="7"/>
      <c r="X20" s="7">
        <v>0</v>
      </c>
      <c r="Y20" s="10"/>
    </row>
    <row r="21" spans="1:25" x14ac:dyDescent="0.25">
      <c r="A21" s="7">
        <f t="shared" si="1"/>
        <v>20</v>
      </c>
      <c r="B21" s="12" t="s">
        <v>23</v>
      </c>
      <c r="C21" s="12" t="s">
        <v>171</v>
      </c>
      <c r="D21" s="7" t="s">
        <v>174</v>
      </c>
      <c r="E21" s="7" t="str">
        <f t="shared" si="0"/>
        <v>YLND10GH001_XB03</v>
      </c>
      <c r="F21" s="8" t="s">
        <v>113</v>
      </c>
      <c r="G21" s="43"/>
      <c r="H21" s="7" t="s">
        <v>31</v>
      </c>
      <c r="I21" s="7">
        <v>13</v>
      </c>
      <c r="J21" s="7"/>
      <c r="K21" s="7"/>
      <c r="L21" s="7"/>
      <c r="M21" s="48" t="s">
        <v>235</v>
      </c>
      <c r="N21" s="7" t="s">
        <v>243</v>
      </c>
      <c r="O21" s="7" t="s">
        <v>214</v>
      </c>
      <c r="P21" s="46">
        <v>1</v>
      </c>
      <c r="Q21" s="7"/>
      <c r="R21" s="7"/>
      <c r="S21" s="7"/>
      <c r="T21" s="7"/>
      <c r="U21" s="7"/>
      <c r="V21" s="12" t="s">
        <v>26</v>
      </c>
      <c r="W21" s="7"/>
      <c r="X21" s="7">
        <v>0</v>
      </c>
      <c r="Y21" s="10"/>
    </row>
    <row r="22" spans="1:25" x14ac:dyDescent="0.25">
      <c r="A22" s="7">
        <f t="shared" si="1"/>
        <v>21</v>
      </c>
      <c r="B22" s="12" t="s">
        <v>23</v>
      </c>
      <c r="C22" s="12" t="s">
        <v>171</v>
      </c>
      <c r="D22" s="7" t="s">
        <v>175</v>
      </c>
      <c r="E22" s="7" t="str">
        <f t="shared" si="0"/>
        <v>YLND10GH001_XB04</v>
      </c>
      <c r="F22" s="8" t="s">
        <v>116</v>
      </c>
      <c r="G22" s="43"/>
      <c r="H22" s="7" t="s">
        <v>31</v>
      </c>
      <c r="I22" s="7">
        <v>14</v>
      </c>
      <c r="J22" s="7"/>
      <c r="K22" s="7"/>
      <c r="L22" s="7"/>
      <c r="M22" s="48" t="s">
        <v>236</v>
      </c>
      <c r="N22" s="7" t="s">
        <v>244</v>
      </c>
      <c r="O22" s="7" t="s">
        <v>214</v>
      </c>
      <c r="P22" s="46">
        <v>1</v>
      </c>
      <c r="Q22" s="7"/>
      <c r="R22" s="7"/>
      <c r="S22" s="7"/>
      <c r="T22" s="7"/>
      <c r="U22" s="7"/>
      <c r="V22" s="12" t="s">
        <v>26</v>
      </c>
      <c r="W22" s="7"/>
      <c r="X22" s="7">
        <v>0</v>
      </c>
      <c r="Y22" s="10"/>
    </row>
    <row r="23" spans="1:25" x14ac:dyDescent="0.25">
      <c r="A23" s="7">
        <f t="shared" si="1"/>
        <v>22</v>
      </c>
      <c r="B23" s="12" t="s">
        <v>23</v>
      </c>
      <c r="C23" s="12" t="s">
        <v>171</v>
      </c>
      <c r="D23" s="7" t="s">
        <v>177</v>
      </c>
      <c r="E23" s="7" t="str">
        <f t="shared" si="0"/>
        <v>YLND10GH001_XB22</v>
      </c>
      <c r="F23" s="8" t="s">
        <v>134</v>
      </c>
      <c r="G23" s="43"/>
      <c r="H23" s="7" t="s">
        <v>31</v>
      </c>
      <c r="I23" s="7">
        <v>15</v>
      </c>
      <c r="J23" s="7"/>
      <c r="K23" s="7"/>
      <c r="L23" s="7"/>
      <c r="M23" s="48" t="s">
        <v>237</v>
      </c>
      <c r="N23" s="7" t="s">
        <v>245</v>
      </c>
      <c r="O23" s="7" t="s">
        <v>214</v>
      </c>
      <c r="P23" s="46">
        <v>1</v>
      </c>
      <c r="Q23" s="7"/>
      <c r="R23" s="7"/>
      <c r="S23" s="7"/>
      <c r="T23" s="7"/>
      <c r="U23" s="7"/>
      <c r="V23" s="12" t="s">
        <v>26</v>
      </c>
      <c r="W23" s="7"/>
      <c r="X23" s="7">
        <v>0</v>
      </c>
      <c r="Y23" s="10"/>
    </row>
    <row r="24" spans="1:25" x14ac:dyDescent="0.25">
      <c r="A24" s="7">
        <f t="shared" si="1"/>
        <v>23</v>
      </c>
      <c r="B24" s="12" t="s">
        <v>23</v>
      </c>
      <c r="C24" s="12" t="s">
        <v>171</v>
      </c>
      <c r="D24" s="7" t="s">
        <v>176</v>
      </c>
      <c r="E24" s="7" t="str">
        <f t="shared" si="0"/>
        <v>YLND10GH001_XB23</v>
      </c>
      <c r="F24" s="8" t="s">
        <v>117</v>
      </c>
      <c r="G24" s="43"/>
      <c r="H24" s="7" t="s">
        <v>31</v>
      </c>
      <c r="I24" s="7">
        <v>16</v>
      </c>
      <c r="J24" s="7"/>
      <c r="K24" s="7"/>
      <c r="L24" s="7"/>
      <c r="M24" s="48" t="s">
        <v>238</v>
      </c>
      <c r="N24" s="7" t="s">
        <v>246</v>
      </c>
      <c r="O24" s="7" t="s">
        <v>214</v>
      </c>
      <c r="P24" s="46">
        <v>1</v>
      </c>
      <c r="Q24" s="7"/>
      <c r="R24" s="7"/>
      <c r="S24" s="7"/>
      <c r="T24" s="7"/>
      <c r="U24" s="7"/>
      <c r="V24" s="12" t="s">
        <v>26</v>
      </c>
      <c r="W24" s="7"/>
      <c r="X24" s="7">
        <v>0</v>
      </c>
      <c r="Y24" s="10"/>
    </row>
    <row r="25" spans="1:25" x14ac:dyDescent="0.25">
      <c r="A25" s="7">
        <f t="shared" si="1"/>
        <v>24</v>
      </c>
      <c r="B25" s="12" t="s">
        <v>23</v>
      </c>
      <c r="C25" s="12" t="s">
        <v>171</v>
      </c>
      <c r="D25" s="7" t="s">
        <v>178</v>
      </c>
      <c r="E25" s="7" t="str">
        <f t="shared" si="0"/>
        <v>YLND10GH001_XB24</v>
      </c>
      <c r="F25" s="8" t="s">
        <v>118</v>
      </c>
      <c r="G25" s="43"/>
      <c r="H25" s="7" t="s">
        <v>216</v>
      </c>
      <c r="I25" s="7">
        <v>1</v>
      </c>
      <c r="J25" s="7"/>
      <c r="K25" s="7"/>
      <c r="L25" s="7"/>
      <c r="M25" s="48" t="s">
        <v>213</v>
      </c>
      <c r="N25" s="7" t="s">
        <v>247</v>
      </c>
      <c r="O25" s="7" t="s">
        <v>214</v>
      </c>
      <c r="P25" s="46">
        <v>1</v>
      </c>
      <c r="Q25" s="7"/>
      <c r="R25" s="7"/>
      <c r="S25" s="7"/>
      <c r="T25" s="7"/>
      <c r="U25" s="7"/>
      <c r="V25" s="12" t="s">
        <v>26</v>
      </c>
      <c r="W25" s="7"/>
      <c r="X25" s="7">
        <v>0</v>
      </c>
      <c r="Y25" s="10"/>
    </row>
    <row r="26" spans="1:25" x14ac:dyDescent="0.25">
      <c r="A26" s="7">
        <f t="shared" si="1"/>
        <v>25</v>
      </c>
      <c r="B26" s="12" t="s">
        <v>23</v>
      </c>
      <c r="C26" s="12" t="s">
        <v>143</v>
      </c>
      <c r="D26" s="7" t="s">
        <v>153</v>
      </c>
      <c r="E26" s="7" t="str">
        <f t="shared" si="0"/>
        <v>YLND11AP001_XB48</v>
      </c>
      <c r="F26" s="8" t="s">
        <v>111</v>
      </c>
      <c r="G26" s="43"/>
      <c r="H26" s="7" t="s">
        <v>216</v>
      </c>
      <c r="I26" s="7">
        <v>2</v>
      </c>
      <c r="J26" s="7"/>
      <c r="K26" s="7"/>
      <c r="L26" s="7"/>
      <c r="M26" s="48" t="s">
        <v>217</v>
      </c>
      <c r="N26" s="7" t="s">
        <v>248</v>
      </c>
      <c r="O26" s="7" t="s">
        <v>214</v>
      </c>
      <c r="P26" s="46">
        <v>1</v>
      </c>
      <c r="Q26" s="7"/>
      <c r="R26" s="7"/>
      <c r="S26" s="7"/>
      <c r="T26" s="7"/>
      <c r="U26" s="7"/>
      <c r="V26" s="12" t="s">
        <v>26</v>
      </c>
      <c r="W26" s="7"/>
      <c r="X26" s="7">
        <v>0</v>
      </c>
      <c r="Y26" s="10"/>
    </row>
    <row r="27" spans="1:25" x14ac:dyDescent="0.25">
      <c r="A27" s="7">
        <f t="shared" si="1"/>
        <v>26</v>
      </c>
      <c r="B27" s="12" t="s">
        <v>23</v>
      </c>
      <c r="C27" s="12" t="s">
        <v>144</v>
      </c>
      <c r="D27" s="7" t="s">
        <v>153</v>
      </c>
      <c r="E27" s="7" t="str">
        <f t="shared" si="0"/>
        <v>YLND11AP002_XB48</v>
      </c>
      <c r="F27" s="8" t="s">
        <v>112</v>
      </c>
      <c r="G27" s="43"/>
      <c r="H27" s="7" t="s">
        <v>216</v>
      </c>
      <c r="I27" s="7">
        <v>3</v>
      </c>
      <c r="J27" s="7"/>
      <c r="K27" s="7"/>
      <c r="L27" s="7"/>
      <c r="M27" s="48" t="s">
        <v>219</v>
      </c>
      <c r="N27" s="7" t="s">
        <v>249</v>
      </c>
      <c r="O27" s="7" t="s">
        <v>214</v>
      </c>
      <c r="P27" s="46">
        <v>1</v>
      </c>
      <c r="Q27" s="7"/>
      <c r="R27" s="7"/>
      <c r="S27" s="7"/>
      <c r="T27" s="7"/>
      <c r="U27" s="7"/>
      <c r="V27" s="12" t="s">
        <v>26</v>
      </c>
      <c r="W27" s="7"/>
      <c r="X27" s="7">
        <v>0</v>
      </c>
      <c r="Y27" s="10"/>
    </row>
    <row r="28" spans="1:25" x14ac:dyDescent="0.25">
      <c r="A28" s="7">
        <f t="shared" si="1"/>
        <v>27</v>
      </c>
      <c r="B28" s="12" t="s">
        <v>23</v>
      </c>
      <c r="C28" s="12" t="s">
        <v>171</v>
      </c>
      <c r="D28" s="7" t="s">
        <v>186</v>
      </c>
      <c r="E28" s="7" t="str">
        <f t="shared" si="0"/>
        <v>YLND10GH001_XB32</v>
      </c>
      <c r="F28" s="8" t="s">
        <v>44</v>
      </c>
      <c r="G28" s="43"/>
      <c r="H28" s="7" t="s">
        <v>216</v>
      </c>
      <c r="I28" s="7">
        <v>4</v>
      </c>
      <c r="J28" s="7"/>
      <c r="K28" s="7"/>
      <c r="L28" s="7"/>
      <c r="M28" s="48" t="s">
        <v>221</v>
      </c>
      <c r="N28" s="7" t="s">
        <v>250</v>
      </c>
      <c r="O28" s="7" t="s">
        <v>214</v>
      </c>
      <c r="P28" s="46">
        <v>1</v>
      </c>
      <c r="Q28" s="7"/>
      <c r="R28" s="7"/>
      <c r="S28" s="7"/>
      <c r="T28" s="7"/>
      <c r="U28" s="7"/>
      <c r="V28" s="12" t="s">
        <v>26</v>
      </c>
      <c r="W28" s="7"/>
      <c r="X28" s="7">
        <v>0</v>
      </c>
      <c r="Y28" s="10"/>
    </row>
    <row r="29" spans="1:25" x14ac:dyDescent="0.25">
      <c r="A29" s="7">
        <f t="shared" si="1"/>
        <v>28</v>
      </c>
      <c r="B29" s="12" t="s">
        <v>23</v>
      </c>
      <c r="C29" s="12" t="s">
        <v>171</v>
      </c>
      <c r="D29" s="7" t="s">
        <v>187</v>
      </c>
      <c r="E29" s="7" t="str">
        <f t="shared" si="0"/>
        <v>YLND10GH001_XB33</v>
      </c>
      <c r="F29" s="8" t="s">
        <v>45</v>
      </c>
      <c r="G29" s="43"/>
      <c r="H29" s="7" t="s">
        <v>216</v>
      </c>
      <c r="I29" s="7">
        <v>5</v>
      </c>
      <c r="J29" s="7"/>
      <c r="K29" s="7"/>
      <c r="L29" s="7"/>
      <c r="M29" s="48" t="s">
        <v>223</v>
      </c>
      <c r="N29" s="7" t="s">
        <v>251</v>
      </c>
      <c r="O29" s="7" t="s">
        <v>214</v>
      </c>
      <c r="P29" s="46">
        <v>1</v>
      </c>
      <c r="Q29" s="7"/>
      <c r="R29" s="7"/>
      <c r="S29" s="7"/>
      <c r="T29" s="7"/>
      <c r="U29" s="7"/>
      <c r="V29" s="12" t="s">
        <v>26</v>
      </c>
      <c r="W29" s="7"/>
      <c r="X29" s="7">
        <v>0</v>
      </c>
      <c r="Y29" s="10"/>
    </row>
    <row r="30" spans="1:25" x14ac:dyDescent="0.25">
      <c r="A30" s="7">
        <f t="shared" si="1"/>
        <v>29</v>
      </c>
      <c r="B30" s="12" t="s">
        <v>23</v>
      </c>
      <c r="C30" s="12" t="s">
        <v>171</v>
      </c>
      <c r="D30" s="7" t="s">
        <v>188</v>
      </c>
      <c r="E30" s="7" t="str">
        <f t="shared" si="0"/>
        <v>YLND10GH001_XB34</v>
      </c>
      <c r="F30" s="8" t="s">
        <v>119</v>
      </c>
      <c r="G30" s="43"/>
      <c r="H30" s="7" t="s">
        <v>216</v>
      </c>
      <c r="I30" s="7">
        <v>6</v>
      </c>
      <c r="J30" s="7"/>
      <c r="K30" s="7"/>
      <c r="L30" s="7"/>
      <c r="M30" s="48" t="s">
        <v>225</v>
      </c>
      <c r="N30" s="7" t="s">
        <v>252</v>
      </c>
      <c r="O30" s="7" t="s">
        <v>214</v>
      </c>
      <c r="P30" s="46">
        <v>1</v>
      </c>
      <c r="Q30" s="7"/>
      <c r="R30" s="7"/>
      <c r="S30" s="7"/>
      <c r="T30" s="7"/>
      <c r="U30" s="7"/>
      <c r="V30" s="12" t="s">
        <v>26</v>
      </c>
      <c r="W30" s="7"/>
      <c r="X30" s="7">
        <v>0</v>
      </c>
      <c r="Y30" s="10"/>
    </row>
    <row r="31" spans="1:25" x14ac:dyDescent="0.25">
      <c r="A31" s="7">
        <f t="shared" si="1"/>
        <v>30</v>
      </c>
      <c r="B31" s="12" t="s">
        <v>23</v>
      </c>
      <c r="C31" s="12" t="s">
        <v>171</v>
      </c>
      <c r="D31" s="7" t="s">
        <v>189</v>
      </c>
      <c r="E31" s="7" t="str">
        <f t="shared" si="0"/>
        <v>YLND10GH001_XB41</v>
      </c>
      <c r="F31" s="8" t="s">
        <v>37</v>
      </c>
      <c r="G31" s="43"/>
      <c r="H31" s="7" t="s">
        <v>216</v>
      </c>
      <c r="I31" s="7">
        <v>7</v>
      </c>
      <c r="J31" s="7"/>
      <c r="K31" s="7"/>
      <c r="L31" s="7"/>
      <c r="M31" s="48" t="s">
        <v>227</v>
      </c>
      <c r="N31" s="7" t="s">
        <v>253</v>
      </c>
      <c r="O31" s="7" t="s">
        <v>214</v>
      </c>
      <c r="P31" s="46">
        <v>1</v>
      </c>
      <c r="Q31" s="7"/>
      <c r="R31" s="7"/>
      <c r="S31" s="7"/>
      <c r="T31" s="7"/>
      <c r="U31" s="7"/>
      <c r="V31" s="12" t="s">
        <v>26</v>
      </c>
      <c r="W31" s="7"/>
      <c r="X31" s="7">
        <v>0</v>
      </c>
      <c r="Y31" s="10"/>
    </row>
    <row r="32" spans="1:25" x14ac:dyDescent="0.25">
      <c r="A32" s="7">
        <f t="shared" si="1"/>
        <v>31</v>
      </c>
      <c r="B32" s="12" t="s">
        <v>23</v>
      </c>
      <c r="C32" s="12" t="s">
        <v>171</v>
      </c>
      <c r="D32" s="7" t="s">
        <v>190</v>
      </c>
      <c r="E32" s="7" t="str">
        <f t="shared" si="0"/>
        <v>YLND10GH001_XB42</v>
      </c>
      <c r="F32" s="8" t="s">
        <v>38</v>
      </c>
      <c r="G32" s="43"/>
      <c r="H32" s="7" t="s">
        <v>216</v>
      </c>
      <c r="I32" s="7">
        <v>8</v>
      </c>
      <c r="J32" s="7"/>
      <c r="K32" s="7"/>
      <c r="L32" s="7"/>
      <c r="M32" s="48" t="s">
        <v>229</v>
      </c>
      <c r="N32" s="7" t="s">
        <v>254</v>
      </c>
      <c r="O32" s="7" t="s">
        <v>214</v>
      </c>
      <c r="P32" s="46">
        <v>1</v>
      </c>
      <c r="Q32" s="7"/>
      <c r="R32" s="7"/>
      <c r="S32" s="7"/>
      <c r="T32" s="7"/>
      <c r="U32" s="7"/>
      <c r="V32" s="12" t="s">
        <v>26</v>
      </c>
      <c r="W32" s="7"/>
      <c r="X32" s="7">
        <v>0</v>
      </c>
      <c r="Y32" s="10"/>
    </row>
    <row r="33" spans="1:25" x14ac:dyDescent="0.25">
      <c r="A33" s="7">
        <f t="shared" si="1"/>
        <v>32</v>
      </c>
      <c r="B33" s="12" t="s">
        <v>23</v>
      </c>
      <c r="C33" s="12" t="s">
        <v>171</v>
      </c>
      <c r="D33" s="7" t="s">
        <v>191</v>
      </c>
      <c r="E33" s="7" t="str">
        <f t="shared" si="0"/>
        <v>YLND10GH001_XB43</v>
      </c>
      <c r="F33" s="8" t="s">
        <v>39</v>
      </c>
      <c r="G33" s="43"/>
      <c r="H33" s="7" t="s">
        <v>216</v>
      </c>
      <c r="I33" s="7">
        <v>9</v>
      </c>
      <c r="J33" s="7"/>
      <c r="K33" s="7"/>
      <c r="L33" s="7"/>
      <c r="M33" s="48" t="s">
        <v>231</v>
      </c>
      <c r="N33" s="7" t="s">
        <v>255</v>
      </c>
      <c r="O33" s="7" t="s">
        <v>214</v>
      </c>
      <c r="P33" s="46">
        <v>1</v>
      </c>
      <c r="Q33" s="7"/>
      <c r="R33" s="7"/>
      <c r="S33" s="7"/>
      <c r="T33" s="7"/>
      <c r="U33" s="7"/>
      <c r="V33" s="12" t="s">
        <v>26</v>
      </c>
      <c r="W33" s="7"/>
      <c r="X33" s="7">
        <v>0</v>
      </c>
      <c r="Y33" s="10"/>
    </row>
    <row r="34" spans="1:25" x14ac:dyDescent="0.25">
      <c r="A34" s="7">
        <f t="shared" si="1"/>
        <v>33</v>
      </c>
      <c r="B34" s="12" t="s">
        <v>23</v>
      </c>
      <c r="C34" s="12" t="s">
        <v>171</v>
      </c>
      <c r="D34" s="7" t="s">
        <v>192</v>
      </c>
      <c r="E34" s="7" t="str">
        <f t="shared" si="0"/>
        <v>YLND10GH001_XB15</v>
      </c>
      <c r="F34" s="8" t="s">
        <v>48</v>
      </c>
      <c r="G34" s="43"/>
      <c r="H34" s="7" t="s">
        <v>216</v>
      </c>
      <c r="I34" s="7">
        <v>10</v>
      </c>
      <c r="J34" s="7"/>
      <c r="K34" s="7"/>
      <c r="L34" s="7"/>
      <c r="M34" s="48" t="s">
        <v>232</v>
      </c>
      <c r="N34" s="7" t="s">
        <v>256</v>
      </c>
      <c r="O34" s="7" t="s">
        <v>214</v>
      </c>
      <c r="P34" s="46">
        <v>1</v>
      </c>
      <c r="Q34" s="7"/>
      <c r="R34" s="7"/>
      <c r="S34" s="7"/>
      <c r="T34" s="7"/>
      <c r="U34" s="7"/>
      <c r="V34" s="12" t="s">
        <v>26</v>
      </c>
      <c r="W34" s="7"/>
      <c r="X34" s="7">
        <v>0</v>
      </c>
      <c r="Y34" s="10"/>
    </row>
    <row r="35" spans="1:25" x14ac:dyDescent="0.25">
      <c r="A35" s="7"/>
      <c r="B35" s="12"/>
      <c r="C35" s="12" t="s">
        <v>171</v>
      </c>
      <c r="D35" s="7" t="s">
        <v>193</v>
      </c>
      <c r="E35" s="7" t="str">
        <f t="shared" si="0"/>
        <v>YLND10GH001_XB66</v>
      </c>
      <c r="F35" s="8" t="s">
        <v>184</v>
      </c>
      <c r="G35" s="43"/>
      <c r="H35" s="7" t="s">
        <v>216</v>
      </c>
      <c r="I35" s="7">
        <v>11</v>
      </c>
      <c r="J35" s="7"/>
      <c r="K35" s="7"/>
      <c r="L35" s="7"/>
      <c r="M35" s="48" t="s">
        <v>233</v>
      </c>
      <c r="N35" s="7" t="s">
        <v>257</v>
      </c>
      <c r="O35" s="7" t="s">
        <v>214</v>
      </c>
      <c r="P35" s="46">
        <v>1</v>
      </c>
      <c r="Q35" s="7"/>
      <c r="R35" s="7"/>
      <c r="S35" s="7"/>
      <c r="T35" s="7"/>
      <c r="U35" s="7"/>
      <c r="V35" s="12" t="s">
        <v>26</v>
      </c>
      <c r="W35" s="7"/>
      <c r="X35" s="7">
        <v>0</v>
      </c>
      <c r="Y35" s="10"/>
    </row>
    <row r="36" spans="1:25" x14ac:dyDescent="0.25">
      <c r="A36" s="7"/>
      <c r="B36" s="12"/>
      <c r="C36" s="12" t="s">
        <v>171</v>
      </c>
      <c r="D36" s="7" t="s">
        <v>194</v>
      </c>
      <c r="E36" s="7" t="str">
        <f t="shared" si="0"/>
        <v>YLND10GH001_XB67</v>
      </c>
      <c r="F36" s="8" t="s">
        <v>185</v>
      </c>
      <c r="G36" s="43"/>
      <c r="H36" s="7" t="s">
        <v>216</v>
      </c>
      <c r="I36" s="7">
        <v>12</v>
      </c>
      <c r="J36" s="7"/>
      <c r="K36" s="7"/>
      <c r="L36" s="7"/>
      <c r="M36" s="48" t="s">
        <v>234</v>
      </c>
      <c r="N36" s="7" t="s">
        <v>258</v>
      </c>
      <c r="O36" s="7" t="s">
        <v>214</v>
      </c>
      <c r="P36" s="46">
        <v>1</v>
      </c>
      <c r="Q36" s="7"/>
      <c r="R36" s="7"/>
      <c r="S36" s="7"/>
      <c r="T36" s="7"/>
      <c r="U36" s="7"/>
      <c r="V36" s="12" t="s">
        <v>26</v>
      </c>
      <c r="W36" s="7"/>
      <c r="X36" s="7">
        <v>0</v>
      </c>
      <c r="Y36" s="10"/>
    </row>
    <row r="37" spans="1:25" x14ac:dyDescent="0.25">
      <c r="A37" s="7">
        <f>A34+1</f>
        <v>34</v>
      </c>
      <c r="B37" s="12" t="s">
        <v>23</v>
      </c>
      <c r="C37" s="12" t="s">
        <v>165</v>
      </c>
      <c r="D37" s="7" t="s">
        <v>152</v>
      </c>
      <c r="E37" s="7" t="str">
        <f t="shared" si="0"/>
        <v>YLND10AH001_XB01</v>
      </c>
      <c r="F37" s="8" t="s">
        <v>42</v>
      </c>
      <c r="G37" s="43"/>
      <c r="H37" s="7" t="s">
        <v>216</v>
      </c>
      <c r="I37" s="7">
        <v>13</v>
      </c>
      <c r="J37" s="7"/>
      <c r="K37" s="7"/>
      <c r="L37" s="7"/>
      <c r="M37" s="48" t="s">
        <v>235</v>
      </c>
      <c r="N37" s="7" t="s">
        <v>259</v>
      </c>
      <c r="O37" s="7" t="s">
        <v>214</v>
      </c>
      <c r="P37" s="46">
        <v>1</v>
      </c>
      <c r="Q37" s="7"/>
      <c r="R37" s="7"/>
      <c r="S37" s="7"/>
      <c r="T37" s="7"/>
      <c r="U37" s="7"/>
      <c r="V37" s="12" t="s">
        <v>26</v>
      </c>
      <c r="W37" s="7"/>
      <c r="X37" s="7">
        <v>0</v>
      </c>
      <c r="Y37" s="10"/>
    </row>
    <row r="38" spans="1:25" x14ac:dyDescent="0.25">
      <c r="A38" s="7">
        <f t="shared" si="1"/>
        <v>35</v>
      </c>
      <c r="B38" s="12" t="s">
        <v>23</v>
      </c>
      <c r="C38" s="12" t="s">
        <v>166</v>
      </c>
      <c r="D38" s="7" t="s">
        <v>152</v>
      </c>
      <c r="E38" s="7" t="str">
        <f t="shared" si="0"/>
        <v>YLND10AH002_XB01</v>
      </c>
      <c r="F38" s="8" t="s">
        <v>43</v>
      </c>
      <c r="G38" s="43"/>
      <c r="H38" s="7" t="s">
        <v>216</v>
      </c>
      <c r="I38" s="7">
        <v>14</v>
      </c>
      <c r="J38" s="7"/>
      <c r="K38" s="7"/>
      <c r="L38" s="7"/>
      <c r="M38" s="48" t="s">
        <v>236</v>
      </c>
      <c r="N38" s="7" t="s">
        <v>260</v>
      </c>
      <c r="O38" s="7" t="s">
        <v>214</v>
      </c>
      <c r="P38" s="46">
        <v>1</v>
      </c>
      <c r="Q38" s="7"/>
      <c r="R38" s="7"/>
      <c r="S38" s="7"/>
      <c r="T38" s="7"/>
      <c r="U38" s="7"/>
      <c r="V38" s="12" t="s">
        <v>26</v>
      </c>
      <c r="W38" s="7"/>
      <c r="X38" s="7">
        <v>0</v>
      </c>
      <c r="Y38" s="10"/>
    </row>
    <row r="39" spans="1:25" x14ac:dyDescent="0.25">
      <c r="A39" s="7">
        <f t="shared" si="1"/>
        <v>36</v>
      </c>
      <c r="B39" s="12" t="s">
        <v>23</v>
      </c>
      <c r="C39" s="12" t="s">
        <v>163</v>
      </c>
      <c r="D39" s="7" t="s">
        <v>152</v>
      </c>
      <c r="E39" s="7" t="str">
        <f t="shared" si="0"/>
        <v>YLND10CG001_XB01</v>
      </c>
      <c r="F39" s="8" t="s">
        <v>120</v>
      </c>
      <c r="G39" s="43"/>
      <c r="H39" s="7" t="s">
        <v>216</v>
      </c>
      <c r="I39" s="7">
        <v>15</v>
      </c>
      <c r="J39" s="7"/>
      <c r="K39" s="7"/>
      <c r="L39" s="7"/>
      <c r="M39" s="48" t="s">
        <v>237</v>
      </c>
      <c r="N39" s="7" t="s">
        <v>261</v>
      </c>
      <c r="O39" s="7" t="s">
        <v>214</v>
      </c>
      <c r="P39" s="46">
        <v>1</v>
      </c>
      <c r="Q39" s="7"/>
      <c r="R39" s="7"/>
      <c r="S39" s="7"/>
      <c r="T39" s="7"/>
      <c r="U39" s="7"/>
      <c r="V39" s="12" t="s">
        <v>26</v>
      </c>
      <c r="W39" s="7"/>
      <c r="X39" s="7">
        <v>0</v>
      </c>
      <c r="Y39" s="10"/>
    </row>
    <row r="40" spans="1:25" x14ac:dyDescent="0.25">
      <c r="A40" s="7">
        <f t="shared" si="1"/>
        <v>37</v>
      </c>
      <c r="B40" s="12" t="s">
        <v>23</v>
      </c>
      <c r="C40" s="12" t="s">
        <v>150</v>
      </c>
      <c r="D40" s="7" t="s">
        <v>155</v>
      </c>
      <c r="E40" s="7" t="str">
        <f t="shared" si="0"/>
        <v>YLND11CL301_XG01</v>
      </c>
      <c r="F40" s="8" t="s">
        <v>121</v>
      </c>
      <c r="G40" s="43"/>
      <c r="H40" s="7" t="s">
        <v>216</v>
      </c>
      <c r="I40" s="7">
        <v>16</v>
      </c>
      <c r="J40" s="7"/>
      <c r="K40" s="7"/>
      <c r="L40" s="7"/>
      <c r="M40" s="48" t="s">
        <v>238</v>
      </c>
      <c r="N40" s="7" t="s">
        <v>262</v>
      </c>
      <c r="O40" s="7" t="s">
        <v>214</v>
      </c>
      <c r="P40" s="46">
        <v>1</v>
      </c>
      <c r="Q40" s="7"/>
      <c r="R40" s="7"/>
      <c r="S40" s="7"/>
      <c r="T40" s="7"/>
      <c r="U40" s="7"/>
      <c r="V40" s="12" t="s">
        <v>26</v>
      </c>
      <c r="W40" s="7"/>
      <c r="X40" s="7">
        <v>0</v>
      </c>
      <c r="Y40" s="10"/>
    </row>
    <row r="41" spans="1:25" x14ac:dyDescent="0.25">
      <c r="A41" s="7">
        <f t="shared" si="1"/>
        <v>38</v>
      </c>
      <c r="B41" s="12" t="s">
        <v>23</v>
      </c>
      <c r="C41" s="12" t="s">
        <v>151</v>
      </c>
      <c r="D41" s="7" t="s">
        <v>155</v>
      </c>
      <c r="E41" s="7" t="str">
        <f t="shared" si="0"/>
        <v>YLND11CL302_XG01</v>
      </c>
      <c r="F41" s="8" t="s">
        <v>122</v>
      </c>
      <c r="G41" s="43"/>
      <c r="H41" s="7" t="s">
        <v>263</v>
      </c>
      <c r="I41" s="7">
        <v>1</v>
      </c>
      <c r="J41" s="7"/>
      <c r="K41" s="7"/>
      <c r="L41" s="7"/>
      <c r="M41" s="48" t="s">
        <v>213</v>
      </c>
      <c r="N41" s="7" t="s">
        <v>264</v>
      </c>
      <c r="O41" s="7" t="s">
        <v>214</v>
      </c>
      <c r="P41" s="46">
        <v>1</v>
      </c>
      <c r="Q41" s="7"/>
      <c r="R41" s="7"/>
      <c r="S41" s="7"/>
      <c r="T41" s="7"/>
      <c r="U41" s="7"/>
      <c r="V41" s="12" t="s">
        <v>26</v>
      </c>
      <c r="W41" s="7"/>
      <c r="X41" s="7">
        <v>0</v>
      </c>
      <c r="Y41" s="10"/>
    </row>
    <row r="42" spans="1:25" x14ac:dyDescent="0.25">
      <c r="A42" s="7">
        <f t="shared" si="1"/>
        <v>39</v>
      </c>
      <c r="B42" s="12" t="s">
        <v>23</v>
      </c>
      <c r="C42" s="12" t="s">
        <v>149</v>
      </c>
      <c r="D42" s="7" t="s">
        <v>155</v>
      </c>
      <c r="E42" s="7" t="str">
        <f t="shared" si="0"/>
        <v>YLND11CP304_XG01</v>
      </c>
      <c r="F42" s="8" t="s">
        <v>46</v>
      </c>
      <c r="G42" s="43"/>
      <c r="H42" s="7" t="s">
        <v>263</v>
      </c>
      <c r="I42" s="7">
        <v>2</v>
      </c>
      <c r="J42" s="7"/>
      <c r="K42" s="7"/>
      <c r="L42" s="7"/>
      <c r="M42" s="48" t="s">
        <v>217</v>
      </c>
      <c r="N42" s="7" t="s">
        <v>265</v>
      </c>
      <c r="O42" s="7" t="s">
        <v>214</v>
      </c>
      <c r="P42" s="46">
        <v>1</v>
      </c>
      <c r="Q42" s="7"/>
      <c r="R42" s="7"/>
      <c r="S42" s="7"/>
      <c r="T42" s="7"/>
      <c r="U42" s="7"/>
      <c r="V42" s="12" t="s">
        <v>26</v>
      </c>
      <c r="W42" s="7"/>
      <c r="X42" s="7">
        <v>0</v>
      </c>
      <c r="Y42" s="10"/>
    </row>
    <row r="43" spans="1:25" x14ac:dyDescent="0.25">
      <c r="A43" s="7">
        <f t="shared" si="1"/>
        <v>40</v>
      </c>
      <c r="B43" s="12" t="s">
        <v>23</v>
      </c>
      <c r="C43" s="12" t="s">
        <v>147</v>
      </c>
      <c r="D43" s="7" t="s">
        <v>155</v>
      </c>
      <c r="E43" s="7" t="str">
        <f>CONCATENATE(C43,"_",D43)</f>
        <v>YLND11CP301_XG01</v>
      </c>
      <c r="F43" s="8" t="s">
        <v>145</v>
      </c>
      <c r="G43" s="43"/>
      <c r="H43" s="7" t="s">
        <v>263</v>
      </c>
      <c r="I43" s="7">
        <v>3</v>
      </c>
      <c r="J43" s="7"/>
      <c r="K43" s="7"/>
      <c r="L43" s="7"/>
      <c r="M43" s="48" t="s">
        <v>219</v>
      </c>
      <c r="N43" s="7" t="s">
        <v>266</v>
      </c>
      <c r="O43" s="7" t="s">
        <v>214</v>
      </c>
      <c r="P43" s="46">
        <v>1</v>
      </c>
      <c r="Q43" s="7"/>
      <c r="R43" s="7"/>
      <c r="S43" s="7"/>
      <c r="T43" s="7"/>
      <c r="U43" s="7"/>
      <c r="V43" s="12" t="s">
        <v>26</v>
      </c>
      <c r="W43" s="7"/>
      <c r="X43" s="7">
        <v>0</v>
      </c>
      <c r="Y43" s="10"/>
    </row>
    <row r="44" spans="1:25" x14ac:dyDescent="0.25">
      <c r="A44" s="7">
        <f t="shared" si="1"/>
        <v>41</v>
      </c>
      <c r="B44" s="12" t="s">
        <v>23</v>
      </c>
      <c r="C44" s="12" t="s">
        <v>148</v>
      </c>
      <c r="D44" s="7" t="s">
        <v>155</v>
      </c>
      <c r="E44" s="7" t="str">
        <f>CONCATENATE(C44,"_",D44)</f>
        <v>YLND11CP302_XG01</v>
      </c>
      <c r="F44" s="8" t="s">
        <v>146</v>
      </c>
      <c r="G44" s="43"/>
      <c r="H44" s="7" t="s">
        <v>263</v>
      </c>
      <c r="I44" s="7">
        <v>4</v>
      </c>
      <c r="J44" s="7"/>
      <c r="K44" s="7"/>
      <c r="L44" s="7"/>
      <c r="M44" s="48" t="s">
        <v>221</v>
      </c>
      <c r="N44" s="7" t="s">
        <v>267</v>
      </c>
      <c r="O44" s="7" t="s">
        <v>214</v>
      </c>
      <c r="P44" s="46">
        <v>1</v>
      </c>
      <c r="Q44" s="7"/>
      <c r="R44" s="7"/>
      <c r="S44" s="7"/>
      <c r="T44" s="7"/>
      <c r="U44" s="7"/>
      <c r="V44" s="12" t="s">
        <v>26</v>
      </c>
      <c r="W44" s="7"/>
      <c r="X44" s="7">
        <v>0</v>
      </c>
      <c r="Y44" s="10"/>
    </row>
    <row r="45" spans="1:25" x14ac:dyDescent="0.25">
      <c r="A45" s="7">
        <f t="shared" si="1"/>
        <v>42</v>
      </c>
      <c r="B45" s="12" t="s">
        <v>23</v>
      </c>
      <c r="C45" s="12" t="s">
        <v>171</v>
      </c>
      <c r="D45" s="7" t="s">
        <v>181</v>
      </c>
      <c r="E45" s="7" t="str">
        <f t="shared" si="0"/>
        <v>YLND10GH001_YB48</v>
      </c>
      <c r="F45" s="8" t="s">
        <v>135</v>
      </c>
      <c r="G45" s="43"/>
      <c r="H45" s="7" t="s">
        <v>268</v>
      </c>
      <c r="I45" s="7">
        <v>1</v>
      </c>
      <c r="J45" s="7"/>
      <c r="K45" s="7"/>
      <c r="L45" s="7"/>
      <c r="M45" s="48" t="s">
        <v>269</v>
      </c>
      <c r="N45" s="7" t="s">
        <v>270</v>
      </c>
      <c r="O45" s="7" t="s">
        <v>273</v>
      </c>
      <c r="P45" s="46"/>
      <c r="Q45" s="7">
        <v>1</v>
      </c>
      <c r="R45" s="7"/>
      <c r="S45" s="7"/>
      <c r="T45" s="7"/>
      <c r="U45" s="7"/>
      <c r="V45" s="12" t="s">
        <v>26</v>
      </c>
      <c r="W45" s="7"/>
      <c r="X45" s="7">
        <v>0</v>
      </c>
      <c r="Y45" s="10"/>
    </row>
    <row r="46" spans="1:25" x14ac:dyDescent="0.25">
      <c r="A46" s="7">
        <f t="shared" si="1"/>
        <v>43</v>
      </c>
      <c r="B46" s="12" t="s">
        <v>23</v>
      </c>
      <c r="C46" s="12" t="s">
        <v>171</v>
      </c>
      <c r="D46" s="7" t="s">
        <v>182</v>
      </c>
      <c r="E46" s="7" t="str">
        <f t="shared" si="0"/>
        <v>YLND10GH001_YB49</v>
      </c>
      <c r="F46" s="8" t="s">
        <v>125</v>
      </c>
      <c r="G46" s="43"/>
      <c r="H46" s="7" t="s">
        <v>268</v>
      </c>
      <c r="I46" s="7">
        <v>2</v>
      </c>
      <c r="J46" s="7"/>
      <c r="K46" s="7"/>
      <c r="L46" s="7"/>
      <c r="M46" s="48" t="s">
        <v>271</v>
      </c>
      <c r="N46" s="7" t="s">
        <v>272</v>
      </c>
      <c r="O46" s="7" t="s">
        <v>273</v>
      </c>
      <c r="P46" s="46"/>
      <c r="Q46" s="7">
        <v>1</v>
      </c>
      <c r="R46" s="7"/>
      <c r="S46" s="7"/>
      <c r="T46" s="7"/>
      <c r="U46" s="7"/>
      <c r="V46" s="12" t="s">
        <v>26</v>
      </c>
      <c r="W46" s="7"/>
      <c r="X46" s="7">
        <v>0</v>
      </c>
      <c r="Y46" s="10"/>
    </row>
    <row r="47" spans="1:25" x14ac:dyDescent="0.25">
      <c r="A47" s="7">
        <f t="shared" si="1"/>
        <v>44</v>
      </c>
      <c r="B47" s="12" t="s">
        <v>23</v>
      </c>
      <c r="C47" s="12" t="s">
        <v>171</v>
      </c>
      <c r="D47" s="7" t="s">
        <v>183</v>
      </c>
      <c r="E47" s="7" t="str">
        <f t="shared" si="0"/>
        <v>YLND10GH001_YB50</v>
      </c>
      <c r="F47" s="8" t="s">
        <v>126</v>
      </c>
      <c r="G47" s="43"/>
      <c r="H47" s="7" t="s">
        <v>268</v>
      </c>
      <c r="I47" s="7">
        <v>3</v>
      </c>
      <c r="J47" s="7"/>
      <c r="K47" s="7"/>
      <c r="L47" s="7"/>
      <c r="M47" s="48" t="s">
        <v>274</v>
      </c>
      <c r="N47" s="7" t="s">
        <v>275</v>
      </c>
      <c r="O47" s="7" t="s">
        <v>273</v>
      </c>
      <c r="P47" s="46"/>
      <c r="Q47" s="7">
        <v>1</v>
      </c>
      <c r="R47" s="7"/>
      <c r="S47" s="7"/>
      <c r="T47" s="7"/>
      <c r="U47" s="7"/>
      <c r="V47" s="12" t="s">
        <v>26</v>
      </c>
      <c r="W47" s="7"/>
      <c r="X47" s="7">
        <v>0</v>
      </c>
      <c r="Y47" s="10"/>
    </row>
    <row r="48" spans="1:25" x14ac:dyDescent="0.25">
      <c r="A48" s="7">
        <f t="shared" si="1"/>
        <v>45</v>
      </c>
      <c r="B48" s="12" t="s">
        <v>23</v>
      </c>
      <c r="C48" s="12" t="s">
        <v>171</v>
      </c>
      <c r="D48" s="7" t="s">
        <v>195</v>
      </c>
      <c r="E48" s="7" t="str">
        <f t="shared" si="0"/>
        <v>YLND10GH001_YB32</v>
      </c>
      <c r="F48" s="8" t="s">
        <v>127</v>
      </c>
      <c r="G48" s="43"/>
      <c r="H48" s="7" t="s">
        <v>268</v>
      </c>
      <c r="I48" s="7">
        <v>4</v>
      </c>
      <c r="J48" s="7"/>
      <c r="K48" s="7"/>
      <c r="L48" s="7"/>
      <c r="M48" s="48" t="s">
        <v>276</v>
      </c>
      <c r="N48" s="7" t="s">
        <v>277</v>
      </c>
      <c r="O48" s="7" t="s">
        <v>273</v>
      </c>
      <c r="P48" s="46"/>
      <c r="Q48" s="7">
        <v>1</v>
      </c>
      <c r="R48" s="7"/>
      <c r="S48" s="7"/>
      <c r="T48" s="7"/>
      <c r="U48" s="7"/>
      <c r="V48" s="12" t="s">
        <v>26</v>
      </c>
      <c r="W48" s="7"/>
      <c r="X48" s="7">
        <v>0</v>
      </c>
      <c r="Y48" s="10"/>
    </row>
    <row r="49" spans="1:25" x14ac:dyDescent="0.25">
      <c r="A49" s="7">
        <f t="shared" si="1"/>
        <v>46</v>
      </c>
      <c r="B49" s="12" t="s">
        <v>23</v>
      </c>
      <c r="C49" s="12" t="s">
        <v>171</v>
      </c>
      <c r="D49" s="7" t="s">
        <v>196</v>
      </c>
      <c r="E49" s="7" t="str">
        <f t="shared" si="0"/>
        <v>YLND10GH001_YB33</v>
      </c>
      <c r="F49" s="8" t="s">
        <v>128</v>
      </c>
      <c r="G49" s="43"/>
      <c r="H49" s="7" t="s">
        <v>268</v>
      </c>
      <c r="I49" s="7">
        <v>5</v>
      </c>
      <c r="J49" s="7"/>
      <c r="K49" s="7"/>
      <c r="L49" s="7"/>
      <c r="M49" s="48" t="s">
        <v>278</v>
      </c>
      <c r="N49" s="7" t="s">
        <v>279</v>
      </c>
      <c r="O49" s="7" t="s">
        <v>273</v>
      </c>
      <c r="P49" s="46"/>
      <c r="Q49" s="7">
        <v>1</v>
      </c>
      <c r="R49" s="7"/>
      <c r="S49" s="7"/>
      <c r="T49" s="7"/>
      <c r="U49" s="7"/>
      <c r="V49" s="12" t="s">
        <v>26</v>
      </c>
      <c r="W49" s="7"/>
      <c r="X49" s="7">
        <v>0</v>
      </c>
      <c r="Y49" s="10"/>
    </row>
    <row r="50" spans="1:25" x14ac:dyDescent="0.25">
      <c r="A50" s="7">
        <f t="shared" si="1"/>
        <v>47</v>
      </c>
      <c r="B50" s="12" t="s">
        <v>23</v>
      </c>
      <c r="C50" s="12" t="s">
        <v>171</v>
      </c>
      <c r="D50" s="7" t="s">
        <v>197</v>
      </c>
      <c r="E50" s="7" t="str">
        <f t="shared" si="0"/>
        <v>YLND10GH001_YB34</v>
      </c>
      <c r="F50" s="8" t="s">
        <v>129</v>
      </c>
      <c r="G50" s="43"/>
      <c r="H50" s="7" t="s">
        <v>268</v>
      </c>
      <c r="I50" s="7">
        <v>6</v>
      </c>
      <c r="J50" s="7"/>
      <c r="K50" s="7"/>
      <c r="L50" s="7"/>
      <c r="M50" s="48" t="s">
        <v>280</v>
      </c>
      <c r="N50" s="7" t="s">
        <v>281</v>
      </c>
      <c r="O50" s="7" t="s">
        <v>273</v>
      </c>
      <c r="P50" s="46"/>
      <c r="Q50" s="7">
        <v>1</v>
      </c>
      <c r="R50" s="7"/>
      <c r="S50" s="7"/>
      <c r="T50" s="7"/>
      <c r="U50" s="7"/>
      <c r="V50" s="12" t="s">
        <v>26</v>
      </c>
      <c r="W50" s="7"/>
      <c r="X50" s="7">
        <v>0</v>
      </c>
      <c r="Y50" s="10"/>
    </row>
    <row r="51" spans="1:25" x14ac:dyDescent="0.25">
      <c r="A51" s="7">
        <f t="shared" si="1"/>
        <v>48</v>
      </c>
      <c r="B51" s="12" t="s">
        <v>23</v>
      </c>
      <c r="C51" s="12" t="s">
        <v>171</v>
      </c>
      <c r="D51" s="7" t="s">
        <v>198</v>
      </c>
      <c r="E51" s="7" t="str">
        <f t="shared" si="0"/>
        <v>YLND10GH001_YB35</v>
      </c>
      <c r="F51" s="8" t="s">
        <v>130</v>
      </c>
      <c r="G51" s="43"/>
      <c r="H51" s="7" t="s">
        <v>268</v>
      </c>
      <c r="I51" s="7">
        <v>7</v>
      </c>
      <c r="J51" s="7"/>
      <c r="K51" s="7"/>
      <c r="L51" s="7"/>
      <c r="M51" s="48" t="s">
        <v>282</v>
      </c>
      <c r="N51" s="7" t="s">
        <v>283</v>
      </c>
      <c r="O51" s="7" t="s">
        <v>273</v>
      </c>
      <c r="P51" s="46"/>
      <c r="Q51" s="7">
        <v>1</v>
      </c>
      <c r="R51" s="7"/>
      <c r="S51" s="7"/>
      <c r="T51" s="7"/>
      <c r="U51" s="7"/>
      <c r="V51" s="12" t="s">
        <v>26</v>
      </c>
      <c r="W51" s="7"/>
      <c r="X51" s="7">
        <v>0</v>
      </c>
      <c r="Y51" s="10"/>
    </row>
    <row r="52" spans="1:25" x14ac:dyDescent="0.25">
      <c r="A52" s="7">
        <f t="shared" si="1"/>
        <v>49</v>
      </c>
      <c r="B52" s="12" t="s">
        <v>23</v>
      </c>
      <c r="C52" s="12" t="s">
        <v>143</v>
      </c>
      <c r="D52" s="7" t="s">
        <v>154</v>
      </c>
      <c r="E52" s="7" t="str">
        <f t="shared" si="0"/>
        <v>YLND11AP001_YB21</v>
      </c>
      <c r="F52" s="8" t="s">
        <v>136</v>
      </c>
      <c r="G52" s="43"/>
      <c r="H52" s="7" t="s">
        <v>268</v>
      </c>
      <c r="I52" s="7">
        <v>8</v>
      </c>
      <c r="J52" s="7"/>
      <c r="K52" s="7"/>
      <c r="L52" s="7"/>
      <c r="M52" s="48" t="s">
        <v>284</v>
      </c>
      <c r="N52" s="7" t="s">
        <v>285</v>
      </c>
      <c r="O52" s="7" t="s">
        <v>273</v>
      </c>
      <c r="P52" s="46"/>
      <c r="Q52" s="7">
        <v>1</v>
      </c>
      <c r="R52" s="7"/>
      <c r="S52" s="7"/>
      <c r="T52" s="7"/>
      <c r="U52" s="7"/>
      <c r="V52" s="12" t="s">
        <v>26</v>
      </c>
      <c r="W52" s="7"/>
      <c r="X52" s="7">
        <v>0</v>
      </c>
      <c r="Y52" s="10"/>
    </row>
    <row r="53" spans="1:25" x14ac:dyDescent="0.25">
      <c r="A53" s="7">
        <f t="shared" si="1"/>
        <v>50</v>
      </c>
      <c r="B53" s="12" t="s">
        <v>23</v>
      </c>
      <c r="C53" s="12" t="s">
        <v>144</v>
      </c>
      <c r="D53" s="7" t="s">
        <v>154</v>
      </c>
      <c r="E53" s="7" t="str">
        <f t="shared" si="0"/>
        <v>YLND11AP002_YB21</v>
      </c>
      <c r="F53" s="8" t="s">
        <v>137</v>
      </c>
      <c r="G53" s="43"/>
      <c r="H53" s="7" t="s">
        <v>268</v>
      </c>
      <c r="I53" s="7">
        <v>9</v>
      </c>
      <c r="J53" s="7"/>
      <c r="K53" s="7"/>
      <c r="L53" s="7"/>
      <c r="M53" s="48" t="s">
        <v>286</v>
      </c>
      <c r="N53" s="7" t="s">
        <v>289</v>
      </c>
      <c r="O53" s="7" t="s">
        <v>273</v>
      </c>
      <c r="P53" s="46"/>
      <c r="Q53" s="7">
        <v>1</v>
      </c>
      <c r="R53" s="7"/>
      <c r="S53" s="7"/>
      <c r="T53" s="7"/>
      <c r="U53" s="7"/>
      <c r="V53" s="12" t="s">
        <v>26</v>
      </c>
      <c r="W53" s="7"/>
      <c r="X53" s="7">
        <v>0</v>
      </c>
      <c r="Y53" s="10"/>
    </row>
    <row r="54" spans="1:25" x14ac:dyDescent="0.25">
      <c r="A54" s="7">
        <f t="shared" si="1"/>
        <v>51</v>
      </c>
      <c r="B54" s="12" t="s">
        <v>23</v>
      </c>
      <c r="C54" s="12" t="s">
        <v>171</v>
      </c>
      <c r="D54" s="7" t="s">
        <v>179</v>
      </c>
      <c r="E54" s="7" t="str">
        <f t="shared" si="0"/>
        <v>YLND10GH001_YB01</v>
      </c>
      <c r="F54" s="8" t="s">
        <v>138</v>
      </c>
      <c r="G54" s="43"/>
      <c r="H54" s="7" t="s">
        <v>268</v>
      </c>
      <c r="I54" s="7">
        <v>10</v>
      </c>
      <c r="J54" s="7"/>
      <c r="K54" s="7"/>
      <c r="L54" s="7"/>
      <c r="M54" s="48" t="s">
        <v>287</v>
      </c>
      <c r="N54" s="7" t="s">
        <v>290</v>
      </c>
      <c r="O54" s="7" t="s">
        <v>273</v>
      </c>
      <c r="P54" s="46"/>
      <c r="Q54" s="7">
        <v>1</v>
      </c>
      <c r="R54" s="7"/>
      <c r="S54" s="7"/>
      <c r="T54" s="7"/>
      <c r="U54" s="7"/>
      <c r="V54" s="12" t="s">
        <v>26</v>
      </c>
      <c r="W54" s="7"/>
      <c r="X54" s="7">
        <v>0</v>
      </c>
      <c r="Y54" s="10"/>
    </row>
    <row r="55" spans="1:25" x14ac:dyDescent="0.25">
      <c r="A55" s="7">
        <f t="shared" si="1"/>
        <v>52</v>
      </c>
      <c r="B55" s="12" t="s">
        <v>23</v>
      </c>
      <c r="C55" s="12" t="s">
        <v>171</v>
      </c>
      <c r="D55" s="7" t="s">
        <v>180</v>
      </c>
      <c r="E55" s="7" t="str">
        <f t="shared" si="0"/>
        <v>YLND10GH001_YB02</v>
      </c>
      <c r="F55" s="8" t="s">
        <v>45</v>
      </c>
      <c r="G55" s="43"/>
      <c r="H55" s="7" t="s">
        <v>268</v>
      </c>
      <c r="I55" s="7">
        <v>11</v>
      </c>
      <c r="J55" s="7"/>
      <c r="K55" s="7"/>
      <c r="L55" s="7"/>
      <c r="M55" s="48" t="s">
        <v>288</v>
      </c>
      <c r="N55" s="7" t="s">
        <v>291</v>
      </c>
      <c r="O55" s="7" t="s">
        <v>273</v>
      </c>
      <c r="P55" s="46"/>
      <c r="Q55" s="7">
        <v>1</v>
      </c>
      <c r="R55" s="7"/>
      <c r="S55" s="7"/>
      <c r="T55" s="7"/>
      <c r="U55" s="7"/>
      <c r="V55" s="12" t="s">
        <v>26</v>
      </c>
      <c r="W55" s="7"/>
      <c r="X55" s="7">
        <v>0</v>
      </c>
      <c r="Y55" s="10"/>
    </row>
    <row r="56" spans="1:25" x14ac:dyDescent="0.25">
      <c r="A56" s="7"/>
      <c r="B56" s="12"/>
      <c r="C56" s="15"/>
      <c r="D56" s="9"/>
      <c r="E56" s="9"/>
      <c r="F56" s="8"/>
      <c r="G56" s="22"/>
      <c r="H56" s="12"/>
      <c r="I56" s="15"/>
      <c r="J56" s="15"/>
      <c r="K56" s="15"/>
      <c r="L56" s="15"/>
      <c r="M56" s="47"/>
      <c r="N56" s="15"/>
      <c r="O56" s="12" t="s">
        <v>47</v>
      </c>
      <c r="P56" s="7">
        <f>SUM(P2:P55)</f>
        <v>36</v>
      </c>
      <c r="Q56" s="7">
        <f>SUM(Q2:Q55)</f>
        <v>11</v>
      </c>
      <c r="R56" s="7">
        <f>SUM(R2:R55)</f>
        <v>3</v>
      </c>
      <c r="S56" s="7">
        <f>SUM(S2:S55)</f>
        <v>4</v>
      </c>
      <c r="T56" s="7">
        <f>SUM(T2:T55)</f>
        <v>0</v>
      </c>
      <c r="U56" s="7"/>
      <c r="V56" s="12"/>
      <c r="W56" s="7"/>
      <c r="X56" s="7"/>
      <c r="Y56" s="10"/>
    </row>
    <row r="57" spans="1:25" x14ac:dyDescent="0.25">
      <c r="A57" s="1"/>
      <c r="B57" s="3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T57" s="2"/>
    </row>
    <row r="58" spans="1:25" x14ac:dyDescent="0.25">
      <c r="A58" s="1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T58" s="2"/>
    </row>
    <row r="59" spans="1:25" x14ac:dyDescent="0.25">
      <c r="M59" s="21" t="s">
        <v>22</v>
      </c>
      <c r="N59" s="21"/>
      <c r="O59" s="21"/>
      <c r="P59" s="21"/>
      <c r="Q59" s="21"/>
      <c r="R59" s="21"/>
    </row>
    <row r="60" spans="1:25" x14ac:dyDescent="0.25">
      <c r="N60" s="39" t="s">
        <v>2</v>
      </c>
      <c r="O60" s="39"/>
      <c r="P60" s="3"/>
      <c r="Q60" s="4"/>
    </row>
  </sheetData>
  <mergeCells count="2">
    <mergeCell ref="B57:R57"/>
    <mergeCell ref="N60:O60"/>
  </mergeCells>
  <phoneticPr fontId="4" type="noConversion"/>
  <pageMargins left="0.70866141732283472" right="0.59055118110236227" top="0.94488188976377963" bottom="0.74803149606299213" header="0.31496062992125984" footer="0.31496062992125984"/>
  <pageSetup paperSize="8" scale="95" fitToWidth="0" fitToHeight="0" orientation="landscape" r:id="rId1"/>
  <headerFooter>
    <oddHeader>&amp;L&amp;G
&amp;C&amp;10Lista signala
I-06-2047-IP-M1.0&amp;R&amp;10Izvedbeni projekt
Broj projekta: I-06-2047-IP-M1.0
Zagreb, listopad 2025.</oddHeader>
    <oddFooter>&amp;L&amp;10Građevina: Zamjena opreme upravljanja preljevnom klapnom u HE Peruća&amp;RStranica: 3-2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021F-011E-4963-B857-114BB6D0AD09}">
  <dimension ref="A1:AO172"/>
  <sheetViews>
    <sheetView tabSelected="1" zoomScale="90" zoomScaleNormal="90" zoomScaleSheetLayoutView="100" workbookViewId="0">
      <selection activeCell="V143" sqref="V143"/>
    </sheetView>
  </sheetViews>
  <sheetFormatPr defaultRowHeight="15" x14ac:dyDescent="0.25"/>
  <cols>
    <col min="1" max="1" width="4" bestFit="1" customWidth="1"/>
    <col min="2" max="2" width="6.7109375" bestFit="1" customWidth="1"/>
    <col min="3" max="3" width="8.140625" bestFit="1" customWidth="1"/>
    <col min="4" max="5" width="4.28515625" bestFit="1" customWidth="1"/>
    <col min="6" max="6" width="5.7109375" bestFit="1" customWidth="1"/>
    <col min="7" max="7" width="8.140625" bestFit="1" customWidth="1"/>
    <col min="8" max="8" width="14.7109375" customWidth="1"/>
    <col min="9" max="9" width="46.140625" customWidth="1"/>
    <col min="10" max="10" width="9.5703125" customWidth="1"/>
    <col min="11" max="11" width="7" bestFit="1" customWidth="1"/>
    <col min="12" max="12" width="9.42578125" bestFit="1" customWidth="1"/>
    <col min="13" max="13" width="7.7109375" bestFit="1" customWidth="1"/>
    <col min="14" max="14" width="7.140625" customWidth="1"/>
    <col min="15" max="15" width="3.5703125" bestFit="1" customWidth="1"/>
    <col min="16" max="16" width="7.85546875" bestFit="1" customWidth="1"/>
    <col min="17" max="19" width="3.28515625" bestFit="1" customWidth="1"/>
    <col min="20" max="20" width="20.42578125" bestFit="1" customWidth="1"/>
    <col min="21" max="22" width="4.5703125" bestFit="1" customWidth="1"/>
    <col min="23" max="23" width="6.140625" bestFit="1" customWidth="1"/>
    <col min="24" max="24" width="6.140625" customWidth="1"/>
    <col min="25" max="25" width="4.5703125" bestFit="1" customWidth="1"/>
    <col min="26" max="28" width="3.5703125" bestFit="1" customWidth="1"/>
    <col min="29" max="31" width="2.7109375" bestFit="1" customWidth="1"/>
    <col min="32" max="32" width="4.5703125" bestFit="1" customWidth="1"/>
    <col min="33" max="33" width="9.28515625" bestFit="1" customWidth="1"/>
    <col min="34" max="34" width="4.5703125" bestFit="1" customWidth="1"/>
    <col min="35" max="35" width="9.28515625" bestFit="1" customWidth="1"/>
    <col min="36" max="36" width="4.5703125" bestFit="1" customWidth="1"/>
    <col min="37" max="37" width="2.7109375" bestFit="1" customWidth="1"/>
    <col min="38" max="38" width="6.42578125" bestFit="1" customWidth="1"/>
    <col min="39" max="39" width="2.7109375" bestFit="1" customWidth="1"/>
    <col min="40" max="40" width="39" bestFit="1" customWidth="1"/>
    <col min="41" max="41" width="32.140625" bestFit="1" customWidth="1"/>
  </cols>
  <sheetData>
    <row r="1" spans="1:41" ht="91.5" x14ac:dyDescent="0.25">
      <c r="A1" s="23" t="s">
        <v>59</v>
      </c>
      <c r="B1" s="24" t="s">
        <v>60</v>
      </c>
      <c r="C1" s="23" t="s">
        <v>61</v>
      </c>
      <c r="D1" s="24" t="s">
        <v>62</v>
      </c>
      <c r="E1" s="25" t="s">
        <v>63</v>
      </c>
      <c r="F1" s="23" t="s">
        <v>64</v>
      </c>
      <c r="G1" s="26" t="s">
        <v>0</v>
      </c>
      <c r="H1" s="26" t="s">
        <v>65</v>
      </c>
      <c r="I1" s="27" t="s">
        <v>66</v>
      </c>
      <c r="J1" s="27" t="s">
        <v>67</v>
      </c>
      <c r="K1" s="23" t="s">
        <v>68</v>
      </c>
      <c r="L1" s="28" t="s">
        <v>69</v>
      </c>
      <c r="M1" s="28" t="s">
        <v>8</v>
      </c>
      <c r="N1" s="28" t="s">
        <v>9</v>
      </c>
      <c r="O1" s="28" t="s">
        <v>70</v>
      </c>
      <c r="P1" s="28" t="s">
        <v>53</v>
      </c>
      <c r="Q1" s="28" t="s">
        <v>71</v>
      </c>
      <c r="R1" s="28" t="s">
        <v>72</v>
      </c>
      <c r="S1" s="28" t="s">
        <v>73</v>
      </c>
      <c r="T1" s="26" t="s">
        <v>74</v>
      </c>
      <c r="U1" s="30" t="s">
        <v>11</v>
      </c>
      <c r="V1" s="30" t="s">
        <v>12</v>
      </c>
      <c r="W1" s="30" t="s">
        <v>75</v>
      </c>
      <c r="X1" s="30" t="s">
        <v>76</v>
      </c>
      <c r="Y1" s="30" t="s">
        <v>15</v>
      </c>
      <c r="Z1" s="30" t="s">
        <v>77</v>
      </c>
      <c r="AA1" s="30" t="s">
        <v>78</v>
      </c>
      <c r="AB1" s="30" t="s">
        <v>79</v>
      </c>
      <c r="AC1" s="30" t="s">
        <v>80</v>
      </c>
      <c r="AD1" s="30" t="s">
        <v>81</v>
      </c>
      <c r="AE1" s="30" t="s">
        <v>82</v>
      </c>
      <c r="AF1" s="30" t="s">
        <v>83</v>
      </c>
      <c r="AG1" s="30" t="s">
        <v>84</v>
      </c>
      <c r="AH1" s="30" t="s">
        <v>85</v>
      </c>
      <c r="AI1" s="30" t="s">
        <v>86</v>
      </c>
      <c r="AJ1" s="30" t="s">
        <v>87</v>
      </c>
      <c r="AK1" s="30" t="s">
        <v>88</v>
      </c>
      <c r="AL1" s="30" t="s">
        <v>89</v>
      </c>
      <c r="AM1" s="29" t="s">
        <v>90</v>
      </c>
      <c r="AN1" s="31" t="s">
        <v>91</v>
      </c>
      <c r="AO1" s="31" t="s">
        <v>92</v>
      </c>
    </row>
    <row r="2" spans="1:41" x14ac:dyDescent="0.25">
      <c r="A2" s="32">
        <v>1</v>
      </c>
      <c r="B2" s="32"/>
      <c r="C2" s="32"/>
      <c r="D2" s="32"/>
      <c r="E2" s="32"/>
      <c r="F2" s="32"/>
      <c r="G2" s="32"/>
      <c r="H2" s="32"/>
      <c r="L2" s="32" t="s">
        <v>26</v>
      </c>
      <c r="M2" s="32" t="s">
        <v>28</v>
      </c>
      <c r="N2" s="32" t="s">
        <v>201</v>
      </c>
      <c r="O2" s="32"/>
      <c r="P2" s="32" t="s">
        <v>292</v>
      </c>
      <c r="Q2" s="32">
        <v>1</v>
      </c>
      <c r="R2" s="32"/>
      <c r="S2" s="32"/>
      <c r="T2" s="32" t="s">
        <v>199</v>
      </c>
      <c r="U2" s="32"/>
      <c r="V2" s="32"/>
      <c r="W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5"/>
      <c r="AK2" s="35"/>
      <c r="AL2" s="35"/>
      <c r="AM2" s="34"/>
      <c r="AN2" s="36"/>
      <c r="AO2" s="36"/>
    </row>
    <row r="3" spans="1:41" x14ac:dyDescent="0.25">
      <c r="A3" s="32"/>
      <c r="B3" s="32"/>
      <c r="C3" s="32"/>
      <c r="D3" s="32"/>
      <c r="E3" s="32"/>
      <c r="F3" s="32"/>
      <c r="G3" s="32"/>
      <c r="H3" s="32"/>
      <c r="L3" s="32" t="s">
        <v>26</v>
      </c>
      <c r="M3" s="32" t="s">
        <v>28</v>
      </c>
      <c r="N3" s="32" t="s">
        <v>201</v>
      </c>
      <c r="O3" s="32"/>
      <c r="P3" s="32" t="s">
        <v>293</v>
      </c>
      <c r="Q3" s="32">
        <v>5</v>
      </c>
      <c r="R3" s="32"/>
      <c r="S3" s="32"/>
      <c r="T3" s="32" t="s">
        <v>199</v>
      </c>
      <c r="U3" s="32"/>
      <c r="V3" s="32"/>
      <c r="W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5"/>
      <c r="AK3" s="35"/>
      <c r="AL3" s="35"/>
      <c r="AM3" s="34"/>
      <c r="AN3" s="36"/>
      <c r="AO3" s="36"/>
    </row>
    <row r="4" spans="1:41" x14ac:dyDescent="0.25">
      <c r="A4" s="32"/>
      <c r="B4" s="32"/>
      <c r="C4" s="32"/>
      <c r="D4" s="32"/>
      <c r="E4" s="32"/>
      <c r="F4" s="32"/>
      <c r="G4" s="32"/>
      <c r="H4" s="32"/>
      <c r="I4" s="32" t="s">
        <v>25</v>
      </c>
      <c r="J4" s="32"/>
      <c r="K4" s="32" t="s">
        <v>109</v>
      </c>
      <c r="L4" s="32" t="s">
        <v>26</v>
      </c>
      <c r="M4" s="32" t="s">
        <v>28</v>
      </c>
      <c r="N4" s="32" t="s">
        <v>201</v>
      </c>
      <c r="O4" s="32"/>
      <c r="P4" s="32" t="s">
        <v>96</v>
      </c>
      <c r="Q4" s="32">
        <v>9</v>
      </c>
      <c r="R4" s="32"/>
      <c r="S4" s="32"/>
      <c r="T4" s="32" t="s">
        <v>199</v>
      </c>
      <c r="U4" s="32"/>
      <c r="V4" s="32"/>
      <c r="W4" s="32"/>
      <c r="X4" s="32">
        <v>1</v>
      </c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5"/>
      <c r="AK4" s="35"/>
      <c r="AL4" s="35"/>
      <c r="AM4" s="34"/>
      <c r="AN4" s="36"/>
      <c r="AO4" s="36"/>
    </row>
    <row r="5" spans="1:41" x14ac:dyDescent="0.25">
      <c r="A5" s="32"/>
      <c r="B5" s="32"/>
      <c r="C5" s="32"/>
      <c r="D5" s="32"/>
      <c r="E5" s="32"/>
      <c r="F5" s="32"/>
      <c r="G5" s="32"/>
      <c r="H5" s="32"/>
      <c r="I5" s="32" t="s">
        <v>25</v>
      </c>
      <c r="J5" s="32"/>
      <c r="K5" s="32" t="s">
        <v>109</v>
      </c>
      <c r="L5" s="32" t="s">
        <v>26</v>
      </c>
      <c r="M5" s="32" t="s">
        <v>28</v>
      </c>
      <c r="N5" s="32" t="s">
        <v>201</v>
      </c>
      <c r="O5" s="32"/>
      <c r="P5" s="32" t="s">
        <v>200</v>
      </c>
      <c r="Q5" s="32">
        <v>13</v>
      </c>
      <c r="R5" s="32"/>
      <c r="S5" s="32"/>
      <c r="T5" s="32" t="s">
        <v>199</v>
      </c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5"/>
      <c r="AK5" s="35"/>
      <c r="AL5" s="35"/>
      <c r="AM5" s="34"/>
      <c r="AN5" s="36"/>
      <c r="AO5" s="36"/>
    </row>
    <row r="6" spans="1:4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 t="s">
        <v>26</v>
      </c>
      <c r="M6" s="32" t="s">
        <v>28</v>
      </c>
      <c r="N6" s="32" t="s">
        <v>203</v>
      </c>
      <c r="O6" s="32"/>
      <c r="P6" s="32" t="s">
        <v>295</v>
      </c>
      <c r="Q6" s="32">
        <v>2</v>
      </c>
      <c r="R6" s="32"/>
      <c r="S6" s="32"/>
      <c r="T6" s="32" t="s">
        <v>199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5"/>
      <c r="AK6" s="35"/>
      <c r="AL6" s="35"/>
      <c r="AM6" s="34"/>
      <c r="AN6" s="36"/>
      <c r="AO6" s="36"/>
    </row>
    <row r="7" spans="1:4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 t="s">
        <v>26</v>
      </c>
      <c r="M7" s="32" t="s">
        <v>28</v>
      </c>
      <c r="N7" s="32" t="s">
        <v>203</v>
      </c>
      <c r="O7" s="32"/>
      <c r="P7" s="32" t="s">
        <v>296</v>
      </c>
      <c r="Q7" s="32">
        <v>6</v>
      </c>
      <c r="R7" s="32"/>
      <c r="S7" s="32"/>
      <c r="T7" s="32" t="s">
        <v>199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5"/>
      <c r="AK7" s="35"/>
      <c r="AL7" s="35"/>
      <c r="AM7" s="34"/>
      <c r="AN7" s="36"/>
      <c r="AO7" s="36"/>
    </row>
    <row r="8" spans="1:41" x14ac:dyDescent="0.25">
      <c r="A8" s="32"/>
      <c r="B8" s="32"/>
      <c r="C8" s="32"/>
      <c r="D8" s="32"/>
      <c r="E8" s="32"/>
      <c r="F8" s="32"/>
      <c r="G8" s="32"/>
      <c r="H8" s="32"/>
      <c r="I8" s="32" t="s">
        <v>24</v>
      </c>
      <c r="J8" s="32"/>
      <c r="K8" s="32" t="s">
        <v>109</v>
      </c>
      <c r="L8" s="32" t="s">
        <v>26</v>
      </c>
      <c r="M8" s="32" t="s">
        <v>28</v>
      </c>
      <c r="N8" s="32" t="s">
        <v>203</v>
      </c>
      <c r="O8" s="32"/>
      <c r="P8" s="32" t="s">
        <v>98</v>
      </c>
      <c r="Q8" s="32">
        <v>10</v>
      </c>
      <c r="R8" s="32"/>
      <c r="S8" s="32"/>
      <c r="T8" s="32" t="s">
        <v>199</v>
      </c>
      <c r="U8" s="32"/>
      <c r="V8" s="32"/>
      <c r="W8" s="32"/>
      <c r="X8" s="32">
        <v>1</v>
      </c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5"/>
      <c r="AK8" s="35"/>
      <c r="AL8" s="35"/>
      <c r="AM8" s="34"/>
      <c r="AN8" s="36"/>
      <c r="AO8" s="36"/>
    </row>
    <row r="9" spans="1:41" x14ac:dyDescent="0.25">
      <c r="A9" s="32"/>
      <c r="B9" s="32"/>
      <c r="C9" s="32"/>
      <c r="D9" s="32"/>
      <c r="E9" s="32"/>
      <c r="F9" s="32"/>
      <c r="G9" s="32"/>
      <c r="H9" s="32"/>
      <c r="I9" s="32" t="s">
        <v>24</v>
      </c>
      <c r="J9" s="32"/>
      <c r="K9" s="32" t="s">
        <v>109</v>
      </c>
      <c r="L9" s="32" t="s">
        <v>26</v>
      </c>
      <c r="M9" s="32" t="s">
        <v>28</v>
      </c>
      <c r="N9" s="32" t="s">
        <v>203</v>
      </c>
      <c r="O9" s="32"/>
      <c r="P9" s="32" t="s">
        <v>202</v>
      </c>
      <c r="Q9" s="32">
        <v>14</v>
      </c>
      <c r="R9" s="32"/>
      <c r="S9" s="32"/>
      <c r="T9" s="32" t="s">
        <v>199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5"/>
      <c r="AK9" s="35"/>
      <c r="AL9" s="35"/>
      <c r="AM9" s="34"/>
      <c r="AN9" s="36"/>
      <c r="AO9" s="36"/>
    </row>
    <row r="10" spans="1:4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 t="s">
        <v>26</v>
      </c>
      <c r="M10" s="32" t="s">
        <v>28</v>
      </c>
      <c r="N10" s="32" t="s">
        <v>204</v>
      </c>
      <c r="O10" s="32"/>
      <c r="P10" s="32" t="s">
        <v>297</v>
      </c>
      <c r="Q10" s="32">
        <v>3</v>
      </c>
      <c r="R10" s="32"/>
      <c r="S10" s="32"/>
      <c r="T10" s="32" t="s">
        <v>199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5"/>
      <c r="AK10" s="35"/>
      <c r="AL10" s="35"/>
      <c r="AM10" s="34"/>
      <c r="AN10" s="36"/>
      <c r="AO10" s="36"/>
    </row>
    <row r="11" spans="1:4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 t="s">
        <v>26</v>
      </c>
      <c r="M11" s="32" t="s">
        <v>28</v>
      </c>
      <c r="N11" s="32" t="s">
        <v>204</v>
      </c>
      <c r="O11" s="32"/>
      <c r="P11" s="32" t="s">
        <v>298</v>
      </c>
      <c r="Q11" s="32">
        <v>7</v>
      </c>
      <c r="R11" s="32"/>
      <c r="S11" s="32"/>
      <c r="T11" s="32" t="s">
        <v>199</v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5"/>
      <c r="AK11" s="35"/>
      <c r="AL11" s="35"/>
      <c r="AM11" s="34"/>
      <c r="AN11" s="36"/>
      <c r="AO11" s="36"/>
    </row>
    <row r="12" spans="1:41" x14ac:dyDescent="0.25">
      <c r="A12" s="32"/>
      <c r="B12" s="32"/>
      <c r="C12" s="32"/>
      <c r="D12" s="32"/>
      <c r="E12" s="32"/>
      <c r="F12" s="32"/>
      <c r="G12" s="32"/>
      <c r="H12" s="32"/>
      <c r="I12" s="32" t="s">
        <v>97</v>
      </c>
      <c r="J12" s="32"/>
      <c r="K12" s="32" t="s">
        <v>109</v>
      </c>
      <c r="L12" s="32" t="s">
        <v>26</v>
      </c>
      <c r="M12" s="32" t="s">
        <v>28</v>
      </c>
      <c r="N12" s="32" t="s">
        <v>204</v>
      </c>
      <c r="O12" s="32"/>
      <c r="P12" s="32" t="s">
        <v>99</v>
      </c>
      <c r="Q12" s="32">
        <v>11</v>
      </c>
      <c r="R12" s="32"/>
      <c r="S12" s="32"/>
      <c r="T12" s="32" t="s">
        <v>199</v>
      </c>
      <c r="U12" s="32"/>
      <c r="V12" s="32"/>
      <c r="W12" s="32"/>
      <c r="X12" s="32">
        <v>1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5"/>
      <c r="AK12" s="35"/>
      <c r="AL12" s="35"/>
      <c r="AM12" s="34"/>
      <c r="AN12" s="36"/>
      <c r="AO12" s="36"/>
    </row>
    <row r="13" spans="1:41" x14ac:dyDescent="0.25">
      <c r="A13" s="32"/>
      <c r="B13" s="32"/>
      <c r="C13" s="32"/>
      <c r="D13" s="32"/>
      <c r="E13" s="32"/>
      <c r="F13" s="32"/>
      <c r="G13" s="32"/>
      <c r="H13" s="32"/>
      <c r="I13" s="32" t="s">
        <v>97</v>
      </c>
      <c r="J13" s="32"/>
      <c r="K13" s="32" t="s">
        <v>109</v>
      </c>
      <c r="L13" s="32" t="s">
        <v>26</v>
      </c>
      <c r="M13" s="32" t="s">
        <v>28</v>
      </c>
      <c r="N13" s="32" t="s">
        <v>204</v>
      </c>
      <c r="O13" s="32"/>
      <c r="P13" s="32" t="s">
        <v>205</v>
      </c>
      <c r="Q13" s="32">
        <v>15</v>
      </c>
      <c r="R13" s="32"/>
      <c r="S13" s="32"/>
      <c r="T13" s="32" t="s">
        <v>199</v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5"/>
      <c r="AK13" s="35"/>
      <c r="AL13" s="35"/>
      <c r="AM13" s="34"/>
      <c r="AN13" s="36"/>
      <c r="AO13" s="36"/>
    </row>
    <row r="14" spans="1:4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 t="s">
        <v>26</v>
      </c>
      <c r="M14" s="32" t="s">
        <v>28</v>
      </c>
      <c r="N14" s="32" t="s">
        <v>294</v>
      </c>
      <c r="O14" s="32"/>
      <c r="P14" s="32" t="s">
        <v>299</v>
      </c>
      <c r="Q14" s="32">
        <v>4</v>
      </c>
      <c r="R14" s="32"/>
      <c r="S14" s="32"/>
      <c r="T14" s="32" t="s">
        <v>199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5"/>
      <c r="AK14" s="35"/>
      <c r="AL14" s="35"/>
      <c r="AM14" s="34"/>
      <c r="AN14" s="36"/>
      <c r="AO14" s="36"/>
    </row>
    <row r="15" spans="1:4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 t="s">
        <v>26</v>
      </c>
      <c r="M15" s="32" t="s">
        <v>28</v>
      </c>
      <c r="N15" s="32" t="s">
        <v>294</v>
      </c>
      <c r="O15" s="32"/>
      <c r="P15" s="32" t="s">
        <v>300</v>
      </c>
      <c r="Q15" s="32">
        <v>8</v>
      </c>
      <c r="R15" s="32"/>
      <c r="S15" s="32"/>
      <c r="T15" s="32" t="s">
        <v>199</v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5"/>
      <c r="AK15" s="35"/>
      <c r="AL15" s="35"/>
      <c r="AM15" s="34"/>
      <c r="AN15" s="36"/>
      <c r="AO15" s="36"/>
    </row>
    <row r="16" spans="1:41" x14ac:dyDescent="0.25">
      <c r="A16" s="32"/>
      <c r="B16" s="32"/>
      <c r="C16" s="32"/>
      <c r="D16" s="32"/>
      <c r="E16" s="32"/>
      <c r="F16" s="32"/>
      <c r="G16" s="32"/>
      <c r="H16" s="32" t="s">
        <v>94</v>
      </c>
      <c r="I16" s="32"/>
      <c r="J16" s="32"/>
      <c r="K16" s="32"/>
      <c r="L16" s="32" t="s">
        <v>26</v>
      </c>
      <c r="M16" s="32" t="s">
        <v>28</v>
      </c>
      <c r="N16" s="32" t="s">
        <v>294</v>
      </c>
      <c r="O16" s="32"/>
      <c r="P16" s="32" t="s">
        <v>100</v>
      </c>
      <c r="Q16" s="32">
        <v>12</v>
      </c>
      <c r="R16" s="32"/>
      <c r="S16" s="32"/>
      <c r="T16" s="32" t="s">
        <v>199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5"/>
      <c r="AK16" s="35"/>
      <c r="AL16" s="35"/>
      <c r="AM16" s="34"/>
      <c r="AN16" s="36"/>
      <c r="AO16" s="36"/>
    </row>
    <row r="17" spans="1:41" x14ac:dyDescent="0.25">
      <c r="A17" s="32"/>
      <c r="B17" s="32"/>
      <c r="C17" s="32"/>
      <c r="D17" s="32"/>
      <c r="E17" s="32"/>
      <c r="F17" s="32"/>
      <c r="G17" s="32"/>
      <c r="H17" s="32" t="s">
        <v>94</v>
      </c>
      <c r="I17" s="32"/>
      <c r="J17" s="32"/>
      <c r="K17" s="32"/>
      <c r="L17" s="32" t="s">
        <v>26</v>
      </c>
      <c r="M17" s="32" t="s">
        <v>28</v>
      </c>
      <c r="N17" s="32" t="s">
        <v>294</v>
      </c>
      <c r="O17" s="32"/>
      <c r="P17" s="32" t="s">
        <v>301</v>
      </c>
      <c r="Q17" s="32">
        <v>16</v>
      </c>
      <c r="R17" s="32"/>
      <c r="S17" s="32"/>
      <c r="T17" s="32" t="s">
        <v>199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5"/>
      <c r="AK17" s="35"/>
      <c r="AL17" s="35"/>
      <c r="AM17" s="34"/>
      <c r="AN17" s="36"/>
      <c r="AO17" s="36"/>
    </row>
    <row r="18" spans="1:4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5"/>
      <c r="AK18" s="35"/>
      <c r="AL18" s="35"/>
      <c r="AM18" s="34"/>
      <c r="AN18" s="36"/>
      <c r="AO18" s="36"/>
    </row>
    <row r="19" spans="1:4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 t="s">
        <v>26</v>
      </c>
      <c r="M19" s="32" t="s">
        <v>29</v>
      </c>
      <c r="N19" s="32" t="s">
        <v>302</v>
      </c>
      <c r="O19" s="32"/>
      <c r="P19" s="32" t="s">
        <v>292</v>
      </c>
      <c r="Q19" s="32">
        <v>1</v>
      </c>
      <c r="R19" s="32"/>
      <c r="S19" s="32"/>
      <c r="T19" s="32" t="s">
        <v>199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5"/>
      <c r="AK19" s="35"/>
      <c r="AL19" s="35"/>
      <c r="AM19" s="34"/>
      <c r="AN19" s="36"/>
      <c r="AO19" s="36"/>
    </row>
    <row r="20" spans="1:4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 t="s">
        <v>26</v>
      </c>
      <c r="M20" s="32" t="s">
        <v>29</v>
      </c>
      <c r="N20" s="32" t="s">
        <v>302</v>
      </c>
      <c r="O20" s="32"/>
      <c r="P20" s="32" t="s">
        <v>293</v>
      </c>
      <c r="Q20" s="32">
        <v>5</v>
      </c>
      <c r="R20" s="32"/>
      <c r="S20" s="32"/>
      <c r="T20" s="32" t="s">
        <v>199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5"/>
      <c r="AK20" s="35"/>
      <c r="AL20" s="35"/>
      <c r="AM20" s="34"/>
      <c r="AN20" s="36"/>
      <c r="AO20" s="36"/>
    </row>
    <row r="21" spans="1:41" x14ac:dyDescent="0.25">
      <c r="A21" s="32"/>
      <c r="B21" s="32"/>
      <c r="C21" s="32"/>
      <c r="D21" s="32"/>
      <c r="E21" s="32"/>
      <c r="F21" s="32"/>
      <c r="G21" s="32"/>
      <c r="H21" s="32" t="s">
        <v>94</v>
      </c>
      <c r="I21" s="32"/>
      <c r="J21" s="32"/>
      <c r="K21" s="32"/>
      <c r="L21" s="32" t="s">
        <v>26</v>
      </c>
      <c r="M21" s="32" t="s">
        <v>29</v>
      </c>
      <c r="N21" s="32" t="s">
        <v>302</v>
      </c>
      <c r="O21" s="32"/>
      <c r="P21" s="32" t="s">
        <v>96</v>
      </c>
      <c r="Q21" s="32">
        <v>9</v>
      </c>
      <c r="R21" s="32"/>
      <c r="S21" s="32"/>
      <c r="T21" s="32" t="s">
        <v>199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5"/>
      <c r="AK21" s="35"/>
      <c r="AL21" s="35"/>
      <c r="AM21" s="34"/>
      <c r="AN21" s="36"/>
      <c r="AO21" s="36"/>
    </row>
    <row r="22" spans="1:41" x14ac:dyDescent="0.25">
      <c r="A22" s="32"/>
      <c r="B22" s="32"/>
      <c r="C22" s="32"/>
      <c r="D22" s="32"/>
      <c r="E22" s="32"/>
      <c r="F22" s="32"/>
      <c r="G22" s="32"/>
      <c r="H22" s="32" t="s">
        <v>94</v>
      </c>
      <c r="I22" s="32"/>
      <c r="J22" s="32"/>
      <c r="K22" s="32"/>
      <c r="L22" s="32" t="s">
        <v>26</v>
      </c>
      <c r="M22" s="32" t="s">
        <v>29</v>
      </c>
      <c r="N22" s="32" t="s">
        <v>302</v>
      </c>
      <c r="O22" s="32"/>
      <c r="P22" s="32" t="s">
        <v>200</v>
      </c>
      <c r="Q22" s="32">
        <v>13</v>
      </c>
      <c r="R22" s="32"/>
      <c r="S22" s="32"/>
      <c r="T22" s="32" t="s">
        <v>199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5"/>
      <c r="AK22" s="35"/>
      <c r="AL22" s="35"/>
      <c r="AM22" s="34"/>
      <c r="AN22" s="36"/>
      <c r="AO22" s="36"/>
    </row>
    <row r="23" spans="1:4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 t="s">
        <v>26</v>
      </c>
      <c r="M23" s="32" t="s">
        <v>29</v>
      </c>
      <c r="N23" s="32" t="s">
        <v>303</v>
      </c>
      <c r="O23" s="32"/>
      <c r="P23" s="32" t="s">
        <v>295</v>
      </c>
      <c r="Q23" s="32">
        <v>2</v>
      </c>
      <c r="R23" s="32"/>
      <c r="S23" s="32"/>
      <c r="T23" s="32" t="s">
        <v>199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5"/>
      <c r="AK23" s="35"/>
      <c r="AL23" s="35"/>
      <c r="AM23" s="34"/>
      <c r="AN23" s="36"/>
      <c r="AO23" s="36"/>
    </row>
    <row r="24" spans="1:4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 t="s">
        <v>26</v>
      </c>
      <c r="M24" s="32" t="s">
        <v>29</v>
      </c>
      <c r="N24" s="32" t="s">
        <v>303</v>
      </c>
      <c r="O24" s="32"/>
      <c r="P24" s="32" t="s">
        <v>296</v>
      </c>
      <c r="Q24" s="32">
        <v>6</v>
      </c>
      <c r="R24" s="32"/>
      <c r="S24" s="32"/>
      <c r="T24" s="32" t="s">
        <v>199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5"/>
      <c r="AK24" s="35"/>
      <c r="AL24" s="35"/>
      <c r="AM24" s="34"/>
      <c r="AN24" s="36"/>
      <c r="AO24" s="36"/>
    </row>
    <row r="25" spans="1:41" x14ac:dyDescent="0.25">
      <c r="A25" s="32"/>
      <c r="B25" s="32"/>
      <c r="C25" s="32"/>
      <c r="D25" s="32"/>
      <c r="E25" s="32"/>
      <c r="F25" s="32"/>
      <c r="G25" s="32"/>
      <c r="H25" s="32" t="s">
        <v>94</v>
      </c>
      <c r="I25" s="32"/>
      <c r="J25" s="32"/>
      <c r="K25" s="32"/>
      <c r="L25" s="32" t="s">
        <v>26</v>
      </c>
      <c r="M25" s="32" t="s">
        <v>29</v>
      </c>
      <c r="N25" s="32" t="s">
        <v>303</v>
      </c>
      <c r="O25" s="32"/>
      <c r="P25" s="32" t="s">
        <v>98</v>
      </c>
      <c r="Q25" s="32">
        <v>10</v>
      </c>
      <c r="R25" s="32"/>
      <c r="S25" s="32"/>
      <c r="T25" s="32" t="s">
        <v>199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5"/>
      <c r="AK25" s="35"/>
      <c r="AL25" s="35"/>
      <c r="AM25" s="34"/>
      <c r="AN25" s="36"/>
      <c r="AO25" s="36"/>
    </row>
    <row r="26" spans="1:41" x14ac:dyDescent="0.25">
      <c r="A26" s="32"/>
      <c r="B26" s="32"/>
      <c r="C26" s="32"/>
      <c r="D26" s="32"/>
      <c r="E26" s="32"/>
      <c r="F26" s="32"/>
      <c r="G26" s="32"/>
      <c r="H26" s="32" t="s">
        <v>94</v>
      </c>
      <c r="I26" s="32"/>
      <c r="J26" s="32"/>
      <c r="K26" s="32"/>
      <c r="L26" s="32" t="s">
        <v>26</v>
      </c>
      <c r="M26" s="32" t="s">
        <v>29</v>
      </c>
      <c r="N26" s="32" t="s">
        <v>303</v>
      </c>
      <c r="O26" s="32"/>
      <c r="P26" s="32" t="s">
        <v>202</v>
      </c>
      <c r="Q26" s="32">
        <v>14</v>
      </c>
      <c r="R26" s="32"/>
      <c r="S26" s="32"/>
      <c r="T26" s="32" t="s">
        <v>199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5"/>
      <c r="AK26" s="35"/>
      <c r="AL26" s="35"/>
      <c r="AM26" s="34"/>
      <c r="AN26" s="36"/>
      <c r="AO26" s="36"/>
    </row>
    <row r="27" spans="1:4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 t="s">
        <v>26</v>
      </c>
      <c r="M27" s="32" t="s">
        <v>29</v>
      </c>
      <c r="N27" s="32" t="s">
        <v>304</v>
      </c>
      <c r="O27" s="32"/>
      <c r="P27" s="32" t="s">
        <v>297</v>
      </c>
      <c r="Q27" s="32">
        <v>3</v>
      </c>
      <c r="R27" s="32"/>
      <c r="S27" s="32"/>
      <c r="T27" s="32" t="s">
        <v>199</v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5"/>
      <c r="AK27" s="35"/>
      <c r="AL27" s="35"/>
      <c r="AM27" s="34"/>
      <c r="AN27" s="36"/>
      <c r="AO27" s="36"/>
    </row>
    <row r="28" spans="1:4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 t="s">
        <v>26</v>
      </c>
      <c r="M28" s="32" t="s">
        <v>29</v>
      </c>
      <c r="N28" s="32" t="s">
        <v>304</v>
      </c>
      <c r="O28" s="32"/>
      <c r="P28" s="32" t="s">
        <v>298</v>
      </c>
      <c r="Q28" s="32">
        <v>7</v>
      </c>
      <c r="R28" s="32"/>
      <c r="S28" s="32"/>
      <c r="T28" s="32" t="s">
        <v>199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5"/>
      <c r="AK28" s="35"/>
      <c r="AL28" s="35"/>
      <c r="AM28" s="34"/>
      <c r="AN28" s="36"/>
      <c r="AO28" s="36"/>
    </row>
    <row r="29" spans="1:41" x14ac:dyDescent="0.25">
      <c r="A29" s="32"/>
      <c r="B29" s="32"/>
      <c r="C29" s="32"/>
      <c r="D29" s="32"/>
      <c r="E29" s="32"/>
      <c r="F29" s="32"/>
      <c r="G29" s="32"/>
      <c r="H29" s="32" t="s">
        <v>94</v>
      </c>
      <c r="I29" s="32"/>
      <c r="J29" s="32"/>
      <c r="K29" s="32"/>
      <c r="L29" s="32" t="s">
        <v>26</v>
      </c>
      <c r="M29" s="32" t="s">
        <v>29</v>
      </c>
      <c r="N29" s="32" t="s">
        <v>304</v>
      </c>
      <c r="O29" s="32"/>
      <c r="P29" s="32" t="s">
        <v>99</v>
      </c>
      <c r="Q29" s="32">
        <v>11</v>
      </c>
      <c r="R29" s="32"/>
      <c r="S29" s="32"/>
      <c r="T29" s="32" t="s">
        <v>199</v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5"/>
      <c r="AK29" s="35"/>
      <c r="AL29" s="35"/>
      <c r="AM29" s="34"/>
      <c r="AN29" s="36"/>
      <c r="AO29" s="36"/>
    </row>
    <row r="30" spans="1:41" x14ac:dyDescent="0.25">
      <c r="A30" s="32"/>
      <c r="B30" s="32"/>
      <c r="C30" s="32"/>
      <c r="D30" s="32"/>
      <c r="E30" s="32"/>
      <c r="F30" s="32"/>
      <c r="G30" s="32"/>
      <c r="H30" s="32" t="s">
        <v>94</v>
      </c>
      <c r="I30" s="32"/>
      <c r="J30" s="32"/>
      <c r="K30" s="32"/>
      <c r="L30" s="32" t="s">
        <v>26</v>
      </c>
      <c r="M30" s="32" t="s">
        <v>29</v>
      </c>
      <c r="N30" s="32" t="s">
        <v>304</v>
      </c>
      <c r="O30" s="32"/>
      <c r="P30" s="32" t="s">
        <v>205</v>
      </c>
      <c r="Q30" s="32">
        <v>15</v>
      </c>
      <c r="R30" s="32"/>
      <c r="S30" s="32"/>
      <c r="T30" s="32" t="s">
        <v>199</v>
      </c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5"/>
      <c r="AK30" s="35"/>
      <c r="AL30" s="35"/>
      <c r="AM30" s="34"/>
      <c r="AN30" s="36"/>
      <c r="AO30" s="36"/>
    </row>
    <row r="31" spans="1:4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 t="s">
        <v>26</v>
      </c>
      <c r="M31" s="32" t="s">
        <v>29</v>
      </c>
      <c r="N31" s="32" t="s">
        <v>305</v>
      </c>
      <c r="O31" s="32"/>
      <c r="P31" s="32" t="s">
        <v>299</v>
      </c>
      <c r="Q31" s="32">
        <v>4</v>
      </c>
      <c r="R31" s="32"/>
      <c r="S31" s="32"/>
      <c r="T31" s="32" t="s">
        <v>199</v>
      </c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5"/>
      <c r="AK31" s="35"/>
      <c r="AL31" s="35"/>
      <c r="AM31" s="34"/>
      <c r="AN31" s="36"/>
      <c r="AO31" s="36"/>
    </row>
    <row r="32" spans="1:4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 t="s">
        <v>26</v>
      </c>
      <c r="M32" s="32" t="s">
        <v>29</v>
      </c>
      <c r="N32" s="32" t="s">
        <v>305</v>
      </c>
      <c r="O32" s="32"/>
      <c r="P32" s="32" t="s">
        <v>300</v>
      </c>
      <c r="Q32" s="32">
        <v>8</v>
      </c>
      <c r="R32" s="32"/>
      <c r="S32" s="32"/>
      <c r="T32" s="32" t="s">
        <v>199</v>
      </c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5"/>
      <c r="AK32" s="35"/>
      <c r="AL32" s="35"/>
      <c r="AM32" s="34"/>
      <c r="AN32" s="36"/>
      <c r="AO32" s="36"/>
    </row>
    <row r="33" spans="1:41" x14ac:dyDescent="0.25">
      <c r="A33" s="32"/>
      <c r="B33" s="32"/>
      <c r="C33" s="32"/>
      <c r="D33" s="32"/>
      <c r="E33" s="32"/>
      <c r="F33" s="32"/>
      <c r="G33" s="32"/>
      <c r="H33" s="32" t="s">
        <v>94</v>
      </c>
      <c r="I33" s="32"/>
      <c r="J33" s="32"/>
      <c r="K33" s="32"/>
      <c r="L33" s="32" t="s">
        <v>26</v>
      </c>
      <c r="M33" s="32" t="s">
        <v>29</v>
      </c>
      <c r="N33" s="32" t="s">
        <v>305</v>
      </c>
      <c r="O33" s="32"/>
      <c r="P33" s="32" t="s">
        <v>100</v>
      </c>
      <c r="Q33" s="32">
        <v>12</v>
      </c>
      <c r="R33" s="32"/>
      <c r="S33" s="32"/>
      <c r="T33" s="32" t="s">
        <v>199</v>
      </c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5"/>
      <c r="AK33" s="35"/>
      <c r="AL33" s="35"/>
      <c r="AM33" s="34"/>
      <c r="AN33" s="36"/>
      <c r="AO33" s="36"/>
    </row>
    <row r="34" spans="1:41" x14ac:dyDescent="0.25">
      <c r="A34" s="32"/>
      <c r="B34" s="32"/>
      <c r="C34" s="32"/>
      <c r="D34" s="32"/>
      <c r="E34" s="32"/>
      <c r="F34" s="32"/>
      <c r="G34" s="32"/>
      <c r="H34" s="32" t="s">
        <v>94</v>
      </c>
      <c r="I34" s="32"/>
      <c r="J34" s="32"/>
      <c r="K34" s="32"/>
      <c r="L34" s="32" t="s">
        <v>26</v>
      </c>
      <c r="M34" s="32" t="s">
        <v>29</v>
      </c>
      <c r="N34" s="32" t="s">
        <v>305</v>
      </c>
      <c r="O34" s="32"/>
      <c r="P34" s="32" t="s">
        <v>301</v>
      </c>
      <c r="Q34" s="32">
        <v>16</v>
      </c>
      <c r="R34" s="32"/>
      <c r="S34" s="32"/>
      <c r="T34" s="32" t="s">
        <v>199</v>
      </c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5"/>
      <c r="AK34" s="35"/>
      <c r="AL34" s="35"/>
      <c r="AM34" s="34"/>
      <c r="AN34" s="36"/>
      <c r="AO34" s="36"/>
    </row>
    <row r="35" spans="1:4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5"/>
      <c r="AK35" s="35"/>
      <c r="AL35" s="35"/>
      <c r="AM35" s="34"/>
      <c r="AN35" s="36"/>
      <c r="AO35" s="36"/>
    </row>
    <row r="36" spans="1:41" x14ac:dyDescent="0.25">
      <c r="A36" s="32"/>
      <c r="B36" s="32"/>
      <c r="D36" s="32"/>
      <c r="E36" s="32"/>
      <c r="F36" s="32"/>
      <c r="G36" s="32"/>
      <c r="H36" s="32"/>
      <c r="I36" s="32" t="s">
        <v>32</v>
      </c>
      <c r="J36" s="32"/>
      <c r="K36" s="32" t="s">
        <v>110</v>
      </c>
      <c r="L36" s="32" t="s">
        <v>26</v>
      </c>
      <c r="M36" s="32" t="s">
        <v>30</v>
      </c>
      <c r="N36" s="32" t="s">
        <v>207</v>
      </c>
      <c r="O36" s="32"/>
      <c r="P36" s="32" t="s">
        <v>101</v>
      </c>
      <c r="Q36" s="32">
        <v>1</v>
      </c>
      <c r="R36" s="32"/>
      <c r="S36" s="32"/>
      <c r="T36" s="32" t="s">
        <v>206</v>
      </c>
      <c r="U36" s="32"/>
      <c r="V36" s="32"/>
      <c r="W36" s="32">
        <v>1</v>
      </c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5"/>
      <c r="AK36" s="35"/>
      <c r="AL36" s="35"/>
      <c r="AM36" s="34"/>
      <c r="AN36" s="36"/>
      <c r="AO36" s="36"/>
    </row>
    <row r="37" spans="1:41" x14ac:dyDescent="0.25">
      <c r="A37" s="32"/>
      <c r="B37" s="32"/>
      <c r="D37" s="32"/>
      <c r="E37" s="32"/>
      <c r="F37" s="32"/>
      <c r="G37" s="32"/>
      <c r="H37" s="32"/>
      <c r="I37" s="32" t="s">
        <v>32</v>
      </c>
      <c r="J37" s="32"/>
      <c r="K37" s="32" t="s">
        <v>110</v>
      </c>
      <c r="L37" s="32" t="s">
        <v>26</v>
      </c>
      <c r="M37" s="32" t="s">
        <v>30</v>
      </c>
      <c r="N37" s="32" t="s">
        <v>207</v>
      </c>
      <c r="O37" s="32"/>
      <c r="P37" s="32" t="s">
        <v>102</v>
      </c>
      <c r="Q37" s="32">
        <v>5</v>
      </c>
      <c r="R37" s="32"/>
      <c r="S37" s="32"/>
      <c r="T37" s="32" t="s">
        <v>206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5"/>
      <c r="AK37" s="35"/>
      <c r="AL37" s="35"/>
      <c r="AM37" s="34"/>
      <c r="AN37" s="36"/>
      <c r="AO37" s="36"/>
    </row>
    <row r="38" spans="1:41" x14ac:dyDescent="0.25">
      <c r="A38" s="32"/>
      <c r="B38" s="32"/>
      <c r="D38" s="32"/>
      <c r="E38" s="32"/>
      <c r="F38" s="32"/>
      <c r="G38" s="32"/>
      <c r="H38" s="32"/>
      <c r="I38" s="32" t="s">
        <v>32</v>
      </c>
      <c r="J38" s="32"/>
      <c r="K38" s="32" t="s">
        <v>110</v>
      </c>
      <c r="L38" s="32" t="s">
        <v>26</v>
      </c>
      <c r="M38" s="32" t="s">
        <v>30</v>
      </c>
      <c r="N38" s="32" t="s">
        <v>207</v>
      </c>
      <c r="O38" s="32"/>
      <c r="P38" s="32" t="s">
        <v>307</v>
      </c>
      <c r="Q38" s="32">
        <v>9</v>
      </c>
      <c r="R38" s="32"/>
      <c r="S38" s="32"/>
      <c r="T38" s="32" t="s">
        <v>206</v>
      </c>
      <c r="U38" s="32"/>
      <c r="V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5"/>
      <c r="AK38" s="35"/>
      <c r="AL38" s="35"/>
      <c r="AM38" s="34"/>
      <c r="AN38" s="36"/>
      <c r="AO38" s="36"/>
    </row>
    <row r="39" spans="1:41" x14ac:dyDescent="0.25">
      <c r="A39" s="32"/>
      <c r="B39" s="32"/>
      <c r="D39" s="32"/>
      <c r="E39" s="32"/>
      <c r="F39" s="32"/>
      <c r="G39" s="32"/>
      <c r="H39" s="32"/>
      <c r="I39" s="32" t="s">
        <v>32</v>
      </c>
      <c r="J39" s="32"/>
      <c r="K39" s="32" t="s">
        <v>110</v>
      </c>
      <c r="L39" s="32" t="s">
        <v>26</v>
      </c>
      <c r="M39" s="32" t="s">
        <v>30</v>
      </c>
      <c r="N39" s="32" t="s">
        <v>207</v>
      </c>
      <c r="O39" s="32"/>
      <c r="P39" s="32" t="s">
        <v>308</v>
      </c>
      <c r="Q39" s="32">
        <v>13</v>
      </c>
      <c r="R39" s="32"/>
      <c r="S39" s="32"/>
      <c r="T39" s="32" t="s">
        <v>206</v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5"/>
      <c r="AK39" s="35"/>
      <c r="AL39" s="35"/>
      <c r="AM39" s="34"/>
      <c r="AN39" s="36"/>
      <c r="AO39" s="36"/>
    </row>
    <row r="40" spans="1:41" x14ac:dyDescent="0.25">
      <c r="A40" s="32"/>
      <c r="B40" s="32"/>
      <c r="D40" s="32"/>
      <c r="E40" s="32"/>
      <c r="F40" s="32"/>
      <c r="G40" s="32"/>
      <c r="H40" s="32"/>
      <c r="I40" s="32" t="s">
        <v>33</v>
      </c>
      <c r="J40" s="32"/>
      <c r="K40" s="32" t="s">
        <v>110</v>
      </c>
      <c r="L40" s="32" t="s">
        <v>26</v>
      </c>
      <c r="M40" s="32" t="s">
        <v>30</v>
      </c>
      <c r="N40" s="32" t="s">
        <v>208</v>
      </c>
      <c r="O40" s="32"/>
      <c r="P40" s="32" t="s">
        <v>103</v>
      </c>
      <c r="Q40" s="32">
        <v>2</v>
      </c>
      <c r="R40" s="32"/>
      <c r="S40" s="32"/>
      <c r="T40" s="32" t="s">
        <v>206</v>
      </c>
      <c r="U40" s="32"/>
      <c r="V40" s="32"/>
      <c r="W40" s="32">
        <v>1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5"/>
      <c r="AK40" s="35"/>
      <c r="AL40" s="35"/>
      <c r="AM40" s="34"/>
      <c r="AN40" s="36"/>
      <c r="AO40" s="36"/>
    </row>
    <row r="41" spans="1:41" x14ac:dyDescent="0.25">
      <c r="A41" s="32"/>
      <c r="B41" s="32"/>
      <c r="D41" s="32"/>
      <c r="E41" s="32"/>
      <c r="F41" s="32"/>
      <c r="G41" s="32"/>
      <c r="H41" s="32"/>
      <c r="I41" s="32" t="s">
        <v>33</v>
      </c>
      <c r="J41" s="32"/>
      <c r="K41" s="32" t="s">
        <v>110</v>
      </c>
      <c r="L41" s="32" t="s">
        <v>26</v>
      </c>
      <c r="M41" s="32" t="s">
        <v>30</v>
      </c>
      <c r="N41" s="32" t="s">
        <v>208</v>
      </c>
      <c r="O41" s="32"/>
      <c r="P41" s="32" t="s">
        <v>104</v>
      </c>
      <c r="Q41" s="32">
        <v>6</v>
      </c>
      <c r="R41" s="32"/>
      <c r="S41" s="32"/>
      <c r="T41" s="32" t="s">
        <v>206</v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5"/>
      <c r="AK41" s="35"/>
      <c r="AL41" s="35"/>
      <c r="AM41" s="34"/>
      <c r="AN41" s="36"/>
      <c r="AO41" s="36"/>
    </row>
    <row r="42" spans="1:41" x14ac:dyDescent="0.25">
      <c r="A42" s="32"/>
      <c r="B42" s="32"/>
      <c r="D42" s="32"/>
      <c r="E42" s="32"/>
      <c r="F42" s="32"/>
      <c r="G42" s="32"/>
      <c r="H42" s="32"/>
      <c r="I42" s="32" t="s">
        <v>33</v>
      </c>
      <c r="J42" s="32"/>
      <c r="K42" s="32" t="s">
        <v>110</v>
      </c>
      <c r="L42" s="32" t="s">
        <v>26</v>
      </c>
      <c r="M42" s="32" t="s">
        <v>30</v>
      </c>
      <c r="N42" s="32" t="s">
        <v>208</v>
      </c>
      <c r="O42" s="32"/>
      <c r="P42" s="32" t="s">
        <v>313</v>
      </c>
      <c r="Q42" s="32">
        <v>10</v>
      </c>
      <c r="R42" s="32"/>
      <c r="S42" s="32"/>
      <c r="T42" s="32" t="s">
        <v>206</v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5"/>
      <c r="AK42" s="35"/>
      <c r="AL42" s="35"/>
      <c r="AM42" s="34"/>
      <c r="AN42" s="36"/>
      <c r="AO42" s="36"/>
    </row>
    <row r="43" spans="1:41" x14ac:dyDescent="0.25">
      <c r="A43" s="32"/>
      <c r="B43" s="32"/>
      <c r="D43" s="32"/>
      <c r="E43" s="32"/>
      <c r="F43" s="32"/>
      <c r="G43" s="32"/>
      <c r="H43" s="32"/>
      <c r="I43" s="32" t="s">
        <v>33</v>
      </c>
      <c r="J43" s="32"/>
      <c r="K43" s="32" t="s">
        <v>110</v>
      </c>
      <c r="L43" s="32" t="s">
        <v>26</v>
      </c>
      <c r="M43" s="32" t="s">
        <v>30</v>
      </c>
      <c r="N43" s="32" t="s">
        <v>208</v>
      </c>
      <c r="O43" s="32"/>
      <c r="P43" s="32" t="s">
        <v>314</v>
      </c>
      <c r="Q43" s="32">
        <v>14</v>
      </c>
      <c r="R43" s="32"/>
      <c r="S43" s="32"/>
      <c r="T43" s="32" t="s">
        <v>206</v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5"/>
      <c r="AK43" s="35"/>
      <c r="AL43" s="35"/>
      <c r="AM43" s="34"/>
      <c r="AN43" s="36"/>
      <c r="AO43" s="36"/>
    </row>
    <row r="44" spans="1:41" x14ac:dyDescent="0.25">
      <c r="A44" s="32"/>
      <c r="B44" s="32"/>
      <c r="D44" s="32"/>
      <c r="E44" s="32"/>
      <c r="F44" s="32"/>
      <c r="G44" s="32"/>
      <c r="H44" s="32"/>
      <c r="I44" s="32" t="s">
        <v>34</v>
      </c>
      <c r="J44" s="32"/>
      <c r="K44" s="32" t="s">
        <v>110</v>
      </c>
      <c r="L44" s="32" t="s">
        <v>26</v>
      </c>
      <c r="M44" s="32" t="s">
        <v>30</v>
      </c>
      <c r="N44" s="32" t="s">
        <v>210</v>
      </c>
      <c r="O44" s="32"/>
      <c r="P44" s="32" t="s">
        <v>105</v>
      </c>
      <c r="Q44" s="32">
        <v>3</v>
      </c>
      <c r="R44" s="32"/>
      <c r="S44" s="32"/>
      <c r="T44" s="32" t="s">
        <v>206</v>
      </c>
      <c r="U44" s="32"/>
      <c r="V44" s="32"/>
      <c r="W44" s="32">
        <v>1</v>
      </c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5"/>
      <c r="AK44" s="35"/>
      <c r="AL44" s="35"/>
      <c r="AM44" s="34"/>
      <c r="AN44" s="36"/>
      <c r="AO44" s="36"/>
    </row>
    <row r="45" spans="1:41" x14ac:dyDescent="0.25">
      <c r="A45" s="32"/>
      <c r="B45" s="32"/>
      <c r="D45" s="32"/>
      <c r="E45" s="32"/>
      <c r="F45" s="32"/>
      <c r="G45" s="32"/>
      <c r="H45" s="32"/>
      <c r="I45" s="32" t="s">
        <v>34</v>
      </c>
      <c r="J45" s="32"/>
      <c r="K45" s="32" t="s">
        <v>110</v>
      </c>
      <c r="L45" s="32" t="s">
        <v>26</v>
      </c>
      <c r="M45" s="32" t="s">
        <v>30</v>
      </c>
      <c r="N45" s="32" t="s">
        <v>210</v>
      </c>
      <c r="O45" s="32"/>
      <c r="P45" s="32" t="s">
        <v>106</v>
      </c>
      <c r="Q45" s="32">
        <v>7</v>
      </c>
      <c r="R45" s="32"/>
      <c r="S45" s="32"/>
      <c r="T45" s="32" t="s">
        <v>206</v>
      </c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5"/>
      <c r="AK45" s="35"/>
      <c r="AL45" s="35"/>
      <c r="AM45" s="34"/>
      <c r="AN45" s="36"/>
      <c r="AO45" s="36"/>
    </row>
    <row r="46" spans="1:41" x14ac:dyDescent="0.25">
      <c r="A46" s="32"/>
      <c r="B46" s="32"/>
      <c r="D46" s="32"/>
      <c r="E46" s="32"/>
      <c r="F46" s="32"/>
      <c r="G46" s="32"/>
      <c r="H46" s="32"/>
      <c r="I46" s="32" t="s">
        <v>34</v>
      </c>
      <c r="J46" s="32"/>
      <c r="K46" s="32" t="s">
        <v>110</v>
      </c>
      <c r="L46" s="32" t="s">
        <v>26</v>
      </c>
      <c r="M46" s="32" t="s">
        <v>30</v>
      </c>
      <c r="N46" s="32" t="s">
        <v>210</v>
      </c>
      <c r="O46" s="32"/>
      <c r="P46" s="32" t="s">
        <v>311</v>
      </c>
      <c r="Q46" s="32">
        <v>11</v>
      </c>
      <c r="R46" s="32"/>
      <c r="S46" s="32"/>
      <c r="T46" s="32" t="s">
        <v>206</v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5"/>
      <c r="AK46" s="35"/>
      <c r="AL46" s="35"/>
      <c r="AM46" s="34"/>
      <c r="AN46" s="36"/>
      <c r="AO46" s="36"/>
    </row>
    <row r="47" spans="1:41" x14ac:dyDescent="0.25">
      <c r="A47" s="32"/>
      <c r="B47" s="32"/>
      <c r="D47" s="32"/>
      <c r="E47" s="32"/>
      <c r="F47" s="32"/>
      <c r="G47" s="32"/>
      <c r="H47" s="32"/>
      <c r="I47" s="32" t="s">
        <v>34</v>
      </c>
      <c r="J47" s="32"/>
      <c r="K47" s="32" t="s">
        <v>110</v>
      </c>
      <c r="L47" s="32" t="s">
        <v>26</v>
      </c>
      <c r="M47" s="32" t="s">
        <v>30</v>
      </c>
      <c r="N47" s="32" t="s">
        <v>210</v>
      </c>
      <c r="O47" s="32"/>
      <c r="P47" s="32" t="s">
        <v>312</v>
      </c>
      <c r="Q47" s="32">
        <v>15</v>
      </c>
      <c r="R47" s="32"/>
      <c r="S47" s="32"/>
      <c r="T47" s="32" t="s">
        <v>206</v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5"/>
      <c r="AK47" s="35"/>
      <c r="AL47" s="35"/>
      <c r="AM47" s="34"/>
      <c r="AN47" s="36"/>
      <c r="AO47" s="36"/>
    </row>
    <row r="48" spans="1:41" x14ac:dyDescent="0.25">
      <c r="A48" s="32"/>
      <c r="B48" s="32"/>
      <c r="D48" s="32"/>
      <c r="E48" s="32"/>
      <c r="F48" s="32"/>
      <c r="G48" s="32"/>
      <c r="H48" s="32"/>
      <c r="I48" s="32" t="s">
        <v>35</v>
      </c>
      <c r="J48" s="32"/>
      <c r="K48" s="32" t="s">
        <v>110</v>
      </c>
      <c r="L48" s="32" t="s">
        <v>26</v>
      </c>
      <c r="M48" s="32" t="s">
        <v>30</v>
      </c>
      <c r="N48" s="32" t="s">
        <v>211</v>
      </c>
      <c r="O48" s="32"/>
      <c r="P48" s="32" t="s">
        <v>108</v>
      </c>
      <c r="Q48" s="32">
        <v>4</v>
      </c>
      <c r="R48" s="32"/>
      <c r="S48" s="32"/>
      <c r="T48" s="32" t="s">
        <v>206</v>
      </c>
      <c r="U48" s="32"/>
      <c r="V48" s="32"/>
      <c r="W48" s="32">
        <v>1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5"/>
      <c r="AK48" s="35"/>
      <c r="AL48" s="35"/>
      <c r="AM48" s="34"/>
      <c r="AN48" s="36"/>
      <c r="AO48" s="36"/>
    </row>
    <row r="49" spans="1:41" x14ac:dyDescent="0.25">
      <c r="A49" s="32"/>
      <c r="B49" s="32"/>
      <c r="D49" s="32"/>
      <c r="E49" s="32"/>
      <c r="F49" s="32"/>
      <c r="G49" s="32"/>
      <c r="H49" s="32"/>
      <c r="I49" s="32" t="s">
        <v>35</v>
      </c>
      <c r="J49" s="32"/>
      <c r="K49" s="32" t="s">
        <v>110</v>
      </c>
      <c r="L49" s="32" t="s">
        <v>26</v>
      </c>
      <c r="M49" s="32" t="s">
        <v>30</v>
      </c>
      <c r="N49" s="32" t="s">
        <v>211</v>
      </c>
      <c r="O49" s="32"/>
      <c r="P49" s="32" t="s">
        <v>107</v>
      </c>
      <c r="Q49" s="32">
        <v>8</v>
      </c>
      <c r="R49" s="32"/>
      <c r="S49" s="32"/>
      <c r="T49" s="32" t="s">
        <v>206</v>
      </c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5"/>
      <c r="AK49" s="35"/>
      <c r="AL49" s="35"/>
      <c r="AM49" s="34"/>
      <c r="AN49" s="36"/>
      <c r="AO49" s="36"/>
    </row>
    <row r="50" spans="1:41" x14ac:dyDescent="0.25">
      <c r="A50" s="32"/>
      <c r="B50" s="32"/>
      <c r="D50" s="32"/>
      <c r="E50" s="32"/>
      <c r="F50" s="32"/>
      <c r="G50" s="32"/>
      <c r="H50" s="32"/>
      <c r="I50" s="32" t="s">
        <v>35</v>
      </c>
      <c r="J50" s="32"/>
      <c r="K50" s="32" t="s">
        <v>110</v>
      </c>
      <c r="L50" s="32" t="s">
        <v>26</v>
      </c>
      <c r="M50" s="32" t="s">
        <v>30</v>
      </c>
      <c r="N50" s="32" t="s">
        <v>211</v>
      </c>
      <c r="O50" s="32"/>
      <c r="P50" s="32" t="s">
        <v>309</v>
      </c>
      <c r="Q50" s="32">
        <v>12</v>
      </c>
      <c r="R50" s="32"/>
      <c r="S50" s="32"/>
      <c r="T50" s="32" t="s">
        <v>206</v>
      </c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5"/>
      <c r="AK50" s="35"/>
      <c r="AL50" s="35"/>
      <c r="AM50" s="34"/>
      <c r="AN50" s="36"/>
      <c r="AO50" s="36"/>
    </row>
    <row r="51" spans="1:41" x14ac:dyDescent="0.25">
      <c r="A51" s="32"/>
      <c r="B51" s="32"/>
      <c r="D51" s="32"/>
      <c r="E51" s="32"/>
      <c r="F51" s="32"/>
      <c r="G51" s="32"/>
      <c r="H51" s="32"/>
      <c r="I51" s="32" t="s">
        <v>35</v>
      </c>
      <c r="J51" s="32"/>
      <c r="K51" s="32" t="s">
        <v>110</v>
      </c>
      <c r="L51" s="32" t="s">
        <v>26</v>
      </c>
      <c r="M51" s="32" t="s">
        <v>30</v>
      </c>
      <c r="N51" s="32" t="s">
        <v>211</v>
      </c>
      <c r="O51" s="32"/>
      <c r="P51" s="32" t="s">
        <v>310</v>
      </c>
      <c r="Q51" s="32">
        <v>16</v>
      </c>
      <c r="R51" s="32"/>
      <c r="S51" s="32"/>
      <c r="T51" s="32" t="s">
        <v>206</v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5"/>
      <c r="AK51" s="35"/>
      <c r="AL51" s="35"/>
      <c r="AM51" s="34"/>
      <c r="AN51" s="36"/>
      <c r="AO51" s="36"/>
    </row>
    <row r="52" spans="1:41" x14ac:dyDescent="0.25">
      <c r="A52" s="32"/>
      <c r="B52" s="32"/>
      <c r="D52" s="32"/>
      <c r="E52" s="32"/>
      <c r="F52" s="32"/>
      <c r="G52" s="32"/>
      <c r="H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5"/>
      <c r="AK52" s="35"/>
      <c r="AL52" s="35"/>
      <c r="AM52" s="34"/>
      <c r="AN52" s="36"/>
      <c r="AO52" s="36"/>
    </row>
    <row r="53" spans="1:41" x14ac:dyDescent="0.25">
      <c r="A53" s="32"/>
      <c r="B53" s="32"/>
      <c r="D53" s="32"/>
      <c r="E53" s="32"/>
      <c r="F53" s="32"/>
      <c r="G53" s="32"/>
      <c r="H53" s="32"/>
      <c r="I53" s="32" t="s">
        <v>40</v>
      </c>
      <c r="K53" s="33" t="s">
        <v>93</v>
      </c>
      <c r="L53" s="32" t="s">
        <v>26</v>
      </c>
      <c r="M53" s="32" t="s">
        <v>31</v>
      </c>
      <c r="N53" s="32" t="s">
        <v>215</v>
      </c>
      <c r="O53" s="32"/>
      <c r="P53" s="32" t="s">
        <v>213</v>
      </c>
      <c r="Q53" s="32">
        <v>1</v>
      </c>
      <c r="R53" s="32"/>
      <c r="S53" s="32"/>
      <c r="T53" s="32" t="s">
        <v>214</v>
      </c>
      <c r="U53" s="32">
        <v>1</v>
      </c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5"/>
      <c r="AK53" s="35"/>
      <c r="AL53" s="35"/>
      <c r="AM53" s="34"/>
      <c r="AN53" s="36"/>
      <c r="AO53" s="36"/>
    </row>
    <row r="54" spans="1:41" x14ac:dyDescent="0.25">
      <c r="A54" s="32"/>
      <c r="B54" s="32"/>
      <c r="D54" s="32"/>
      <c r="E54" s="32"/>
      <c r="F54" s="32"/>
      <c r="G54" s="32"/>
      <c r="H54" s="32"/>
      <c r="I54" s="32" t="s">
        <v>132</v>
      </c>
      <c r="K54" s="33" t="s">
        <v>93</v>
      </c>
      <c r="L54" s="32" t="s">
        <v>26</v>
      </c>
      <c r="M54" s="32" t="s">
        <v>31</v>
      </c>
      <c r="N54" s="32" t="s">
        <v>218</v>
      </c>
      <c r="O54" s="32"/>
      <c r="P54" s="32" t="s">
        <v>217</v>
      </c>
      <c r="Q54" s="32">
        <v>2</v>
      </c>
      <c r="R54" s="32"/>
      <c r="S54" s="32"/>
      <c r="T54" s="32" t="s">
        <v>214</v>
      </c>
      <c r="U54" s="32">
        <v>1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5"/>
      <c r="AK54" s="35"/>
      <c r="AL54" s="35"/>
      <c r="AM54" s="34"/>
      <c r="AN54" s="36"/>
      <c r="AO54" s="36"/>
    </row>
    <row r="55" spans="1:41" x14ac:dyDescent="0.25">
      <c r="A55" s="32"/>
      <c r="B55" s="32"/>
      <c r="D55" s="32"/>
      <c r="E55" s="32"/>
      <c r="F55" s="32"/>
      <c r="G55" s="32"/>
      <c r="H55" s="32"/>
      <c r="I55" s="32" t="s">
        <v>133</v>
      </c>
      <c r="K55" s="33" t="s">
        <v>93</v>
      </c>
      <c r="L55" s="32" t="s">
        <v>26</v>
      </c>
      <c r="M55" s="32" t="s">
        <v>31</v>
      </c>
      <c r="N55" s="32" t="s">
        <v>220</v>
      </c>
      <c r="O55" s="32"/>
      <c r="P55" s="32" t="s">
        <v>219</v>
      </c>
      <c r="Q55" s="32">
        <v>3</v>
      </c>
      <c r="R55" s="32"/>
      <c r="S55" s="32"/>
      <c r="T55" s="32" t="s">
        <v>214</v>
      </c>
      <c r="U55" s="32">
        <v>1</v>
      </c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5"/>
      <c r="AK55" s="35"/>
      <c r="AL55" s="35"/>
      <c r="AM55" s="34"/>
      <c r="AN55" s="36"/>
      <c r="AO55" s="36"/>
    </row>
    <row r="56" spans="1:41" x14ac:dyDescent="0.25">
      <c r="A56" s="32"/>
      <c r="B56" s="32"/>
      <c r="D56" s="32"/>
      <c r="E56" s="32"/>
      <c r="F56" s="32"/>
      <c r="G56" s="32"/>
      <c r="H56" s="32"/>
      <c r="I56" s="32" t="s">
        <v>41</v>
      </c>
      <c r="K56" s="33" t="s">
        <v>93</v>
      </c>
      <c r="L56" s="32" t="s">
        <v>26</v>
      </c>
      <c r="M56" s="32" t="s">
        <v>31</v>
      </c>
      <c r="N56" s="32" t="s">
        <v>222</v>
      </c>
      <c r="O56" s="32"/>
      <c r="P56" s="32" t="s">
        <v>221</v>
      </c>
      <c r="Q56" s="32">
        <v>4</v>
      </c>
      <c r="R56" s="32"/>
      <c r="S56" s="32"/>
      <c r="T56" s="32" t="s">
        <v>214</v>
      </c>
      <c r="U56" s="32">
        <v>1</v>
      </c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5"/>
      <c r="AK56" s="35"/>
      <c r="AL56" s="35"/>
      <c r="AM56" s="34"/>
      <c r="AN56" s="36"/>
      <c r="AO56" s="36"/>
    </row>
    <row r="57" spans="1:41" x14ac:dyDescent="0.25">
      <c r="A57" s="32"/>
      <c r="B57" s="32"/>
      <c r="D57" s="32"/>
      <c r="E57" s="32"/>
      <c r="F57" s="32"/>
      <c r="G57" s="32"/>
      <c r="H57" s="32"/>
      <c r="I57" s="32" t="s">
        <v>56</v>
      </c>
      <c r="K57" s="33" t="s">
        <v>93</v>
      </c>
      <c r="L57" s="32" t="s">
        <v>26</v>
      </c>
      <c r="M57" s="32" t="s">
        <v>31</v>
      </c>
      <c r="N57" s="32" t="s">
        <v>224</v>
      </c>
      <c r="O57" s="32"/>
      <c r="P57" s="32" t="s">
        <v>223</v>
      </c>
      <c r="Q57" s="32">
        <v>5</v>
      </c>
      <c r="R57" s="32"/>
      <c r="S57" s="32"/>
      <c r="T57" s="32" t="s">
        <v>214</v>
      </c>
      <c r="U57" s="32">
        <v>1</v>
      </c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5"/>
      <c r="AK57" s="35"/>
      <c r="AL57" s="35"/>
      <c r="AM57" s="34"/>
      <c r="AN57" s="36"/>
      <c r="AO57" s="36"/>
    </row>
    <row r="58" spans="1:41" x14ac:dyDescent="0.25">
      <c r="A58" s="32"/>
      <c r="B58" s="32"/>
      <c r="D58" s="32"/>
      <c r="E58" s="32"/>
      <c r="F58" s="32"/>
      <c r="G58" s="32"/>
      <c r="H58" s="32"/>
      <c r="I58" s="32" t="s">
        <v>57</v>
      </c>
      <c r="K58" s="33" t="s">
        <v>93</v>
      </c>
      <c r="L58" s="32" t="s">
        <v>26</v>
      </c>
      <c r="M58" s="32" t="s">
        <v>31</v>
      </c>
      <c r="N58" s="32" t="s">
        <v>226</v>
      </c>
      <c r="O58" s="32"/>
      <c r="P58" s="32" t="s">
        <v>225</v>
      </c>
      <c r="Q58" s="32">
        <v>6</v>
      </c>
      <c r="R58" s="32"/>
      <c r="S58" s="32"/>
      <c r="T58" s="32" t="s">
        <v>214</v>
      </c>
      <c r="U58" s="32">
        <v>1</v>
      </c>
      <c r="V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5"/>
      <c r="AK58" s="35"/>
      <c r="AL58" s="35"/>
      <c r="AM58" s="34"/>
      <c r="AN58" s="36"/>
      <c r="AO58" s="36"/>
    </row>
    <row r="59" spans="1:41" x14ac:dyDescent="0.25">
      <c r="A59" s="32"/>
      <c r="B59" s="32"/>
      <c r="D59" s="32"/>
      <c r="E59" s="32"/>
      <c r="F59" s="32"/>
      <c r="G59" s="32"/>
      <c r="H59" s="32"/>
      <c r="I59" s="32" t="s">
        <v>58</v>
      </c>
      <c r="K59" s="33" t="s">
        <v>93</v>
      </c>
      <c r="L59" s="32" t="s">
        <v>26</v>
      </c>
      <c r="M59" s="32" t="s">
        <v>31</v>
      </c>
      <c r="N59" s="32" t="s">
        <v>228</v>
      </c>
      <c r="O59" s="32"/>
      <c r="P59" s="32" t="s">
        <v>227</v>
      </c>
      <c r="Q59" s="32">
        <v>7</v>
      </c>
      <c r="R59" s="32"/>
      <c r="S59" s="32"/>
      <c r="T59" s="32" t="s">
        <v>214</v>
      </c>
      <c r="U59" s="32">
        <v>1</v>
      </c>
      <c r="V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5"/>
      <c r="AK59" s="35"/>
      <c r="AL59" s="35"/>
      <c r="AM59" s="34"/>
      <c r="AN59" s="36"/>
      <c r="AO59" s="36"/>
    </row>
    <row r="60" spans="1:41" x14ac:dyDescent="0.25">
      <c r="A60" s="32"/>
      <c r="B60" s="32"/>
      <c r="D60" s="32"/>
      <c r="E60" s="32"/>
      <c r="F60" s="32"/>
      <c r="G60" s="32"/>
      <c r="H60" s="32"/>
      <c r="I60" s="32" t="s">
        <v>139</v>
      </c>
      <c r="K60" s="33" t="s">
        <v>93</v>
      </c>
      <c r="L60" s="32" t="s">
        <v>26</v>
      </c>
      <c r="M60" s="32" t="s">
        <v>31</v>
      </c>
      <c r="N60" s="32" t="s">
        <v>230</v>
      </c>
      <c r="O60" s="32"/>
      <c r="P60" s="32" t="s">
        <v>229</v>
      </c>
      <c r="Q60" s="32">
        <v>8</v>
      </c>
      <c r="R60" s="32"/>
      <c r="S60" s="32"/>
      <c r="T60" s="32" t="s">
        <v>214</v>
      </c>
      <c r="U60" s="32">
        <v>1</v>
      </c>
      <c r="V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5"/>
      <c r="AK60" s="35"/>
      <c r="AL60" s="35"/>
      <c r="AM60" s="34"/>
      <c r="AN60" s="36"/>
      <c r="AO60" s="36"/>
    </row>
    <row r="61" spans="1:41" x14ac:dyDescent="0.25">
      <c r="A61" s="32"/>
      <c r="B61" s="32"/>
      <c r="D61" s="32"/>
      <c r="E61" s="32"/>
      <c r="F61" s="32"/>
      <c r="G61" s="32"/>
      <c r="H61" s="32"/>
      <c r="I61" s="32" t="s">
        <v>140</v>
      </c>
      <c r="K61" s="33" t="s">
        <v>93</v>
      </c>
      <c r="L61" s="32" t="s">
        <v>26</v>
      </c>
      <c r="M61" s="32" t="s">
        <v>31</v>
      </c>
      <c r="N61" s="32" t="s">
        <v>239</v>
      </c>
      <c r="O61" s="32"/>
      <c r="P61" s="32" t="s">
        <v>231</v>
      </c>
      <c r="Q61" s="32">
        <v>9</v>
      </c>
      <c r="R61" s="32"/>
      <c r="S61" s="32"/>
      <c r="T61" s="32" t="s">
        <v>214</v>
      </c>
      <c r="U61" s="32">
        <v>1</v>
      </c>
      <c r="V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5"/>
      <c r="AK61" s="35"/>
      <c r="AL61" s="35"/>
      <c r="AM61" s="34"/>
      <c r="AN61" s="36"/>
      <c r="AO61" s="36"/>
    </row>
    <row r="62" spans="1:41" x14ac:dyDescent="0.25">
      <c r="A62" s="32"/>
      <c r="B62" s="32"/>
      <c r="D62" s="32"/>
      <c r="E62" s="32"/>
      <c r="F62" s="32"/>
      <c r="G62" s="32"/>
      <c r="H62" s="32"/>
      <c r="I62" s="32" t="s">
        <v>141</v>
      </c>
      <c r="K62" s="33" t="s">
        <v>93</v>
      </c>
      <c r="L62" s="32" t="s">
        <v>26</v>
      </c>
      <c r="M62" s="32" t="s">
        <v>31</v>
      </c>
      <c r="N62" s="32" t="s">
        <v>240</v>
      </c>
      <c r="O62" s="32"/>
      <c r="P62" s="32" t="s">
        <v>232</v>
      </c>
      <c r="Q62" s="32">
        <v>10</v>
      </c>
      <c r="R62" s="32"/>
      <c r="S62" s="32"/>
      <c r="T62" s="32" t="s">
        <v>214</v>
      </c>
      <c r="U62" s="32">
        <v>1</v>
      </c>
      <c r="V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5"/>
      <c r="AK62" s="35"/>
      <c r="AL62" s="35"/>
      <c r="AM62" s="34"/>
      <c r="AN62" s="36"/>
      <c r="AO62" s="36"/>
    </row>
    <row r="63" spans="1:41" x14ac:dyDescent="0.25">
      <c r="A63" s="32"/>
      <c r="B63" s="32"/>
      <c r="D63" s="32"/>
      <c r="E63" s="32"/>
      <c r="F63" s="32"/>
      <c r="G63" s="32"/>
      <c r="H63" s="32"/>
      <c r="I63" s="32" t="s">
        <v>114</v>
      </c>
      <c r="K63" s="33" t="s">
        <v>93</v>
      </c>
      <c r="L63" s="32" t="s">
        <v>26</v>
      </c>
      <c r="M63" s="32" t="s">
        <v>31</v>
      </c>
      <c r="N63" s="32" t="s">
        <v>241</v>
      </c>
      <c r="O63" s="32"/>
      <c r="P63" s="32" t="s">
        <v>233</v>
      </c>
      <c r="Q63" s="32">
        <v>11</v>
      </c>
      <c r="R63" s="32"/>
      <c r="S63" s="32"/>
      <c r="T63" s="32" t="s">
        <v>214</v>
      </c>
      <c r="U63" s="32">
        <v>1</v>
      </c>
      <c r="V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5"/>
      <c r="AK63" s="35"/>
      <c r="AL63" s="35"/>
      <c r="AM63" s="34"/>
      <c r="AN63" s="36"/>
      <c r="AO63" s="36"/>
    </row>
    <row r="64" spans="1:41" x14ac:dyDescent="0.25">
      <c r="A64" s="32"/>
      <c r="B64" s="32"/>
      <c r="D64" s="32"/>
      <c r="E64" s="32"/>
      <c r="F64" s="32"/>
      <c r="G64" s="32"/>
      <c r="H64" s="32"/>
      <c r="I64" s="32" t="s">
        <v>115</v>
      </c>
      <c r="K64" s="33" t="s">
        <v>93</v>
      </c>
      <c r="L64" s="32" t="s">
        <v>26</v>
      </c>
      <c r="M64" s="32" t="s">
        <v>31</v>
      </c>
      <c r="N64" s="32" t="s">
        <v>242</v>
      </c>
      <c r="O64" s="32"/>
      <c r="P64" s="32" t="s">
        <v>234</v>
      </c>
      <c r="Q64" s="32">
        <v>12</v>
      </c>
      <c r="R64" s="32"/>
      <c r="S64" s="32"/>
      <c r="T64" s="32" t="s">
        <v>214</v>
      </c>
      <c r="U64" s="32">
        <v>1</v>
      </c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5"/>
      <c r="AK64" s="35"/>
      <c r="AL64" s="35"/>
      <c r="AM64" s="34"/>
      <c r="AN64" s="36"/>
      <c r="AO64" s="36"/>
    </row>
    <row r="65" spans="1:41" x14ac:dyDescent="0.25">
      <c r="A65" s="32"/>
      <c r="B65" s="32"/>
      <c r="D65" s="32"/>
      <c r="E65" s="32"/>
      <c r="F65" s="32"/>
      <c r="G65" s="32"/>
      <c r="H65" s="32"/>
      <c r="I65" s="32" t="s">
        <v>113</v>
      </c>
      <c r="K65" s="33" t="s">
        <v>93</v>
      </c>
      <c r="L65" s="32" t="s">
        <v>26</v>
      </c>
      <c r="M65" s="32" t="s">
        <v>31</v>
      </c>
      <c r="N65" s="32" t="s">
        <v>243</v>
      </c>
      <c r="O65" s="32"/>
      <c r="P65" s="32" t="s">
        <v>235</v>
      </c>
      <c r="Q65" s="32">
        <v>13</v>
      </c>
      <c r="R65" s="32"/>
      <c r="S65" s="32"/>
      <c r="T65" s="32" t="s">
        <v>214</v>
      </c>
      <c r="U65" s="32">
        <v>1</v>
      </c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5"/>
      <c r="AK65" s="35"/>
      <c r="AL65" s="35"/>
      <c r="AM65" s="34"/>
      <c r="AN65" s="36"/>
      <c r="AO65" s="36"/>
    </row>
    <row r="66" spans="1:41" x14ac:dyDescent="0.25">
      <c r="A66" s="32"/>
      <c r="B66" s="32"/>
      <c r="D66" s="32"/>
      <c r="E66" s="32"/>
      <c r="F66" s="32"/>
      <c r="G66" s="32"/>
      <c r="H66" s="32"/>
      <c r="I66" s="32" t="s">
        <v>116</v>
      </c>
      <c r="K66" s="33" t="s">
        <v>93</v>
      </c>
      <c r="L66" s="32" t="s">
        <v>26</v>
      </c>
      <c r="M66" s="32" t="s">
        <v>31</v>
      </c>
      <c r="N66" s="32" t="s">
        <v>244</v>
      </c>
      <c r="O66" s="32"/>
      <c r="P66" s="32" t="s">
        <v>236</v>
      </c>
      <c r="Q66" s="32">
        <v>14</v>
      </c>
      <c r="R66" s="32"/>
      <c r="S66" s="32"/>
      <c r="T66" s="32" t="s">
        <v>214</v>
      </c>
      <c r="U66" s="32">
        <v>1</v>
      </c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5"/>
      <c r="AK66" s="35"/>
      <c r="AL66" s="35"/>
      <c r="AM66" s="34"/>
      <c r="AN66" s="36"/>
      <c r="AO66" s="36"/>
    </row>
    <row r="67" spans="1:41" x14ac:dyDescent="0.25">
      <c r="A67" s="32"/>
      <c r="B67" s="32"/>
      <c r="D67" s="32"/>
      <c r="E67" s="32"/>
      <c r="F67" s="32"/>
      <c r="G67" s="32"/>
      <c r="H67" s="32"/>
      <c r="I67" s="32" t="s">
        <v>134</v>
      </c>
      <c r="K67" s="33" t="s">
        <v>93</v>
      </c>
      <c r="L67" s="32" t="s">
        <v>26</v>
      </c>
      <c r="M67" s="32" t="s">
        <v>31</v>
      </c>
      <c r="N67" s="32" t="s">
        <v>245</v>
      </c>
      <c r="O67" s="32"/>
      <c r="P67" s="32" t="s">
        <v>237</v>
      </c>
      <c r="Q67" s="32">
        <v>15</v>
      </c>
      <c r="R67" s="32"/>
      <c r="S67" s="32"/>
      <c r="T67" s="32" t="s">
        <v>214</v>
      </c>
      <c r="U67" s="32">
        <v>1</v>
      </c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5"/>
      <c r="AK67" s="35"/>
      <c r="AL67" s="35"/>
      <c r="AM67" s="34"/>
      <c r="AN67" s="36"/>
      <c r="AO67" s="36"/>
    </row>
    <row r="68" spans="1:41" x14ac:dyDescent="0.25">
      <c r="A68" s="32"/>
      <c r="B68" s="32"/>
      <c r="D68" s="32"/>
      <c r="E68" s="32"/>
      <c r="F68" s="32"/>
      <c r="G68" s="32"/>
      <c r="H68" s="32"/>
      <c r="I68" s="32" t="s">
        <v>117</v>
      </c>
      <c r="K68" s="33" t="s">
        <v>93</v>
      </c>
      <c r="L68" s="32" t="s">
        <v>26</v>
      </c>
      <c r="M68" s="32" t="s">
        <v>31</v>
      </c>
      <c r="N68" s="32" t="s">
        <v>246</v>
      </c>
      <c r="O68" s="32"/>
      <c r="P68" s="32" t="s">
        <v>238</v>
      </c>
      <c r="Q68" s="32">
        <v>16</v>
      </c>
      <c r="R68" s="32"/>
      <c r="S68" s="32"/>
      <c r="T68" s="32" t="s">
        <v>214</v>
      </c>
      <c r="U68" s="32">
        <v>1</v>
      </c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5"/>
      <c r="AK68" s="35"/>
      <c r="AL68" s="35"/>
      <c r="AM68" s="34"/>
      <c r="AN68" s="36"/>
      <c r="AO68" s="36"/>
    </row>
    <row r="69" spans="1:41" x14ac:dyDescent="0.25">
      <c r="A69" s="32"/>
      <c r="B69" s="32"/>
      <c r="C69" s="32"/>
      <c r="D69" s="32"/>
      <c r="E69" s="32"/>
      <c r="F69" s="32"/>
      <c r="G69" s="32"/>
      <c r="H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5"/>
      <c r="AK69" s="35"/>
      <c r="AL69" s="35"/>
      <c r="AM69" s="34"/>
      <c r="AN69" s="36"/>
      <c r="AO69" s="36"/>
    </row>
    <row r="70" spans="1:41" x14ac:dyDescent="0.25">
      <c r="A70" s="32"/>
      <c r="B70" s="32"/>
      <c r="D70" s="32"/>
      <c r="E70" s="32"/>
      <c r="F70" s="32"/>
      <c r="G70" s="32"/>
      <c r="H70" s="32"/>
      <c r="I70" s="32" t="s">
        <v>118</v>
      </c>
      <c r="J70" s="32"/>
      <c r="K70" s="33" t="s">
        <v>93</v>
      </c>
      <c r="L70" s="32" t="s">
        <v>26</v>
      </c>
      <c r="M70" s="32" t="s">
        <v>216</v>
      </c>
      <c r="N70" s="32" t="s">
        <v>247</v>
      </c>
      <c r="O70" s="32"/>
      <c r="P70" s="32" t="s">
        <v>213</v>
      </c>
      <c r="Q70" s="32">
        <v>1</v>
      </c>
      <c r="R70" s="32"/>
      <c r="S70" s="32"/>
      <c r="T70" s="32" t="s">
        <v>214</v>
      </c>
      <c r="U70" s="32">
        <v>1</v>
      </c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5"/>
      <c r="AK70" s="35"/>
      <c r="AL70" s="35"/>
      <c r="AM70" s="34"/>
      <c r="AN70" s="36"/>
      <c r="AO70" s="36"/>
    </row>
    <row r="71" spans="1:41" x14ac:dyDescent="0.25">
      <c r="A71" s="32"/>
      <c r="B71" s="32"/>
      <c r="D71" s="32"/>
      <c r="E71" s="32"/>
      <c r="F71" s="32"/>
      <c r="G71" s="32"/>
      <c r="H71" s="32"/>
      <c r="I71" s="32" t="s">
        <v>111</v>
      </c>
      <c r="J71" s="32"/>
      <c r="K71" s="33" t="s">
        <v>93</v>
      </c>
      <c r="L71" s="32" t="s">
        <v>26</v>
      </c>
      <c r="M71" s="32" t="s">
        <v>216</v>
      </c>
      <c r="N71" s="32" t="s">
        <v>248</v>
      </c>
      <c r="O71" s="32"/>
      <c r="P71" s="32" t="s">
        <v>217</v>
      </c>
      <c r="Q71" s="32">
        <v>2</v>
      </c>
      <c r="R71" s="32"/>
      <c r="S71" s="32"/>
      <c r="T71" s="32" t="s">
        <v>214</v>
      </c>
      <c r="U71" s="32">
        <v>1</v>
      </c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5"/>
      <c r="AK71" s="35"/>
      <c r="AL71" s="35"/>
      <c r="AM71" s="34"/>
      <c r="AN71" s="36"/>
      <c r="AO71" s="36"/>
    </row>
    <row r="72" spans="1:41" x14ac:dyDescent="0.25">
      <c r="A72" s="32"/>
      <c r="B72" s="32"/>
      <c r="D72" s="32"/>
      <c r="E72" s="32"/>
      <c r="F72" s="32"/>
      <c r="G72" s="32"/>
      <c r="H72" s="32"/>
      <c r="I72" s="32" t="s">
        <v>112</v>
      </c>
      <c r="J72" s="32"/>
      <c r="K72" s="33" t="s">
        <v>93</v>
      </c>
      <c r="L72" s="32" t="s">
        <v>26</v>
      </c>
      <c r="M72" s="32" t="s">
        <v>216</v>
      </c>
      <c r="N72" s="32" t="s">
        <v>249</v>
      </c>
      <c r="O72" s="32"/>
      <c r="P72" s="32" t="s">
        <v>219</v>
      </c>
      <c r="Q72" s="32">
        <v>3</v>
      </c>
      <c r="R72" s="32"/>
      <c r="S72" s="32"/>
      <c r="T72" s="32" t="s">
        <v>214</v>
      </c>
      <c r="U72" s="32">
        <v>1</v>
      </c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5"/>
      <c r="AK72" s="35"/>
      <c r="AL72" s="35"/>
      <c r="AM72" s="34"/>
      <c r="AN72" s="36"/>
      <c r="AO72" s="36"/>
    </row>
    <row r="73" spans="1:41" x14ac:dyDescent="0.25">
      <c r="A73" s="32"/>
      <c r="B73" s="32"/>
      <c r="D73" s="32"/>
      <c r="E73" s="32"/>
      <c r="F73" s="32"/>
      <c r="G73" s="32"/>
      <c r="H73" s="32"/>
      <c r="I73" s="32" t="s">
        <v>44</v>
      </c>
      <c r="J73" s="32"/>
      <c r="K73" s="33" t="s">
        <v>93</v>
      </c>
      <c r="L73" s="32" t="s">
        <v>26</v>
      </c>
      <c r="M73" s="32" t="s">
        <v>216</v>
      </c>
      <c r="N73" s="32" t="s">
        <v>250</v>
      </c>
      <c r="O73" s="32"/>
      <c r="P73" s="32" t="s">
        <v>221</v>
      </c>
      <c r="Q73" s="32">
        <v>4</v>
      </c>
      <c r="R73" s="32"/>
      <c r="S73" s="32"/>
      <c r="T73" s="32" t="s">
        <v>214</v>
      </c>
      <c r="U73" s="32">
        <v>1</v>
      </c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5"/>
      <c r="AK73" s="35"/>
      <c r="AL73" s="35"/>
      <c r="AM73" s="34"/>
      <c r="AN73" s="36"/>
      <c r="AO73" s="36"/>
    </row>
    <row r="74" spans="1:41" x14ac:dyDescent="0.25">
      <c r="A74" s="32"/>
      <c r="B74" s="32"/>
      <c r="D74" s="32"/>
      <c r="E74" s="32"/>
      <c r="F74" s="32"/>
      <c r="G74" s="32"/>
      <c r="H74" s="32"/>
      <c r="I74" s="32" t="s">
        <v>45</v>
      </c>
      <c r="J74" s="32"/>
      <c r="K74" s="33" t="s">
        <v>93</v>
      </c>
      <c r="L74" s="32" t="s">
        <v>26</v>
      </c>
      <c r="M74" s="32" t="s">
        <v>216</v>
      </c>
      <c r="N74" s="32" t="s">
        <v>251</v>
      </c>
      <c r="O74" s="32"/>
      <c r="P74" s="32" t="s">
        <v>223</v>
      </c>
      <c r="Q74" s="32">
        <v>5</v>
      </c>
      <c r="R74" s="32"/>
      <c r="S74" s="32"/>
      <c r="T74" s="32" t="s">
        <v>214</v>
      </c>
      <c r="U74" s="32">
        <v>1</v>
      </c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5"/>
      <c r="AK74" s="35"/>
      <c r="AL74" s="35"/>
      <c r="AM74" s="34"/>
      <c r="AN74" s="36"/>
      <c r="AO74" s="36"/>
    </row>
    <row r="75" spans="1:41" x14ac:dyDescent="0.25">
      <c r="A75" s="32"/>
      <c r="B75" s="32"/>
      <c r="D75" s="32"/>
      <c r="E75" s="32"/>
      <c r="F75" s="32"/>
      <c r="G75" s="32"/>
      <c r="H75" s="32"/>
      <c r="I75" s="32" t="s">
        <v>119</v>
      </c>
      <c r="J75" s="32"/>
      <c r="K75" s="33" t="s">
        <v>93</v>
      </c>
      <c r="L75" s="32" t="s">
        <v>26</v>
      </c>
      <c r="M75" s="32" t="s">
        <v>216</v>
      </c>
      <c r="N75" s="32" t="s">
        <v>252</v>
      </c>
      <c r="O75" s="32"/>
      <c r="P75" s="32" t="s">
        <v>225</v>
      </c>
      <c r="Q75" s="32">
        <v>6</v>
      </c>
      <c r="R75" s="32"/>
      <c r="S75" s="32"/>
      <c r="T75" s="32" t="s">
        <v>214</v>
      </c>
      <c r="U75" s="32">
        <v>1</v>
      </c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5"/>
      <c r="AK75" s="35"/>
      <c r="AL75" s="35"/>
      <c r="AM75" s="34"/>
      <c r="AN75" s="36"/>
      <c r="AO75" s="36"/>
    </row>
    <row r="76" spans="1:41" x14ac:dyDescent="0.25">
      <c r="A76" s="32"/>
      <c r="B76" s="32"/>
      <c r="D76" s="32"/>
      <c r="E76" s="32"/>
      <c r="F76" s="32"/>
      <c r="G76" s="32"/>
      <c r="H76" s="32"/>
      <c r="I76" s="32" t="s">
        <v>37</v>
      </c>
      <c r="J76" s="32"/>
      <c r="K76" s="33" t="s">
        <v>93</v>
      </c>
      <c r="L76" s="32" t="s">
        <v>26</v>
      </c>
      <c r="M76" s="32" t="s">
        <v>216</v>
      </c>
      <c r="N76" s="32" t="s">
        <v>253</v>
      </c>
      <c r="O76" s="32"/>
      <c r="P76" s="32" t="s">
        <v>227</v>
      </c>
      <c r="Q76" s="32">
        <v>7</v>
      </c>
      <c r="R76" s="32"/>
      <c r="S76" s="32"/>
      <c r="T76" s="32" t="s">
        <v>214</v>
      </c>
      <c r="U76" s="32">
        <v>1</v>
      </c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5"/>
      <c r="AK76" s="35"/>
      <c r="AL76" s="35"/>
      <c r="AM76" s="34"/>
      <c r="AN76" s="36"/>
      <c r="AO76" s="36"/>
    </row>
    <row r="77" spans="1:41" x14ac:dyDescent="0.25">
      <c r="A77" s="32"/>
      <c r="B77" s="32"/>
      <c r="D77" s="32"/>
      <c r="E77" s="32"/>
      <c r="F77" s="32"/>
      <c r="G77" s="32"/>
      <c r="H77" s="32"/>
      <c r="I77" s="32" t="s">
        <v>38</v>
      </c>
      <c r="J77" s="32"/>
      <c r="K77" s="33" t="s">
        <v>93</v>
      </c>
      <c r="L77" s="32" t="s">
        <v>26</v>
      </c>
      <c r="M77" s="32" t="s">
        <v>216</v>
      </c>
      <c r="N77" s="32" t="s">
        <v>254</v>
      </c>
      <c r="O77" s="32"/>
      <c r="P77" s="32" t="s">
        <v>229</v>
      </c>
      <c r="Q77" s="32">
        <v>8</v>
      </c>
      <c r="R77" s="32"/>
      <c r="S77" s="32"/>
      <c r="T77" s="32" t="s">
        <v>214</v>
      </c>
      <c r="U77" s="32">
        <v>1</v>
      </c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5"/>
      <c r="AK77" s="35"/>
      <c r="AL77" s="35"/>
      <c r="AM77" s="34"/>
      <c r="AN77" s="36"/>
      <c r="AO77" s="36"/>
    </row>
    <row r="78" spans="1:41" x14ac:dyDescent="0.25">
      <c r="A78" s="32"/>
      <c r="B78" s="32"/>
      <c r="D78" s="32"/>
      <c r="E78" s="32"/>
      <c r="F78" s="32"/>
      <c r="G78" s="32"/>
      <c r="H78" s="32"/>
      <c r="I78" s="32" t="s">
        <v>39</v>
      </c>
      <c r="J78" s="32"/>
      <c r="K78" s="33" t="s">
        <v>93</v>
      </c>
      <c r="L78" s="32" t="s">
        <v>26</v>
      </c>
      <c r="M78" s="32" t="s">
        <v>216</v>
      </c>
      <c r="N78" s="32" t="s">
        <v>255</v>
      </c>
      <c r="O78" s="32"/>
      <c r="P78" s="32" t="s">
        <v>231</v>
      </c>
      <c r="Q78" s="32">
        <v>9</v>
      </c>
      <c r="R78" s="32"/>
      <c r="S78" s="32"/>
      <c r="T78" s="32" t="s">
        <v>214</v>
      </c>
      <c r="U78" s="32">
        <v>1</v>
      </c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5"/>
      <c r="AK78" s="35"/>
      <c r="AL78" s="35"/>
      <c r="AM78" s="34"/>
      <c r="AN78" s="36"/>
      <c r="AO78" s="36"/>
    </row>
    <row r="79" spans="1:41" x14ac:dyDescent="0.25">
      <c r="A79" s="32"/>
      <c r="B79" s="32"/>
      <c r="D79" s="32"/>
      <c r="E79" s="32"/>
      <c r="F79" s="32"/>
      <c r="G79" s="32"/>
      <c r="H79" s="32"/>
      <c r="I79" s="32" t="s">
        <v>48</v>
      </c>
      <c r="J79" s="32"/>
      <c r="K79" s="33" t="s">
        <v>93</v>
      </c>
      <c r="L79" s="32" t="s">
        <v>26</v>
      </c>
      <c r="M79" s="32" t="s">
        <v>216</v>
      </c>
      <c r="N79" s="32" t="s">
        <v>256</v>
      </c>
      <c r="O79" s="32"/>
      <c r="P79" s="32" t="s">
        <v>232</v>
      </c>
      <c r="Q79" s="32">
        <v>10</v>
      </c>
      <c r="R79" s="32"/>
      <c r="S79" s="32"/>
      <c r="T79" s="32" t="s">
        <v>214</v>
      </c>
      <c r="U79" s="32">
        <v>1</v>
      </c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5"/>
      <c r="AK79" s="35"/>
      <c r="AL79" s="35"/>
      <c r="AM79" s="34"/>
      <c r="AN79" s="36"/>
      <c r="AO79" s="36"/>
    </row>
    <row r="80" spans="1:41" x14ac:dyDescent="0.25">
      <c r="A80" s="32"/>
      <c r="B80" s="32"/>
      <c r="D80" s="32"/>
      <c r="E80" s="32"/>
      <c r="F80" s="32"/>
      <c r="G80" s="32"/>
      <c r="H80" s="32"/>
      <c r="I80" s="32" t="s">
        <v>184</v>
      </c>
      <c r="J80" s="32"/>
      <c r="K80" s="33" t="s">
        <v>93</v>
      </c>
      <c r="L80" s="32" t="s">
        <v>26</v>
      </c>
      <c r="M80" s="32" t="s">
        <v>216</v>
      </c>
      <c r="N80" s="32" t="s">
        <v>257</v>
      </c>
      <c r="O80" s="32"/>
      <c r="P80" s="32" t="s">
        <v>233</v>
      </c>
      <c r="Q80" s="32">
        <v>11</v>
      </c>
      <c r="R80" s="32"/>
      <c r="S80" s="32"/>
      <c r="T80" s="32" t="s">
        <v>214</v>
      </c>
      <c r="U80" s="32">
        <v>1</v>
      </c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5"/>
      <c r="AK80" s="35"/>
      <c r="AL80" s="35"/>
      <c r="AM80" s="34"/>
      <c r="AN80" s="36"/>
      <c r="AO80" s="36"/>
    </row>
    <row r="81" spans="1:41" x14ac:dyDescent="0.25">
      <c r="A81" s="32"/>
      <c r="B81" s="32"/>
      <c r="D81" s="32"/>
      <c r="E81" s="32"/>
      <c r="F81" s="32"/>
      <c r="G81" s="32"/>
      <c r="H81" s="32"/>
      <c r="I81" s="32" t="s">
        <v>185</v>
      </c>
      <c r="J81" s="32"/>
      <c r="K81" s="33" t="s">
        <v>93</v>
      </c>
      <c r="L81" s="32" t="s">
        <v>26</v>
      </c>
      <c r="M81" s="32" t="s">
        <v>216</v>
      </c>
      <c r="N81" s="32" t="s">
        <v>258</v>
      </c>
      <c r="O81" s="32"/>
      <c r="P81" s="32" t="s">
        <v>234</v>
      </c>
      <c r="Q81" s="32">
        <v>12</v>
      </c>
      <c r="R81" s="32"/>
      <c r="S81" s="32"/>
      <c r="T81" s="32" t="s">
        <v>214</v>
      </c>
      <c r="U81" s="32">
        <v>1</v>
      </c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5"/>
      <c r="AK81" s="35"/>
      <c r="AL81" s="35"/>
      <c r="AM81" s="34"/>
      <c r="AN81" s="36"/>
      <c r="AO81" s="36"/>
    </row>
    <row r="82" spans="1:41" x14ac:dyDescent="0.25">
      <c r="A82" s="32"/>
      <c r="B82" s="32"/>
      <c r="D82" s="32"/>
      <c r="E82" s="32"/>
      <c r="F82" s="32"/>
      <c r="G82" s="32"/>
      <c r="H82" s="32"/>
      <c r="I82" s="32" t="s">
        <v>42</v>
      </c>
      <c r="J82" s="32"/>
      <c r="K82" s="33" t="s">
        <v>93</v>
      </c>
      <c r="L82" s="32" t="s">
        <v>26</v>
      </c>
      <c r="M82" s="32" t="s">
        <v>216</v>
      </c>
      <c r="N82" s="32" t="s">
        <v>259</v>
      </c>
      <c r="O82" s="32"/>
      <c r="P82" s="32" t="s">
        <v>235</v>
      </c>
      <c r="Q82" s="32">
        <v>13</v>
      </c>
      <c r="R82" s="32"/>
      <c r="S82" s="32"/>
      <c r="T82" s="32" t="s">
        <v>214</v>
      </c>
      <c r="U82" s="32">
        <v>1</v>
      </c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5"/>
      <c r="AK82" s="35"/>
      <c r="AL82" s="35"/>
      <c r="AM82" s="34"/>
      <c r="AN82" s="36"/>
      <c r="AO82" s="36"/>
    </row>
    <row r="83" spans="1:41" x14ac:dyDescent="0.25">
      <c r="A83" s="32"/>
      <c r="B83" s="32"/>
      <c r="D83" s="32"/>
      <c r="E83" s="32"/>
      <c r="F83" s="32"/>
      <c r="G83" s="32"/>
      <c r="H83" s="32"/>
      <c r="I83" s="32" t="s">
        <v>43</v>
      </c>
      <c r="J83" s="32"/>
      <c r="K83" s="33" t="s">
        <v>93</v>
      </c>
      <c r="L83" s="32" t="s">
        <v>26</v>
      </c>
      <c r="M83" s="32" t="s">
        <v>216</v>
      </c>
      <c r="N83" s="32" t="s">
        <v>260</v>
      </c>
      <c r="O83" s="32"/>
      <c r="P83" s="32" t="s">
        <v>236</v>
      </c>
      <c r="Q83" s="32">
        <v>14</v>
      </c>
      <c r="R83" s="32"/>
      <c r="S83" s="32"/>
      <c r="T83" s="32" t="s">
        <v>214</v>
      </c>
      <c r="U83" s="32">
        <v>1</v>
      </c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5"/>
      <c r="AK83" s="35"/>
      <c r="AL83" s="35"/>
      <c r="AM83" s="34"/>
      <c r="AN83" s="36"/>
      <c r="AO83" s="36"/>
    </row>
    <row r="84" spans="1:41" x14ac:dyDescent="0.25">
      <c r="A84" s="32"/>
      <c r="B84" s="32"/>
      <c r="D84" s="32"/>
      <c r="E84" s="32"/>
      <c r="F84" s="32"/>
      <c r="G84" s="32"/>
      <c r="H84" s="32"/>
      <c r="I84" s="32" t="s">
        <v>120</v>
      </c>
      <c r="J84" s="32"/>
      <c r="K84" s="33" t="s">
        <v>93</v>
      </c>
      <c r="L84" s="32" t="s">
        <v>26</v>
      </c>
      <c r="M84" s="32" t="s">
        <v>216</v>
      </c>
      <c r="N84" s="32" t="s">
        <v>261</v>
      </c>
      <c r="O84" s="32"/>
      <c r="P84" s="32" t="s">
        <v>237</v>
      </c>
      <c r="Q84" s="32">
        <v>15</v>
      </c>
      <c r="R84" s="32"/>
      <c r="S84" s="32"/>
      <c r="T84" s="32" t="s">
        <v>214</v>
      </c>
      <c r="U84" s="32">
        <v>1</v>
      </c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5"/>
      <c r="AK84" s="35"/>
      <c r="AL84" s="35"/>
      <c r="AM84" s="34"/>
      <c r="AN84" s="36"/>
      <c r="AO84" s="36"/>
    </row>
    <row r="85" spans="1:41" x14ac:dyDescent="0.25">
      <c r="A85" s="32"/>
      <c r="B85" s="32"/>
      <c r="D85" s="32"/>
      <c r="E85" s="32"/>
      <c r="F85" s="32"/>
      <c r="G85" s="32"/>
      <c r="H85" s="32"/>
      <c r="I85" s="32" t="s">
        <v>121</v>
      </c>
      <c r="J85" s="32"/>
      <c r="K85" s="33" t="s">
        <v>93</v>
      </c>
      <c r="L85" s="32" t="s">
        <v>26</v>
      </c>
      <c r="M85" s="32" t="s">
        <v>216</v>
      </c>
      <c r="N85" s="32" t="s">
        <v>262</v>
      </c>
      <c r="O85" s="32"/>
      <c r="P85" s="32" t="s">
        <v>238</v>
      </c>
      <c r="Q85" s="32">
        <v>16</v>
      </c>
      <c r="R85" s="32"/>
      <c r="S85" s="32"/>
      <c r="T85" s="32" t="s">
        <v>214</v>
      </c>
      <c r="U85" s="32">
        <v>1</v>
      </c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5"/>
      <c r="AK85" s="35"/>
      <c r="AL85" s="35"/>
      <c r="AM85" s="34"/>
      <c r="AN85" s="36"/>
      <c r="AO85" s="36"/>
    </row>
    <row r="86" spans="1:41" x14ac:dyDescent="0.25">
      <c r="A86" s="32"/>
      <c r="B86" s="32"/>
      <c r="D86" s="32"/>
      <c r="E86" s="32"/>
      <c r="F86" s="32"/>
      <c r="G86" s="32"/>
      <c r="H86" s="32"/>
      <c r="J86" s="32"/>
      <c r="K86" s="33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5"/>
      <c r="AK86" s="35"/>
      <c r="AL86" s="35"/>
      <c r="AM86" s="34"/>
      <c r="AN86" s="36"/>
      <c r="AO86" s="36"/>
    </row>
    <row r="87" spans="1:41" x14ac:dyDescent="0.25">
      <c r="A87" s="32"/>
      <c r="B87" s="32"/>
      <c r="D87" s="32"/>
      <c r="E87" s="32"/>
      <c r="F87" s="32"/>
      <c r="G87" s="32"/>
      <c r="H87" s="32"/>
      <c r="I87" s="32" t="s">
        <v>122</v>
      </c>
      <c r="J87" s="32"/>
      <c r="K87" s="33" t="s">
        <v>93</v>
      </c>
      <c r="L87" s="32" t="s">
        <v>26</v>
      </c>
      <c r="M87" s="32" t="s">
        <v>263</v>
      </c>
      <c r="N87" s="32" t="s">
        <v>264</v>
      </c>
      <c r="O87" s="32"/>
      <c r="P87" s="32" t="s">
        <v>213</v>
      </c>
      <c r="Q87" s="32">
        <v>1</v>
      </c>
      <c r="R87" s="32"/>
      <c r="S87" s="32"/>
      <c r="T87" s="32" t="s">
        <v>214</v>
      </c>
      <c r="U87" s="32">
        <v>1</v>
      </c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5"/>
      <c r="AK87" s="35"/>
      <c r="AL87" s="35"/>
      <c r="AM87" s="34"/>
      <c r="AN87" s="36"/>
      <c r="AO87" s="36"/>
    </row>
    <row r="88" spans="1:41" x14ac:dyDescent="0.25">
      <c r="A88" s="32"/>
      <c r="B88" s="32"/>
      <c r="D88" s="32"/>
      <c r="E88" s="32"/>
      <c r="F88" s="32"/>
      <c r="G88" s="32"/>
      <c r="H88" s="32"/>
      <c r="I88" s="32" t="s">
        <v>46</v>
      </c>
      <c r="J88" s="32"/>
      <c r="K88" s="33" t="s">
        <v>93</v>
      </c>
      <c r="L88" s="32" t="s">
        <v>26</v>
      </c>
      <c r="M88" s="32" t="s">
        <v>263</v>
      </c>
      <c r="N88" s="32" t="s">
        <v>265</v>
      </c>
      <c r="O88" s="32"/>
      <c r="P88" s="32" t="s">
        <v>217</v>
      </c>
      <c r="Q88" s="32">
        <v>2</v>
      </c>
      <c r="R88" s="32"/>
      <c r="S88" s="32"/>
      <c r="T88" s="32" t="s">
        <v>214</v>
      </c>
      <c r="U88" s="32">
        <v>1</v>
      </c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5"/>
      <c r="AK88" s="35"/>
      <c r="AL88" s="35"/>
      <c r="AM88" s="34"/>
      <c r="AN88" s="36"/>
      <c r="AO88" s="36"/>
    </row>
    <row r="89" spans="1:41" x14ac:dyDescent="0.25">
      <c r="A89" s="32"/>
      <c r="B89" s="32"/>
      <c r="D89" s="32"/>
      <c r="E89" s="32"/>
      <c r="F89" s="32"/>
      <c r="G89" s="32"/>
      <c r="I89" s="32" t="s">
        <v>123</v>
      </c>
      <c r="J89" s="32"/>
      <c r="K89" s="33" t="s">
        <v>93</v>
      </c>
      <c r="L89" s="32" t="s">
        <v>26</v>
      </c>
      <c r="M89" s="32" t="s">
        <v>263</v>
      </c>
      <c r="N89" s="32" t="s">
        <v>266</v>
      </c>
      <c r="O89" s="32"/>
      <c r="P89" s="32" t="s">
        <v>219</v>
      </c>
      <c r="Q89" s="32">
        <v>3</v>
      </c>
      <c r="R89" s="32"/>
      <c r="S89" s="32"/>
      <c r="T89" s="32" t="s">
        <v>214</v>
      </c>
      <c r="U89" s="32">
        <v>1</v>
      </c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5"/>
      <c r="AK89" s="35"/>
      <c r="AL89" s="35"/>
      <c r="AM89" s="34"/>
      <c r="AN89" s="36"/>
      <c r="AO89" s="36"/>
    </row>
    <row r="90" spans="1:41" x14ac:dyDescent="0.25">
      <c r="A90" s="32"/>
      <c r="B90" s="32"/>
      <c r="D90" s="32"/>
      <c r="E90" s="32"/>
      <c r="F90" s="32"/>
      <c r="G90" s="32"/>
      <c r="I90" s="32" t="s">
        <v>124</v>
      </c>
      <c r="J90" s="32"/>
      <c r="K90" s="33" t="s">
        <v>93</v>
      </c>
      <c r="L90" s="32" t="s">
        <v>26</v>
      </c>
      <c r="M90" s="32" t="s">
        <v>263</v>
      </c>
      <c r="N90" s="32" t="s">
        <v>267</v>
      </c>
      <c r="O90" s="32"/>
      <c r="P90" s="32" t="s">
        <v>221</v>
      </c>
      <c r="Q90" s="32">
        <v>4</v>
      </c>
      <c r="R90" s="32"/>
      <c r="S90" s="32"/>
      <c r="T90" s="32" t="s">
        <v>214</v>
      </c>
      <c r="U90" s="32">
        <v>1</v>
      </c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5"/>
      <c r="AK90" s="35"/>
      <c r="AL90" s="35"/>
      <c r="AM90" s="34"/>
      <c r="AN90" s="36"/>
      <c r="AO90" s="36"/>
    </row>
    <row r="91" spans="1:41" x14ac:dyDescent="0.25">
      <c r="A91" s="32"/>
      <c r="B91" s="32"/>
      <c r="D91" s="32"/>
      <c r="E91" s="32"/>
      <c r="F91" s="32"/>
      <c r="G91" s="32"/>
      <c r="H91" s="32" t="s">
        <v>94</v>
      </c>
      <c r="J91" s="32"/>
      <c r="K91" s="33"/>
      <c r="L91" s="32" t="s">
        <v>26</v>
      </c>
      <c r="M91" s="32" t="s">
        <v>263</v>
      </c>
      <c r="N91" s="32" t="s">
        <v>316</v>
      </c>
      <c r="O91" s="32"/>
      <c r="P91" s="32" t="s">
        <v>223</v>
      </c>
      <c r="Q91" s="32">
        <v>5</v>
      </c>
      <c r="R91" s="32"/>
      <c r="S91" s="32"/>
      <c r="T91" s="32" t="s">
        <v>214</v>
      </c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5"/>
      <c r="AK91" s="35"/>
      <c r="AL91" s="35"/>
      <c r="AM91" s="34"/>
      <c r="AN91" s="36"/>
      <c r="AO91" s="36"/>
    </row>
    <row r="92" spans="1:41" x14ac:dyDescent="0.25">
      <c r="A92" s="32"/>
      <c r="B92" s="32"/>
      <c r="D92" s="32"/>
      <c r="E92" s="32"/>
      <c r="F92" s="32"/>
      <c r="G92" s="32"/>
      <c r="H92" s="32" t="s">
        <v>94</v>
      </c>
      <c r="J92" s="32"/>
      <c r="K92" s="33"/>
      <c r="L92" s="32" t="s">
        <v>26</v>
      </c>
      <c r="M92" s="32" t="s">
        <v>263</v>
      </c>
      <c r="N92" s="32" t="s">
        <v>317</v>
      </c>
      <c r="O92" s="32"/>
      <c r="P92" s="32" t="s">
        <v>225</v>
      </c>
      <c r="Q92" s="32">
        <v>6</v>
      </c>
      <c r="R92" s="32"/>
      <c r="S92" s="32"/>
      <c r="T92" s="32" t="s">
        <v>214</v>
      </c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5"/>
      <c r="AK92" s="35"/>
      <c r="AL92" s="35"/>
      <c r="AM92" s="34"/>
      <c r="AN92" s="36"/>
      <c r="AO92" s="36"/>
    </row>
    <row r="93" spans="1:41" x14ac:dyDescent="0.25">
      <c r="A93" s="32"/>
      <c r="B93" s="32"/>
      <c r="D93" s="32"/>
      <c r="E93" s="32"/>
      <c r="F93" s="32"/>
      <c r="G93" s="32"/>
      <c r="H93" s="32" t="s">
        <v>94</v>
      </c>
      <c r="J93" s="32"/>
      <c r="K93" s="33"/>
      <c r="L93" s="32" t="s">
        <v>26</v>
      </c>
      <c r="M93" s="32" t="s">
        <v>263</v>
      </c>
      <c r="N93" s="32" t="s">
        <v>318</v>
      </c>
      <c r="O93" s="32"/>
      <c r="P93" s="32" t="s">
        <v>227</v>
      </c>
      <c r="Q93" s="32">
        <v>7</v>
      </c>
      <c r="R93" s="32"/>
      <c r="S93" s="32"/>
      <c r="T93" s="32" t="s">
        <v>214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5"/>
      <c r="AK93" s="35"/>
      <c r="AL93" s="35"/>
      <c r="AM93" s="34"/>
      <c r="AN93" s="36"/>
      <c r="AO93" s="36"/>
    </row>
    <row r="94" spans="1:41" x14ac:dyDescent="0.25">
      <c r="A94" s="32"/>
      <c r="B94" s="32"/>
      <c r="D94" s="32"/>
      <c r="E94" s="32"/>
      <c r="F94" s="32"/>
      <c r="G94" s="32"/>
      <c r="H94" s="32" t="s">
        <v>94</v>
      </c>
      <c r="J94" s="32"/>
      <c r="K94" s="33"/>
      <c r="L94" s="32" t="s">
        <v>26</v>
      </c>
      <c r="M94" s="32" t="s">
        <v>263</v>
      </c>
      <c r="N94" s="32" t="s">
        <v>319</v>
      </c>
      <c r="O94" s="32"/>
      <c r="P94" s="32" t="s">
        <v>229</v>
      </c>
      <c r="Q94" s="32">
        <v>8</v>
      </c>
      <c r="R94" s="32"/>
      <c r="S94" s="32"/>
      <c r="T94" s="32" t="s">
        <v>214</v>
      </c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5"/>
      <c r="AK94" s="35"/>
      <c r="AL94" s="35"/>
      <c r="AM94" s="34"/>
      <c r="AN94" s="36"/>
      <c r="AO94" s="36"/>
    </row>
    <row r="95" spans="1:41" x14ac:dyDescent="0.25">
      <c r="A95" s="32"/>
      <c r="B95" s="32"/>
      <c r="D95" s="32"/>
      <c r="E95" s="32"/>
      <c r="F95" s="32"/>
      <c r="G95" s="32"/>
      <c r="H95" s="32" t="s">
        <v>94</v>
      </c>
      <c r="J95" s="32"/>
      <c r="K95" s="33"/>
      <c r="L95" s="32" t="s">
        <v>26</v>
      </c>
      <c r="M95" s="32" t="s">
        <v>263</v>
      </c>
      <c r="N95" s="32" t="s">
        <v>320</v>
      </c>
      <c r="O95" s="32"/>
      <c r="P95" s="32" t="s">
        <v>231</v>
      </c>
      <c r="Q95" s="32">
        <v>9</v>
      </c>
      <c r="R95" s="32"/>
      <c r="S95" s="32"/>
      <c r="T95" s="32" t="s">
        <v>214</v>
      </c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5"/>
      <c r="AK95" s="35"/>
      <c r="AL95" s="35"/>
      <c r="AM95" s="34"/>
      <c r="AN95" s="36"/>
      <c r="AO95" s="36"/>
    </row>
    <row r="96" spans="1:41" x14ac:dyDescent="0.25">
      <c r="A96" s="32"/>
      <c r="B96" s="32"/>
      <c r="D96" s="32"/>
      <c r="E96" s="32"/>
      <c r="F96" s="32"/>
      <c r="G96" s="32"/>
      <c r="H96" s="32" t="s">
        <v>94</v>
      </c>
      <c r="J96" s="32"/>
      <c r="K96" s="33"/>
      <c r="L96" s="32" t="s">
        <v>26</v>
      </c>
      <c r="M96" s="32" t="s">
        <v>263</v>
      </c>
      <c r="N96" s="32" t="s">
        <v>321</v>
      </c>
      <c r="O96" s="32"/>
      <c r="P96" s="32" t="s">
        <v>232</v>
      </c>
      <c r="Q96" s="32">
        <v>10</v>
      </c>
      <c r="R96" s="32"/>
      <c r="S96" s="32"/>
      <c r="T96" s="32" t="s">
        <v>214</v>
      </c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5"/>
      <c r="AK96" s="35"/>
      <c r="AL96" s="35"/>
      <c r="AM96" s="34"/>
      <c r="AN96" s="36"/>
      <c r="AO96" s="36"/>
    </row>
    <row r="97" spans="1:41" x14ac:dyDescent="0.25">
      <c r="A97" s="32"/>
      <c r="B97" s="32"/>
      <c r="D97" s="32"/>
      <c r="E97" s="32"/>
      <c r="F97" s="32"/>
      <c r="G97" s="32"/>
      <c r="H97" s="32" t="s">
        <v>94</v>
      </c>
      <c r="J97" s="32"/>
      <c r="K97" s="33"/>
      <c r="L97" s="32" t="s">
        <v>26</v>
      </c>
      <c r="M97" s="32" t="s">
        <v>263</v>
      </c>
      <c r="N97" s="32" t="s">
        <v>322</v>
      </c>
      <c r="O97" s="32"/>
      <c r="P97" s="32" t="s">
        <v>233</v>
      </c>
      <c r="Q97" s="32">
        <v>11</v>
      </c>
      <c r="R97" s="32"/>
      <c r="S97" s="32"/>
      <c r="T97" s="32" t="s">
        <v>214</v>
      </c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5"/>
      <c r="AK97" s="35"/>
      <c r="AL97" s="35"/>
      <c r="AM97" s="34"/>
      <c r="AN97" s="36"/>
      <c r="AO97" s="36"/>
    </row>
    <row r="98" spans="1:41" x14ac:dyDescent="0.25">
      <c r="A98" s="32"/>
      <c r="B98" s="32"/>
      <c r="D98" s="32"/>
      <c r="E98" s="32"/>
      <c r="F98" s="32"/>
      <c r="G98" s="32"/>
      <c r="H98" s="32" t="s">
        <v>94</v>
      </c>
      <c r="J98" s="32"/>
      <c r="K98" s="33"/>
      <c r="L98" s="32" t="s">
        <v>26</v>
      </c>
      <c r="M98" s="32" t="s">
        <v>263</v>
      </c>
      <c r="N98" s="32" t="s">
        <v>323</v>
      </c>
      <c r="O98" s="32"/>
      <c r="P98" s="32" t="s">
        <v>234</v>
      </c>
      <c r="Q98" s="32">
        <v>12</v>
      </c>
      <c r="R98" s="32"/>
      <c r="S98" s="32"/>
      <c r="T98" s="32" t="s">
        <v>214</v>
      </c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5"/>
      <c r="AK98" s="35"/>
      <c r="AL98" s="35"/>
      <c r="AM98" s="34"/>
      <c r="AN98" s="36"/>
      <c r="AO98" s="36"/>
    </row>
    <row r="99" spans="1:41" x14ac:dyDescent="0.25">
      <c r="A99" s="32"/>
      <c r="B99" s="32"/>
      <c r="D99" s="32"/>
      <c r="E99" s="32"/>
      <c r="F99" s="32"/>
      <c r="G99" s="32"/>
      <c r="H99" s="32" t="s">
        <v>94</v>
      </c>
      <c r="J99" s="32"/>
      <c r="K99" s="33"/>
      <c r="L99" s="32" t="s">
        <v>26</v>
      </c>
      <c r="M99" s="32" t="s">
        <v>263</v>
      </c>
      <c r="N99" s="32" t="s">
        <v>324</v>
      </c>
      <c r="O99" s="32"/>
      <c r="P99" s="32" t="s">
        <v>235</v>
      </c>
      <c r="Q99" s="32">
        <v>13</v>
      </c>
      <c r="R99" s="32"/>
      <c r="S99" s="32"/>
      <c r="T99" s="32" t="s">
        <v>214</v>
      </c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5"/>
      <c r="AK99" s="35"/>
      <c r="AL99" s="35"/>
      <c r="AM99" s="34"/>
      <c r="AN99" s="36"/>
      <c r="AO99" s="36"/>
    </row>
    <row r="100" spans="1:41" x14ac:dyDescent="0.25">
      <c r="A100" s="32"/>
      <c r="B100" s="32"/>
      <c r="D100" s="32"/>
      <c r="E100" s="32"/>
      <c r="F100" s="32"/>
      <c r="G100" s="32"/>
      <c r="H100" s="32" t="s">
        <v>94</v>
      </c>
      <c r="J100" s="32"/>
      <c r="K100" s="33"/>
      <c r="L100" s="32" t="s">
        <v>26</v>
      </c>
      <c r="M100" s="32" t="s">
        <v>263</v>
      </c>
      <c r="N100" s="32" t="s">
        <v>325</v>
      </c>
      <c r="O100" s="32"/>
      <c r="P100" s="32" t="s">
        <v>236</v>
      </c>
      <c r="Q100" s="32">
        <v>14</v>
      </c>
      <c r="R100" s="32"/>
      <c r="S100" s="32"/>
      <c r="T100" s="32" t="s">
        <v>214</v>
      </c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5"/>
      <c r="AK100" s="35"/>
      <c r="AL100" s="35"/>
      <c r="AM100" s="34"/>
      <c r="AN100" s="36"/>
      <c r="AO100" s="36"/>
    </row>
    <row r="101" spans="1:41" x14ac:dyDescent="0.25">
      <c r="A101" s="32"/>
      <c r="B101" s="32"/>
      <c r="D101" s="32"/>
      <c r="E101" s="32"/>
      <c r="F101" s="32"/>
      <c r="G101" s="32"/>
      <c r="H101" s="32" t="s">
        <v>94</v>
      </c>
      <c r="J101" s="32"/>
      <c r="K101" s="33"/>
      <c r="L101" s="32" t="s">
        <v>26</v>
      </c>
      <c r="M101" s="32" t="s">
        <v>263</v>
      </c>
      <c r="N101" s="32" t="s">
        <v>326</v>
      </c>
      <c r="O101" s="32"/>
      <c r="P101" s="32" t="s">
        <v>237</v>
      </c>
      <c r="Q101" s="32">
        <v>15</v>
      </c>
      <c r="R101" s="32"/>
      <c r="S101" s="32"/>
      <c r="T101" s="32" t="s">
        <v>214</v>
      </c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5"/>
      <c r="AK101" s="35"/>
      <c r="AL101" s="35"/>
      <c r="AM101" s="34"/>
      <c r="AN101" s="36"/>
      <c r="AO101" s="36"/>
    </row>
    <row r="102" spans="1:41" x14ac:dyDescent="0.25">
      <c r="A102" s="32"/>
      <c r="B102" s="32"/>
      <c r="D102" s="32"/>
      <c r="E102" s="32"/>
      <c r="F102" s="32"/>
      <c r="G102" s="32"/>
      <c r="H102" s="32" t="s">
        <v>94</v>
      </c>
      <c r="J102" s="32"/>
      <c r="K102" s="33"/>
      <c r="L102" s="32" t="s">
        <v>26</v>
      </c>
      <c r="M102" s="32" t="s">
        <v>263</v>
      </c>
      <c r="N102" s="32" t="s">
        <v>327</v>
      </c>
      <c r="O102" s="32"/>
      <c r="P102" s="32" t="s">
        <v>238</v>
      </c>
      <c r="Q102" s="32">
        <v>16</v>
      </c>
      <c r="R102" s="32"/>
      <c r="S102" s="32"/>
      <c r="T102" s="32" t="s">
        <v>214</v>
      </c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5"/>
      <c r="AK102" s="35"/>
      <c r="AL102" s="35"/>
      <c r="AM102" s="34"/>
      <c r="AN102" s="36"/>
      <c r="AO102" s="36"/>
    </row>
    <row r="103" spans="1:41" x14ac:dyDescent="0.25">
      <c r="A103" s="32"/>
      <c r="B103" s="32"/>
      <c r="C103" s="32"/>
      <c r="D103" s="32"/>
      <c r="E103" s="32"/>
      <c r="F103" s="32"/>
      <c r="G103" s="32"/>
      <c r="H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5"/>
      <c r="AK103" s="35"/>
      <c r="AL103" s="35"/>
      <c r="AM103" s="34"/>
      <c r="AN103" s="36"/>
      <c r="AO103" s="36"/>
    </row>
    <row r="104" spans="1:41" x14ac:dyDescent="0.25">
      <c r="A104" s="32"/>
      <c r="B104" s="32"/>
      <c r="D104" s="32"/>
      <c r="E104" s="32"/>
      <c r="F104" s="32"/>
      <c r="G104" s="32"/>
      <c r="H104" s="32" t="s">
        <v>94</v>
      </c>
      <c r="I104" s="32"/>
      <c r="J104" s="32"/>
      <c r="K104" s="32"/>
      <c r="L104" s="32" t="s">
        <v>26</v>
      </c>
      <c r="M104" s="32" t="s">
        <v>306</v>
      </c>
      <c r="N104" s="32" t="s">
        <v>328</v>
      </c>
      <c r="O104" s="32"/>
      <c r="P104" s="32" t="s">
        <v>213</v>
      </c>
      <c r="Q104" s="32">
        <v>1</v>
      </c>
      <c r="R104" s="32"/>
      <c r="S104" s="32"/>
      <c r="T104" s="32" t="s">
        <v>214</v>
      </c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5"/>
      <c r="AK104" s="35"/>
      <c r="AL104" s="35"/>
      <c r="AM104" s="34"/>
      <c r="AN104" s="36"/>
      <c r="AO104" s="36"/>
    </row>
    <row r="105" spans="1:41" x14ac:dyDescent="0.25">
      <c r="A105" s="32"/>
      <c r="B105" s="32"/>
      <c r="D105" s="32"/>
      <c r="E105" s="32"/>
      <c r="F105" s="32"/>
      <c r="G105" s="32"/>
      <c r="H105" s="32" t="s">
        <v>94</v>
      </c>
      <c r="J105" s="32"/>
      <c r="K105" s="32"/>
      <c r="L105" s="32" t="s">
        <v>26</v>
      </c>
      <c r="M105" s="32" t="s">
        <v>306</v>
      </c>
      <c r="N105" s="32" t="s">
        <v>329</v>
      </c>
      <c r="O105" s="32"/>
      <c r="P105" s="32" t="s">
        <v>217</v>
      </c>
      <c r="Q105" s="32">
        <v>2</v>
      </c>
      <c r="R105" s="32"/>
      <c r="S105" s="32"/>
      <c r="T105" s="32" t="s">
        <v>214</v>
      </c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5"/>
      <c r="AK105" s="35"/>
      <c r="AL105" s="35"/>
      <c r="AM105" s="34"/>
      <c r="AN105" s="36"/>
      <c r="AO105" s="36"/>
    </row>
    <row r="106" spans="1:41" x14ac:dyDescent="0.25">
      <c r="A106" s="32"/>
      <c r="B106" s="32"/>
      <c r="D106" s="32"/>
      <c r="E106" s="32"/>
      <c r="F106" s="32"/>
      <c r="G106" s="32"/>
      <c r="H106" s="32" t="s">
        <v>94</v>
      </c>
      <c r="J106" s="32"/>
      <c r="K106" s="32"/>
      <c r="L106" s="32" t="s">
        <v>26</v>
      </c>
      <c r="M106" s="32" t="s">
        <v>306</v>
      </c>
      <c r="N106" s="32" t="s">
        <v>330</v>
      </c>
      <c r="O106" s="32"/>
      <c r="P106" s="32" t="s">
        <v>219</v>
      </c>
      <c r="Q106" s="32">
        <v>3</v>
      </c>
      <c r="R106" s="32"/>
      <c r="S106" s="32"/>
      <c r="T106" s="32" t="s">
        <v>214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5"/>
      <c r="AK106" s="35"/>
      <c r="AL106" s="35"/>
      <c r="AM106" s="34"/>
      <c r="AN106" s="36"/>
      <c r="AO106" s="36"/>
    </row>
    <row r="107" spans="1:41" x14ac:dyDescent="0.25">
      <c r="A107" s="32"/>
      <c r="B107" s="32"/>
      <c r="D107" s="32"/>
      <c r="E107" s="32"/>
      <c r="F107" s="32"/>
      <c r="G107" s="32"/>
      <c r="H107" s="32" t="s">
        <v>94</v>
      </c>
      <c r="J107" s="32"/>
      <c r="K107" s="32"/>
      <c r="L107" s="32" t="s">
        <v>26</v>
      </c>
      <c r="M107" s="32" t="s">
        <v>306</v>
      </c>
      <c r="N107" s="32" t="s">
        <v>331</v>
      </c>
      <c r="O107" s="32"/>
      <c r="P107" s="32" t="s">
        <v>221</v>
      </c>
      <c r="Q107" s="32">
        <v>4</v>
      </c>
      <c r="R107" s="32"/>
      <c r="S107" s="32"/>
      <c r="T107" s="32" t="s">
        <v>214</v>
      </c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5"/>
      <c r="AK107" s="35"/>
      <c r="AL107" s="35"/>
      <c r="AM107" s="34"/>
      <c r="AN107" s="36"/>
      <c r="AO107" s="36"/>
    </row>
    <row r="108" spans="1:41" x14ac:dyDescent="0.25">
      <c r="A108" s="32"/>
      <c r="B108" s="32"/>
      <c r="D108" s="32"/>
      <c r="E108" s="32"/>
      <c r="F108" s="32"/>
      <c r="G108" s="32"/>
      <c r="H108" s="32" t="s">
        <v>94</v>
      </c>
      <c r="J108" s="32"/>
      <c r="K108" s="32"/>
      <c r="L108" s="32" t="s">
        <v>26</v>
      </c>
      <c r="M108" s="32" t="s">
        <v>306</v>
      </c>
      <c r="N108" s="32" t="s">
        <v>332</v>
      </c>
      <c r="O108" s="32"/>
      <c r="P108" s="32" t="s">
        <v>223</v>
      </c>
      <c r="Q108" s="32">
        <v>5</v>
      </c>
      <c r="R108" s="32"/>
      <c r="S108" s="32"/>
      <c r="T108" s="32" t="s">
        <v>214</v>
      </c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5"/>
      <c r="AK108" s="35"/>
      <c r="AL108" s="35"/>
      <c r="AM108" s="34"/>
      <c r="AN108" s="36"/>
      <c r="AO108" s="36"/>
    </row>
    <row r="109" spans="1:41" x14ac:dyDescent="0.25">
      <c r="A109" s="32"/>
      <c r="B109" s="32"/>
      <c r="D109" s="32"/>
      <c r="E109" s="32"/>
      <c r="F109" s="32"/>
      <c r="G109" s="32"/>
      <c r="H109" s="32" t="s">
        <v>94</v>
      </c>
      <c r="J109" s="32"/>
      <c r="K109" s="32"/>
      <c r="L109" s="32" t="s">
        <v>26</v>
      </c>
      <c r="M109" s="32" t="s">
        <v>306</v>
      </c>
      <c r="N109" s="32" t="s">
        <v>333</v>
      </c>
      <c r="O109" s="32"/>
      <c r="P109" s="32" t="s">
        <v>225</v>
      </c>
      <c r="Q109" s="32">
        <v>6</v>
      </c>
      <c r="R109" s="32"/>
      <c r="S109" s="32"/>
      <c r="T109" s="32" t="s">
        <v>214</v>
      </c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5"/>
      <c r="AK109" s="35"/>
      <c r="AL109" s="35"/>
      <c r="AM109" s="34"/>
      <c r="AN109" s="36"/>
      <c r="AO109" s="36"/>
    </row>
    <row r="110" spans="1:41" x14ac:dyDescent="0.25">
      <c r="A110" s="32"/>
      <c r="B110" s="32"/>
      <c r="D110" s="32"/>
      <c r="E110" s="32"/>
      <c r="F110" s="32"/>
      <c r="G110" s="32"/>
      <c r="H110" s="32" t="s">
        <v>94</v>
      </c>
      <c r="J110" s="32"/>
      <c r="K110" s="32"/>
      <c r="L110" s="32" t="s">
        <v>26</v>
      </c>
      <c r="M110" s="32" t="s">
        <v>306</v>
      </c>
      <c r="N110" s="32" t="s">
        <v>334</v>
      </c>
      <c r="O110" s="32"/>
      <c r="P110" s="32" t="s">
        <v>227</v>
      </c>
      <c r="Q110" s="32">
        <v>7</v>
      </c>
      <c r="R110" s="32"/>
      <c r="S110" s="32"/>
      <c r="T110" s="32" t="s">
        <v>214</v>
      </c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5"/>
      <c r="AK110" s="35"/>
      <c r="AL110" s="35"/>
      <c r="AM110" s="34"/>
      <c r="AN110" s="36"/>
      <c r="AO110" s="36"/>
    </row>
    <row r="111" spans="1:41" x14ac:dyDescent="0.25">
      <c r="A111" s="32"/>
      <c r="B111" s="32"/>
      <c r="D111" s="32"/>
      <c r="E111" s="32"/>
      <c r="F111" s="32"/>
      <c r="G111" s="32"/>
      <c r="H111" s="32" t="s">
        <v>94</v>
      </c>
      <c r="J111" s="32"/>
      <c r="K111" s="32"/>
      <c r="L111" s="32" t="s">
        <v>26</v>
      </c>
      <c r="M111" s="32" t="s">
        <v>306</v>
      </c>
      <c r="N111" s="32" t="s">
        <v>335</v>
      </c>
      <c r="O111" s="32"/>
      <c r="P111" s="32" t="s">
        <v>229</v>
      </c>
      <c r="Q111" s="32">
        <v>8</v>
      </c>
      <c r="R111" s="32"/>
      <c r="S111" s="32"/>
      <c r="T111" s="32" t="s">
        <v>214</v>
      </c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5"/>
      <c r="AK111" s="35"/>
      <c r="AL111" s="35"/>
      <c r="AM111" s="34"/>
      <c r="AN111" s="36"/>
      <c r="AO111" s="36"/>
    </row>
    <row r="112" spans="1:41" x14ac:dyDescent="0.25">
      <c r="A112" s="32"/>
      <c r="B112" s="32"/>
      <c r="D112" s="32"/>
      <c r="E112" s="32"/>
      <c r="F112" s="32"/>
      <c r="G112" s="32"/>
      <c r="H112" s="32" t="s">
        <v>94</v>
      </c>
      <c r="J112" s="32"/>
      <c r="K112" s="32"/>
      <c r="L112" s="32" t="s">
        <v>26</v>
      </c>
      <c r="M112" s="32" t="s">
        <v>306</v>
      </c>
      <c r="N112" s="32" t="s">
        <v>336</v>
      </c>
      <c r="O112" s="32"/>
      <c r="P112" s="32" t="s">
        <v>231</v>
      </c>
      <c r="Q112" s="32">
        <v>9</v>
      </c>
      <c r="R112" s="32"/>
      <c r="S112" s="32"/>
      <c r="T112" s="32" t="s">
        <v>214</v>
      </c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5"/>
      <c r="AK112" s="35"/>
      <c r="AL112" s="35"/>
      <c r="AM112" s="34"/>
      <c r="AN112" s="36"/>
      <c r="AO112" s="36"/>
    </row>
    <row r="113" spans="1:41" x14ac:dyDescent="0.25">
      <c r="A113" s="32"/>
      <c r="B113" s="32"/>
      <c r="D113" s="32"/>
      <c r="E113" s="32"/>
      <c r="F113" s="32"/>
      <c r="G113" s="32"/>
      <c r="H113" s="32" t="s">
        <v>94</v>
      </c>
      <c r="J113" s="32"/>
      <c r="K113" s="32"/>
      <c r="L113" s="32" t="s">
        <v>26</v>
      </c>
      <c r="M113" s="32" t="s">
        <v>306</v>
      </c>
      <c r="N113" s="32" t="s">
        <v>337</v>
      </c>
      <c r="O113" s="32"/>
      <c r="P113" s="32" t="s">
        <v>232</v>
      </c>
      <c r="Q113" s="32">
        <v>10</v>
      </c>
      <c r="R113" s="32"/>
      <c r="S113" s="32"/>
      <c r="T113" s="32" t="s">
        <v>214</v>
      </c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5"/>
      <c r="AK113" s="35"/>
      <c r="AL113" s="35"/>
      <c r="AM113" s="34"/>
      <c r="AN113" s="36"/>
      <c r="AO113" s="36"/>
    </row>
    <row r="114" spans="1:41" x14ac:dyDescent="0.25">
      <c r="A114" s="32"/>
      <c r="B114" s="32"/>
      <c r="D114" s="32"/>
      <c r="E114" s="32"/>
      <c r="F114" s="32"/>
      <c r="G114" s="32"/>
      <c r="H114" s="32" t="s">
        <v>94</v>
      </c>
      <c r="J114" s="32"/>
      <c r="K114" s="32"/>
      <c r="L114" s="32" t="s">
        <v>26</v>
      </c>
      <c r="M114" s="32" t="s">
        <v>306</v>
      </c>
      <c r="N114" s="32" t="s">
        <v>338</v>
      </c>
      <c r="O114" s="32"/>
      <c r="P114" s="32" t="s">
        <v>233</v>
      </c>
      <c r="Q114" s="32">
        <v>11</v>
      </c>
      <c r="R114" s="32"/>
      <c r="S114" s="32"/>
      <c r="T114" s="32" t="s">
        <v>214</v>
      </c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5"/>
      <c r="AK114" s="35"/>
      <c r="AL114" s="35"/>
      <c r="AM114" s="34"/>
      <c r="AN114" s="36"/>
      <c r="AO114" s="36"/>
    </row>
    <row r="115" spans="1:41" x14ac:dyDescent="0.25">
      <c r="A115" s="32"/>
      <c r="B115" s="32"/>
      <c r="D115" s="32"/>
      <c r="E115" s="32"/>
      <c r="F115" s="32"/>
      <c r="G115" s="32"/>
      <c r="H115" s="32" t="s">
        <v>94</v>
      </c>
      <c r="J115" s="32"/>
      <c r="K115" s="32"/>
      <c r="L115" s="32" t="s">
        <v>26</v>
      </c>
      <c r="M115" s="32" t="s">
        <v>306</v>
      </c>
      <c r="N115" s="32" t="s">
        <v>339</v>
      </c>
      <c r="O115" s="32"/>
      <c r="P115" s="32" t="s">
        <v>234</v>
      </c>
      <c r="Q115" s="32">
        <v>12</v>
      </c>
      <c r="R115" s="32"/>
      <c r="S115" s="32"/>
      <c r="T115" s="32" t="s">
        <v>214</v>
      </c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5"/>
      <c r="AK115" s="35"/>
      <c r="AL115" s="35"/>
      <c r="AM115" s="34"/>
      <c r="AN115" s="36"/>
      <c r="AO115" s="36"/>
    </row>
    <row r="116" spans="1:41" x14ac:dyDescent="0.25">
      <c r="A116" s="32"/>
      <c r="B116" s="32"/>
      <c r="D116" s="32"/>
      <c r="E116" s="32"/>
      <c r="F116" s="32"/>
      <c r="G116" s="32"/>
      <c r="H116" s="32" t="s">
        <v>94</v>
      </c>
      <c r="J116" s="32"/>
      <c r="K116" s="32"/>
      <c r="L116" s="32" t="s">
        <v>26</v>
      </c>
      <c r="M116" s="32" t="s">
        <v>306</v>
      </c>
      <c r="N116" s="32" t="s">
        <v>340</v>
      </c>
      <c r="O116" s="32"/>
      <c r="P116" s="32" t="s">
        <v>235</v>
      </c>
      <c r="Q116" s="32">
        <v>13</v>
      </c>
      <c r="R116" s="32"/>
      <c r="S116" s="32"/>
      <c r="T116" s="32" t="s">
        <v>214</v>
      </c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5"/>
      <c r="AK116" s="35"/>
      <c r="AL116" s="35"/>
      <c r="AM116" s="34"/>
      <c r="AN116" s="36"/>
      <c r="AO116" s="36"/>
    </row>
    <row r="117" spans="1:41" x14ac:dyDescent="0.25">
      <c r="A117" s="32"/>
      <c r="B117" s="32"/>
      <c r="D117" s="32"/>
      <c r="E117" s="32"/>
      <c r="F117" s="32"/>
      <c r="G117" s="32"/>
      <c r="H117" s="32" t="s">
        <v>94</v>
      </c>
      <c r="J117" s="32"/>
      <c r="K117" s="32"/>
      <c r="L117" s="32" t="s">
        <v>26</v>
      </c>
      <c r="M117" s="32" t="s">
        <v>306</v>
      </c>
      <c r="N117" s="32" t="s">
        <v>341</v>
      </c>
      <c r="O117" s="32"/>
      <c r="P117" s="32" t="s">
        <v>236</v>
      </c>
      <c r="Q117" s="32">
        <v>14</v>
      </c>
      <c r="R117" s="32"/>
      <c r="S117" s="32"/>
      <c r="T117" s="32" t="s">
        <v>214</v>
      </c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5"/>
      <c r="AK117" s="35"/>
      <c r="AL117" s="35"/>
      <c r="AM117" s="34"/>
      <c r="AN117" s="36"/>
      <c r="AO117" s="36"/>
    </row>
    <row r="118" spans="1:41" x14ac:dyDescent="0.25">
      <c r="A118" s="32"/>
      <c r="B118" s="32"/>
      <c r="D118" s="32"/>
      <c r="E118" s="32"/>
      <c r="F118" s="32"/>
      <c r="G118" s="32"/>
      <c r="H118" s="32" t="s">
        <v>94</v>
      </c>
      <c r="J118" s="32"/>
      <c r="K118" s="32"/>
      <c r="L118" s="32" t="s">
        <v>26</v>
      </c>
      <c r="M118" s="32" t="s">
        <v>306</v>
      </c>
      <c r="N118" s="32" t="s">
        <v>342</v>
      </c>
      <c r="O118" s="32"/>
      <c r="P118" s="32" t="s">
        <v>237</v>
      </c>
      <c r="Q118" s="32">
        <v>15</v>
      </c>
      <c r="R118" s="32"/>
      <c r="S118" s="32"/>
      <c r="T118" s="32" t="s">
        <v>214</v>
      </c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5"/>
      <c r="AK118" s="35"/>
      <c r="AL118" s="35"/>
      <c r="AM118" s="34"/>
      <c r="AN118" s="36"/>
      <c r="AO118" s="36"/>
    </row>
    <row r="119" spans="1:41" x14ac:dyDescent="0.25">
      <c r="A119" s="32"/>
      <c r="B119" s="32"/>
      <c r="D119" s="32"/>
      <c r="E119" s="32"/>
      <c r="F119" s="32"/>
      <c r="G119" s="32"/>
      <c r="H119" s="32" t="s">
        <v>94</v>
      </c>
      <c r="J119" s="32"/>
      <c r="K119" s="32"/>
      <c r="L119" s="32" t="s">
        <v>26</v>
      </c>
      <c r="M119" s="32" t="s">
        <v>306</v>
      </c>
      <c r="N119" s="32" t="s">
        <v>343</v>
      </c>
      <c r="O119" s="32"/>
      <c r="P119" s="32" t="s">
        <v>238</v>
      </c>
      <c r="Q119" s="32">
        <v>16</v>
      </c>
      <c r="R119" s="32"/>
      <c r="S119" s="32"/>
      <c r="T119" s="32" t="s">
        <v>214</v>
      </c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5"/>
      <c r="AK119" s="35"/>
      <c r="AL119" s="35"/>
      <c r="AM119" s="34"/>
      <c r="AN119" s="36"/>
      <c r="AO119" s="36"/>
    </row>
    <row r="120" spans="1:41" x14ac:dyDescent="0.25">
      <c r="A120" s="32"/>
      <c r="B120" s="32"/>
      <c r="C120" s="32"/>
      <c r="D120" s="32"/>
      <c r="E120" s="32"/>
      <c r="F120" s="32"/>
      <c r="G120" s="32"/>
      <c r="H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5"/>
      <c r="AK120" s="35"/>
      <c r="AL120" s="35"/>
      <c r="AM120" s="34"/>
      <c r="AN120" s="36"/>
      <c r="AO120" s="36"/>
    </row>
    <row r="121" spans="1:41" x14ac:dyDescent="0.25">
      <c r="A121" s="32"/>
      <c r="B121" s="32"/>
      <c r="D121" s="32"/>
      <c r="E121" s="32"/>
      <c r="F121" s="32"/>
      <c r="G121" s="32"/>
      <c r="H121" s="32"/>
      <c r="I121" s="32" t="s">
        <v>135</v>
      </c>
      <c r="J121" s="32"/>
      <c r="K121" s="32" t="s">
        <v>95</v>
      </c>
      <c r="L121" s="32" t="s">
        <v>26</v>
      </c>
      <c r="M121" s="32" t="s">
        <v>268</v>
      </c>
      <c r="N121" s="32" t="s">
        <v>270</v>
      </c>
      <c r="O121" s="32"/>
      <c r="P121" s="32" t="s">
        <v>269</v>
      </c>
      <c r="Q121" s="32">
        <v>1</v>
      </c>
      <c r="R121" s="32"/>
      <c r="S121" s="32"/>
      <c r="T121" s="32" t="s">
        <v>273</v>
      </c>
      <c r="U121" s="32"/>
      <c r="V121" s="32">
        <v>1</v>
      </c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5"/>
      <c r="AK121" s="35"/>
      <c r="AL121" s="35"/>
      <c r="AM121" s="34"/>
      <c r="AN121" s="36"/>
      <c r="AO121" s="36"/>
    </row>
    <row r="122" spans="1:41" x14ac:dyDescent="0.25">
      <c r="A122" s="32"/>
      <c r="B122" s="32"/>
      <c r="D122" s="32"/>
      <c r="E122" s="32"/>
      <c r="F122" s="32"/>
      <c r="G122" s="32"/>
      <c r="H122" s="32"/>
      <c r="I122" s="32" t="s">
        <v>125</v>
      </c>
      <c r="J122" s="32"/>
      <c r="K122" s="32" t="s">
        <v>95</v>
      </c>
      <c r="L122" s="32" t="s">
        <v>26</v>
      </c>
      <c r="M122" s="32" t="s">
        <v>268</v>
      </c>
      <c r="N122" s="32" t="s">
        <v>272</v>
      </c>
      <c r="O122" s="32"/>
      <c r="P122" s="32" t="s">
        <v>271</v>
      </c>
      <c r="Q122" s="32">
        <v>2</v>
      </c>
      <c r="R122" s="32"/>
      <c r="S122" s="32"/>
      <c r="T122" s="32" t="s">
        <v>273</v>
      </c>
      <c r="U122" s="32"/>
      <c r="V122" s="32">
        <v>1</v>
      </c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5"/>
      <c r="AK122" s="35"/>
      <c r="AL122" s="35"/>
      <c r="AM122" s="34"/>
      <c r="AN122" s="36"/>
      <c r="AO122" s="36"/>
    </row>
    <row r="123" spans="1:41" x14ac:dyDescent="0.25">
      <c r="A123" s="32"/>
      <c r="B123" s="32"/>
      <c r="D123" s="32"/>
      <c r="E123" s="32"/>
      <c r="F123" s="32"/>
      <c r="G123" s="32"/>
      <c r="H123" s="32"/>
      <c r="I123" s="32" t="s">
        <v>126</v>
      </c>
      <c r="J123" s="32"/>
      <c r="K123" s="32" t="s">
        <v>95</v>
      </c>
      <c r="L123" s="32" t="s">
        <v>26</v>
      </c>
      <c r="M123" s="32" t="s">
        <v>268</v>
      </c>
      <c r="N123" s="32" t="s">
        <v>275</v>
      </c>
      <c r="O123" s="32"/>
      <c r="P123" s="32" t="s">
        <v>274</v>
      </c>
      <c r="Q123" s="32">
        <v>3</v>
      </c>
      <c r="R123" s="32"/>
      <c r="S123" s="32"/>
      <c r="T123" s="32" t="s">
        <v>273</v>
      </c>
      <c r="U123" s="32"/>
      <c r="V123" s="32">
        <v>1</v>
      </c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5"/>
      <c r="AK123" s="35"/>
      <c r="AL123" s="35"/>
      <c r="AM123" s="34"/>
      <c r="AN123" s="36"/>
      <c r="AO123" s="36"/>
    </row>
    <row r="124" spans="1:41" x14ac:dyDescent="0.25">
      <c r="A124" s="32"/>
      <c r="B124" s="32"/>
      <c r="D124" s="32"/>
      <c r="E124" s="32"/>
      <c r="F124" s="32"/>
      <c r="G124" s="32"/>
      <c r="H124" s="32"/>
      <c r="I124" s="32" t="s">
        <v>127</v>
      </c>
      <c r="J124" s="32"/>
      <c r="K124" s="32" t="s">
        <v>95</v>
      </c>
      <c r="L124" s="32" t="s">
        <v>26</v>
      </c>
      <c r="M124" s="32" t="s">
        <v>268</v>
      </c>
      <c r="N124" s="32" t="s">
        <v>277</v>
      </c>
      <c r="O124" s="32"/>
      <c r="P124" s="32" t="s">
        <v>276</v>
      </c>
      <c r="Q124" s="32">
        <v>4</v>
      </c>
      <c r="R124" s="32"/>
      <c r="S124" s="32"/>
      <c r="T124" s="32" t="s">
        <v>273</v>
      </c>
      <c r="U124" s="32"/>
      <c r="V124" s="32">
        <v>1</v>
      </c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5"/>
      <c r="AK124" s="35"/>
      <c r="AL124" s="35"/>
      <c r="AM124" s="34"/>
      <c r="AN124" s="36"/>
      <c r="AO124" s="36"/>
    </row>
    <row r="125" spans="1:41" x14ac:dyDescent="0.25">
      <c r="A125" s="32"/>
      <c r="B125" s="32"/>
      <c r="D125" s="32"/>
      <c r="E125" s="32"/>
      <c r="F125" s="32"/>
      <c r="G125" s="32"/>
      <c r="H125" s="32"/>
      <c r="I125" s="32" t="s">
        <v>128</v>
      </c>
      <c r="J125" s="32"/>
      <c r="K125" s="32" t="s">
        <v>95</v>
      </c>
      <c r="L125" s="32" t="s">
        <v>26</v>
      </c>
      <c r="M125" s="32" t="s">
        <v>268</v>
      </c>
      <c r="N125" s="32" t="s">
        <v>279</v>
      </c>
      <c r="O125" s="32"/>
      <c r="P125" s="32" t="s">
        <v>278</v>
      </c>
      <c r="Q125" s="32">
        <v>5</v>
      </c>
      <c r="R125" s="32"/>
      <c r="S125" s="32"/>
      <c r="T125" s="32" t="s">
        <v>273</v>
      </c>
      <c r="U125" s="32"/>
      <c r="V125" s="32">
        <v>1</v>
      </c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5"/>
      <c r="AK125" s="35"/>
      <c r="AL125" s="35"/>
      <c r="AM125" s="34"/>
      <c r="AN125" s="36"/>
      <c r="AO125" s="36"/>
    </row>
    <row r="126" spans="1:41" x14ac:dyDescent="0.25">
      <c r="A126" s="32"/>
      <c r="B126" s="32"/>
      <c r="D126" s="32"/>
      <c r="E126" s="32"/>
      <c r="F126" s="32"/>
      <c r="G126" s="32"/>
      <c r="H126" s="32"/>
      <c r="I126" s="32" t="s">
        <v>129</v>
      </c>
      <c r="J126" s="32"/>
      <c r="K126" s="32" t="s">
        <v>95</v>
      </c>
      <c r="L126" s="32" t="s">
        <v>26</v>
      </c>
      <c r="M126" s="32" t="s">
        <v>268</v>
      </c>
      <c r="N126" s="32" t="s">
        <v>281</v>
      </c>
      <c r="O126" s="32"/>
      <c r="P126" s="32" t="s">
        <v>280</v>
      </c>
      <c r="Q126" s="32">
        <v>6</v>
      </c>
      <c r="R126" s="32"/>
      <c r="S126" s="32"/>
      <c r="T126" s="32" t="s">
        <v>273</v>
      </c>
      <c r="U126" s="32"/>
      <c r="V126" s="32">
        <v>1</v>
      </c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5"/>
      <c r="AK126" s="35"/>
      <c r="AL126" s="35"/>
      <c r="AM126" s="34"/>
      <c r="AN126" s="36"/>
      <c r="AO126" s="36"/>
    </row>
    <row r="127" spans="1:41" x14ac:dyDescent="0.25">
      <c r="A127" s="32"/>
      <c r="B127" s="32"/>
      <c r="D127" s="32"/>
      <c r="E127" s="32"/>
      <c r="F127" s="32"/>
      <c r="G127" s="32"/>
      <c r="H127" s="32"/>
      <c r="I127" s="32" t="s">
        <v>130</v>
      </c>
      <c r="J127" s="32"/>
      <c r="K127" s="32" t="s">
        <v>95</v>
      </c>
      <c r="L127" s="32" t="s">
        <v>26</v>
      </c>
      <c r="M127" s="32" t="s">
        <v>268</v>
      </c>
      <c r="N127" s="32" t="s">
        <v>283</v>
      </c>
      <c r="O127" s="32"/>
      <c r="P127" s="32" t="s">
        <v>282</v>
      </c>
      <c r="Q127" s="32">
        <v>7</v>
      </c>
      <c r="R127" s="32"/>
      <c r="S127" s="32"/>
      <c r="T127" s="32" t="s">
        <v>273</v>
      </c>
      <c r="U127" s="32"/>
      <c r="V127" s="32">
        <v>1</v>
      </c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5"/>
      <c r="AK127" s="35"/>
      <c r="AL127" s="35"/>
      <c r="AM127" s="34"/>
      <c r="AN127" s="36"/>
      <c r="AO127" s="36"/>
    </row>
    <row r="128" spans="1:41" x14ac:dyDescent="0.25">
      <c r="A128" s="32"/>
      <c r="B128" s="32"/>
      <c r="D128" s="32"/>
      <c r="E128" s="32"/>
      <c r="F128" s="32"/>
      <c r="G128" s="32"/>
      <c r="H128" s="32"/>
      <c r="I128" s="32" t="s">
        <v>136</v>
      </c>
      <c r="J128" s="32"/>
      <c r="K128" s="32" t="s">
        <v>95</v>
      </c>
      <c r="L128" s="32" t="s">
        <v>26</v>
      </c>
      <c r="M128" s="32" t="s">
        <v>268</v>
      </c>
      <c r="N128" s="32" t="s">
        <v>285</v>
      </c>
      <c r="O128" s="32"/>
      <c r="P128" s="32" t="s">
        <v>284</v>
      </c>
      <c r="Q128" s="32">
        <v>8</v>
      </c>
      <c r="R128" s="32"/>
      <c r="S128" s="32"/>
      <c r="T128" s="32" t="s">
        <v>273</v>
      </c>
      <c r="U128" s="32"/>
      <c r="V128" s="32">
        <v>1</v>
      </c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5"/>
      <c r="AK128" s="35"/>
      <c r="AL128" s="35"/>
      <c r="AM128" s="34"/>
      <c r="AN128" s="36"/>
      <c r="AO128" s="36"/>
    </row>
    <row r="129" spans="1:41" x14ac:dyDescent="0.25">
      <c r="A129" s="32"/>
      <c r="B129" s="32"/>
      <c r="D129" s="32"/>
      <c r="E129" s="32"/>
      <c r="F129" s="32"/>
      <c r="G129" s="32"/>
      <c r="H129" s="32"/>
      <c r="I129" s="32" t="s">
        <v>137</v>
      </c>
      <c r="J129" s="32"/>
      <c r="K129" s="32" t="s">
        <v>95</v>
      </c>
      <c r="L129" s="32" t="s">
        <v>26</v>
      </c>
      <c r="M129" s="32" t="s">
        <v>268</v>
      </c>
      <c r="N129" s="32" t="s">
        <v>289</v>
      </c>
      <c r="O129" s="32"/>
      <c r="P129" s="32" t="s">
        <v>286</v>
      </c>
      <c r="Q129" s="32">
        <v>9</v>
      </c>
      <c r="R129" s="32"/>
      <c r="S129" s="32"/>
      <c r="T129" s="32" t="s">
        <v>273</v>
      </c>
      <c r="U129" s="32"/>
      <c r="V129" s="32">
        <v>1</v>
      </c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5"/>
      <c r="AK129" s="35"/>
      <c r="AL129" s="35"/>
      <c r="AM129" s="34"/>
      <c r="AN129" s="36"/>
      <c r="AO129" s="36"/>
    </row>
    <row r="130" spans="1:41" x14ac:dyDescent="0.25">
      <c r="A130" s="32"/>
      <c r="B130" s="32"/>
      <c r="D130" s="32"/>
      <c r="E130" s="32"/>
      <c r="F130" s="32"/>
      <c r="G130" s="32"/>
      <c r="H130" s="32"/>
      <c r="I130" s="32" t="s">
        <v>138</v>
      </c>
      <c r="J130" s="32"/>
      <c r="K130" s="32" t="s">
        <v>95</v>
      </c>
      <c r="L130" s="32" t="s">
        <v>26</v>
      </c>
      <c r="M130" s="32" t="s">
        <v>268</v>
      </c>
      <c r="N130" s="32" t="s">
        <v>290</v>
      </c>
      <c r="O130" s="32"/>
      <c r="P130" s="32" t="s">
        <v>287</v>
      </c>
      <c r="Q130" s="32">
        <v>10</v>
      </c>
      <c r="R130" s="32"/>
      <c r="S130" s="32"/>
      <c r="T130" s="32" t="s">
        <v>273</v>
      </c>
      <c r="U130" s="32"/>
      <c r="V130" s="32">
        <v>1</v>
      </c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5"/>
      <c r="AK130" s="35"/>
      <c r="AL130" s="35"/>
      <c r="AM130" s="34"/>
      <c r="AN130" s="36"/>
      <c r="AO130" s="36"/>
    </row>
    <row r="131" spans="1:41" x14ac:dyDescent="0.25">
      <c r="A131" s="32"/>
      <c r="B131" s="32"/>
      <c r="D131" s="32"/>
      <c r="E131" s="32"/>
      <c r="F131" s="32"/>
      <c r="G131" s="32"/>
      <c r="H131" s="32"/>
      <c r="I131" s="32" t="s">
        <v>45</v>
      </c>
      <c r="J131" s="32"/>
      <c r="K131" s="32" t="s">
        <v>95</v>
      </c>
      <c r="L131" s="32" t="s">
        <v>26</v>
      </c>
      <c r="M131" s="32" t="s">
        <v>268</v>
      </c>
      <c r="N131" s="32" t="s">
        <v>291</v>
      </c>
      <c r="O131" s="32"/>
      <c r="P131" s="32" t="s">
        <v>288</v>
      </c>
      <c r="Q131" s="32">
        <v>11</v>
      </c>
      <c r="R131" s="32"/>
      <c r="S131" s="32"/>
      <c r="T131" s="32" t="s">
        <v>273</v>
      </c>
      <c r="U131" s="32"/>
      <c r="V131" s="32">
        <v>1</v>
      </c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5"/>
      <c r="AK131" s="35"/>
      <c r="AL131" s="35"/>
      <c r="AM131" s="34"/>
      <c r="AN131" s="36"/>
      <c r="AO131" s="36"/>
    </row>
    <row r="132" spans="1:41" x14ac:dyDescent="0.25">
      <c r="A132" s="32"/>
      <c r="B132" s="32"/>
      <c r="D132" s="32"/>
      <c r="E132" s="32"/>
      <c r="F132" s="32"/>
      <c r="G132" s="32"/>
      <c r="H132" s="32" t="s">
        <v>94</v>
      </c>
      <c r="I132" s="32"/>
      <c r="J132" s="32"/>
      <c r="K132" s="32"/>
      <c r="L132" s="32" t="s">
        <v>26</v>
      </c>
      <c r="M132" s="32" t="s">
        <v>268</v>
      </c>
      <c r="N132" s="32" t="s">
        <v>349</v>
      </c>
      <c r="O132" s="32"/>
      <c r="P132" s="32" t="s">
        <v>344</v>
      </c>
      <c r="Q132" s="32">
        <v>12</v>
      </c>
      <c r="R132" s="32"/>
      <c r="S132" s="32"/>
      <c r="T132" s="32" t="s">
        <v>273</v>
      </c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5"/>
      <c r="AK132" s="35"/>
      <c r="AL132" s="35"/>
      <c r="AM132" s="34"/>
      <c r="AN132" s="36"/>
      <c r="AO132" s="36"/>
    </row>
    <row r="133" spans="1:41" x14ac:dyDescent="0.25">
      <c r="A133" s="32"/>
      <c r="B133" s="32"/>
      <c r="D133" s="32"/>
      <c r="E133" s="32"/>
      <c r="F133" s="32"/>
      <c r="G133" s="32"/>
      <c r="H133" s="32" t="s">
        <v>94</v>
      </c>
      <c r="I133" s="32"/>
      <c r="J133" s="32"/>
      <c r="K133" s="32"/>
      <c r="L133" s="32" t="s">
        <v>26</v>
      </c>
      <c r="M133" s="32" t="s">
        <v>268</v>
      </c>
      <c r="N133" s="32" t="s">
        <v>350</v>
      </c>
      <c r="O133" s="32"/>
      <c r="P133" s="32" t="s">
        <v>345</v>
      </c>
      <c r="Q133" s="32">
        <v>13</v>
      </c>
      <c r="R133" s="32"/>
      <c r="S133" s="32"/>
      <c r="T133" s="32" t="s">
        <v>273</v>
      </c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5"/>
      <c r="AK133" s="35"/>
      <c r="AL133" s="35"/>
      <c r="AM133" s="34"/>
      <c r="AN133" s="36"/>
      <c r="AO133" s="36"/>
    </row>
    <row r="134" spans="1:41" x14ac:dyDescent="0.25">
      <c r="A134" s="32"/>
      <c r="B134" s="32"/>
      <c r="D134" s="32"/>
      <c r="E134" s="32"/>
      <c r="F134" s="32"/>
      <c r="G134" s="32"/>
      <c r="H134" s="32" t="s">
        <v>94</v>
      </c>
      <c r="I134" s="32"/>
      <c r="J134" s="32"/>
      <c r="K134" s="32"/>
      <c r="L134" s="32" t="s">
        <v>26</v>
      </c>
      <c r="M134" s="32" t="s">
        <v>268</v>
      </c>
      <c r="N134" s="32" t="s">
        <v>351</v>
      </c>
      <c r="O134" s="32"/>
      <c r="P134" s="32" t="s">
        <v>346</v>
      </c>
      <c r="Q134" s="32">
        <v>14</v>
      </c>
      <c r="R134" s="32"/>
      <c r="S134" s="32"/>
      <c r="T134" s="32" t="s">
        <v>273</v>
      </c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5"/>
      <c r="AK134" s="35"/>
      <c r="AL134" s="35"/>
      <c r="AM134" s="34"/>
      <c r="AN134" s="36"/>
      <c r="AO134" s="36"/>
    </row>
    <row r="135" spans="1:41" x14ac:dyDescent="0.25">
      <c r="A135" s="32"/>
      <c r="B135" s="32"/>
      <c r="D135" s="32"/>
      <c r="E135" s="32"/>
      <c r="F135" s="32"/>
      <c r="G135" s="32"/>
      <c r="H135" s="32" t="s">
        <v>94</v>
      </c>
      <c r="I135" s="32"/>
      <c r="J135" s="32"/>
      <c r="K135" s="32"/>
      <c r="L135" s="32" t="s">
        <v>26</v>
      </c>
      <c r="M135" s="32" t="s">
        <v>268</v>
      </c>
      <c r="N135" s="32" t="s">
        <v>352</v>
      </c>
      <c r="O135" s="32"/>
      <c r="P135" s="32" t="s">
        <v>347</v>
      </c>
      <c r="Q135" s="32">
        <v>15</v>
      </c>
      <c r="R135" s="32"/>
      <c r="S135" s="32"/>
      <c r="T135" s="32" t="s">
        <v>273</v>
      </c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5"/>
      <c r="AK135" s="35"/>
      <c r="AL135" s="35"/>
      <c r="AM135" s="34"/>
      <c r="AN135" s="36"/>
      <c r="AO135" s="36"/>
    </row>
    <row r="136" spans="1:41" x14ac:dyDescent="0.25">
      <c r="A136" s="32"/>
      <c r="B136" s="32"/>
      <c r="D136" s="32"/>
      <c r="E136" s="32"/>
      <c r="F136" s="32"/>
      <c r="G136" s="32"/>
      <c r="H136" s="32" t="s">
        <v>94</v>
      </c>
      <c r="I136" s="32"/>
      <c r="J136" s="32"/>
      <c r="K136" s="32"/>
      <c r="L136" s="32" t="s">
        <v>26</v>
      </c>
      <c r="M136" s="32" t="s">
        <v>268</v>
      </c>
      <c r="N136" s="32" t="s">
        <v>353</v>
      </c>
      <c r="O136" s="32"/>
      <c r="P136" s="32" t="s">
        <v>348</v>
      </c>
      <c r="Q136" s="32">
        <v>16</v>
      </c>
      <c r="R136" s="32"/>
      <c r="S136" s="32"/>
      <c r="T136" s="32" t="s">
        <v>273</v>
      </c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5"/>
      <c r="AK136" s="35"/>
      <c r="AL136" s="35"/>
      <c r="AM136" s="34"/>
      <c r="AN136" s="36"/>
      <c r="AO136" s="36"/>
    </row>
    <row r="137" spans="1:4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5"/>
      <c r="AK137" s="35"/>
      <c r="AL137" s="35"/>
      <c r="AM137" s="34"/>
      <c r="AN137" s="36"/>
      <c r="AO137" s="36"/>
    </row>
    <row r="138" spans="1:41" x14ac:dyDescent="0.25">
      <c r="A138" s="32"/>
      <c r="B138" s="32"/>
      <c r="D138" s="32"/>
      <c r="E138" s="32"/>
      <c r="F138" s="32"/>
      <c r="G138" s="32"/>
      <c r="H138" s="32" t="s">
        <v>94</v>
      </c>
      <c r="I138" s="32"/>
      <c r="J138" s="32"/>
      <c r="K138" s="32"/>
      <c r="L138" s="32" t="s">
        <v>26</v>
      </c>
      <c r="M138" s="32" t="s">
        <v>315</v>
      </c>
      <c r="N138" s="32" t="s">
        <v>354</v>
      </c>
      <c r="O138" s="32"/>
      <c r="P138" s="32" t="s">
        <v>269</v>
      </c>
      <c r="Q138" s="32">
        <v>1</v>
      </c>
      <c r="R138" s="32"/>
      <c r="S138" s="32"/>
      <c r="T138" s="32" t="s">
        <v>273</v>
      </c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5"/>
      <c r="AK138" s="35"/>
      <c r="AL138" s="35"/>
      <c r="AM138" s="34"/>
      <c r="AN138" s="36"/>
      <c r="AO138" s="36"/>
    </row>
    <row r="139" spans="1:41" x14ac:dyDescent="0.25">
      <c r="A139" s="32"/>
      <c r="B139" s="32"/>
      <c r="D139" s="32"/>
      <c r="E139" s="32"/>
      <c r="F139" s="32"/>
      <c r="G139" s="32"/>
      <c r="H139" s="32" t="s">
        <v>94</v>
      </c>
      <c r="I139" s="32"/>
      <c r="J139" s="32"/>
      <c r="K139" s="32"/>
      <c r="L139" s="32" t="s">
        <v>26</v>
      </c>
      <c r="M139" s="32" t="s">
        <v>315</v>
      </c>
      <c r="N139" s="32" t="s">
        <v>355</v>
      </c>
      <c r="O139" s="32"/>
      <c r="P139" s="32" t="s">
        <v>271</v>
      </c>
      <c r="Q139" s="32">
        <v>2</v>
      </c>
      <c r="R139" s="32"/>
      <c r="S139" s="32"/>
      <c r="T139" s="32" t="s">
        <v>273</v>
      </c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5"/>
      <c r="AK139" s="35"/>
      <c r="AL139" s="35"/>
      <c r="AM139" s="34"/>
      <c r="AN139" s="36"/>
      <c r="AO139" s="36"/>
    </row>
    <row r="140" spans="1:41" x14ac:dyDescent="0.25">
      <c r="A140" s="32"/>
      <c r="B140" s="32"/>
      <c r="D140" s="32"/>
      <c r="E140" s="32"/>
      <c r="F140" s="32"/>
      <c r="G140" s="32"/>
      <c r="H140" s="32" t="s">
        <v>94</v>
      </c>
      <c r="I140" s="32"/>
      <c r="J140" s="32"/>
      <c r="K140" s="32"/>
      <c r="L140" s="32" t="s">
        <v>26</v>
      </c>
      <c r="M140" s="32" t="s">
        <v>315</v>
      </c>
      <c r="N140" s="32" t="s">
        <v>356</v>
      </c>
      <c r="O140" s="32"/>
      <c r="P140" s="32" t="s">
        <v>274</v>
      </c>
      <c r="Q140" s="32">
        <v>3</v>
      </c>
      <c r="R140" s="32"/>
      <c r="S140" s="32"/>
      <c r="T140" s="32" t="s">
        <v>273</v>
      </c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5"/>
      <c r="AK140" s="35"/>
      <c r="AL140" s="35"/>
      <c r="AM140" s="34"/>
      <c r="AN140" s="36"/>
      <c r="AO140" s="36"/>
    </row>
    <row r="141" spans="1:41" x14ac:dyDescent="0.25">
      <c r="A141" s="32"/>
      <c r="B141" s="32"/>
      <c r="D141" s="32"/>
      <c r="E141" s="32"/>
      <c r="F141" s="32"/>
      <c r="G141" s="32"/>
      <c r="H141" s="32" t="s">
        <v>94</v>
      </c>
      <c r="J141" s="32"/>
      <c r="K141" s="32"/>
      <c r="L141" s="32" t="s">
        <v>26</v>
      </c>
      <c r="M141" s="32" t="s">
        <v>315</v>
      </c>
      <c r="N141" s="32" t="s">
        <v>357</v>
      </c>
      <c r="O141" s="32"/>
      <c r="P141" s="32" t="s">
        <v>276</v>
      </c>
      <c r="Q141" s="32">
        <v>4</v>
      </c>
      <c r="R141" s="32"/>
      <c r="S141" s="32"/>
      <c r="T141" s="32" t="s">
        <v>273</v>
      </c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5"/>
      <c r="AK141" s="35"/>
      <c r="AL141" s="35"/>
      <c r="AM141" s="34"/>
      <c r="AN141" s="36"/>
      <c r="AO141" s="36"/>
    </row>
    <row r="142" spans="1:41" x14ac:dyDescent="0.25">
      <c r="A142" s="32"/>
      <c r="B142" s="32"/>
      <c r="D142" s="32"/>
      <c r="E142" s="32"/>
      <c r="F142" s="32"/>
      <c r="G142" s="32"/>
      <c r="H142" s="32" t="s">
        <v>94</v>
      </c>
      <c r="J142" s="32"/>
      <c r="K142" s="32"/>
      <c r="L142" s="32" t="s">
        <v>26</v>
      </c>
      <c r="M142" s="32" t="s">
        <v>315</v>
      </c>
      <c r="N142" s="32" t="s">
        <v>358</v>
      </c>
      <c r="O142" s="32"/>
      <c r="P142" s="32" t="s">
        <v>278</v>
      </c>
      <c r="Q142" s="32">
        <v>5</v>
      </c>
      <c r="R142" s="32"/>
      <c r="S142" s="32"/>
      <c r="T142" s="32" t="s">
        <v>273</v>
      </c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5"/>
      <c r="AK142" s="35"/>
      <c r="AL142" s="35"/>
      <c r="AM142" s="34"/>
      <c r="AN142" s="36"/>
      <c r="AO142" s="36"/>
    </row>
    <row r="143" spans="1:41" x14ac:dyDescent="0.25">
      <c r="A143" s="32"/>
      <c r="B143" s="32"/>
      <c r="D143" s="32"/>
      <c r="E143" s="32"/>
      <c r="F143" s="32"/>
      <c r="G143" s="32"/>
      <c r="H143" s="32" t="s">
        <v>94</v>
      </c>
      <c r="J143" s="32"/>
      <c r="K143" s="32"/>
      <c r="L143" s="32" t="s">
        <v>26</v>
      </c>
      <c r="M143" s="32" t="s">
        <v>315</v>
      </c>
      <c r="N143" s="32" t="s">
        <v>359</v>
      </c>
      <c r="O143" s="32"/>
      <c r="P143" s="32" t="s">
        <v>280</v>
      </c>
      <c r="Q143" s="32">
        <v>6</v>
      </c>
      <c r="R143" s="32"/>
      <c r="S143" s="32"/>
      <c r="T143" s="32" t="s">
        <v>273</v>
      </c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5"/>
      <c r="AK143" s="35"/>
      <c r="AL143" s="35"/>
      <c r="AM143" s="34"/>
      <c r="AN143" s="36"/>
      <c r="AO143" s="36"/>
    </row>
    <row r="144" spans="1:41" x14ac:dyDescent="0.25">
      <c r="A144" s="32"/>
      <c r="B144" s="32"/>
      <c r="D144" s="32"/>
      <c r="E144" s="32"/>
      <c r="F144" s="32"/>
      <c r="G144" s="32"/>
      <c r="H144" s="32" t="s">
        <v>94</v>
      </c>
      <c r="J144" s="32"/>
      <c r="K144" s="32"/>
      <c r="L144" s="32" t="s">
        <v>26</v>
      </c>
      <c r="M144" s="32" t="s">
        <v>315</v>
      </c>
      <c r="N144" s="32" t="s">
        <v>360</v>
      </c>
      <c r="O144" s="32"/>
      <c r="P144" s="32" t="s">
        <v>282</v>
      </c>
      <c r="Q144" s="32">
        <v>7</v>
      </c>
      <c r="R144" s="32"/>
      <c r="S144" s="32"/>
      <c r="T144" s="32" t="s">
        <v>273</v>
      </c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5"/>
      <c r="AK144" s="35"/>
      <c r="AL144" s="35"/>
      <c r="AM144" s="34"/>
      <c r="AN144" s="36"/>
      <c r="AO144" s="36"/>
    </row>
    <row r="145" spans="1:41" x14ac:dyDescent="0.25">
      <c r="A145" s="32"/>
      <c r="B145" s="32"/>
      <c r="D145" s="32"/>
      <c r="E145" s="32"/>
      <c r="F145" s="32"/>
      <c r="G145" s="32"/>
      <c r="H145" s="32" t="s">
        <v>94</v>
      </c>
      <c r="J145" s="32"/>
      <c r="K145" s="32"/>
      <c r="L145" s="32" t="s">
        <v>26</v>
      </c>
      <c r="M145" s="32" t="s">
        <v>315</v>
      </c>
      <c r="N145" s="32" t="s">
        <v>361</v>
      </c>
      <c r="O145" s="32"/>
      <c r="P145" s="32" t="s">
        <v>284</v>
      </c>
      <c r="Q145" s="32">
        <v>8</v>
      </c>
      <c r="R145" s="32"/>
      <c r="S145" s="32"/>
      <c r="T145" s="32" t="s">
        <v>273</v>
      </c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5"/>
      <c r="AK145" s="35"/>
      <c r="AL145" s="35"/>
      <c r="AM145" s="34"/>
      <c r="AN145" s="36"/>
      <c r="AO145" s="36"/>
    </row>
    <row r="146" spans="1:41" x14ac:dyDescent="0.25">
      <c r="A146" s="32"/>
      <c r="B146" s="32"/>
      <c r="D146" s="32"/>
      <c r="E146" s="32"/>
      <c r="F146" s="32"/>
      <c r="G146" s="32"/>
      <c r="H146" s="32" t="s">
        <v>94</v>
      </c>
      <c r="J146" s="32"/>
      <c r="K146" s="32"/>
      <c r="L146" s="32" t="s">
        <v>26</v>
      </c>
      <c r="M146" s="32" t="s">
        <v>315</v>
      </c>
      <c r="N146" s="32" t="s">
        <v>362</v>
      </c>
      <c r="O146" s="32"/>
      <c r="P146" s="32" t="s">
        <v>286</v>
      </c>
      <c r="Q146" s="32">
        <v>9</v>
      </c>
      <c r="R146" s="32"/>
      <c r="S146" s="32"/>
      <c r="T146" s="32" t="s">
        <v>273</v>
      </c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5"/>
      <c r="AK146" s="35"/>
      <c r="AL146" s="35"/>
      <c r="AM146" s="34"/>
      <c r="AN146" s="36"/>
      <c r="AO146" s="36"/>
    </row>
    <row r="147" spans="1:41" x14ac:dyDescent="0.25">
      <c r="A147" s="32"/>
      <c r="B147" s="32"/>
      <c r="D147" s="32"/>
      <c r="E147" s="32"/>
      <c r="F147" s="32"/>
      <c r="G147" s="32"/>
      <c r="H147" s="32" t="s">
        <v>94</v>
      </c>
      <c r="J147" s="32"/>
      <c r="K147" s="32"/>
      <c r="L147" s="32" t="s">
        <v>26</v>
      </c>
      <c r="M147" s="32" t="s">
        <v>315</v>
      </c>
      <c r="N147" s="32" t="s">
        <v>363</v>
      </c>
      <c r="O147" s="32"/>
      <c r="P147" s="32" t="s">
        <v>287</v>
      </c>
      <c r="Q147" s="32">
        <v>10</v>
      </c>
      <c r="R147" s="32"/>
      <c r="S147" s="32"/>
      <c r="T147" s="32" t="s">
        <v>273</v>
      </c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5"/>
      <c r="AK147" s="35"/>
      <c r="AL147" s="35"/>
      <c r="AM147" s="34"/>
      <c r="AN147" s="36"/>
      <c r="AO147" s="36"/>
    </row>
    <row r="148" spans="1:41" x14ac:dyDescent="0.25">
      <c r="A148" s="32"/>
      <c r="B148" s="32"/>
      <c r="D148" s="32"/>
      <c r="E148" s="32"/>
      <c r="F148" s="32"/>
      <c r="G148" s="32"/>
      <c r="H148" s="32" t="s">
        <v>94</v>
      </c>
      <c r="J148" s="32"/>
      <c r="K148" s="32"/>
      <c r="L148" s="32" t="s">
        <v>26</v>
      </c>
      <c r="M148" s="32" t="s">
        <v>315</v>
      </c>
      <c r="N148" s="32" t="s">
        <v>364</v>
      </c>
      <c r="O148" s="32"/>
      <c r="P148" s="32" t="s">
        <v>288</v>
      </c>
      <c r="Q148" s="32">
        <v>11</v>
      </c>
      <c r="R148" s="32"/>
      <c r="S148" s="32"/>
      <c r="T148" s="32" t="s">
        <v>273</v>
      </c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5"/>
      <c r="AK148" s="35"/>
      <c r="AL148" s="35"/>
      <c r="AM148" s="34"/>
      <c r="AN148" s="36"/>
      <c r="AO148" s="36"/>
    </row>
    <row r="149" spans="1:41" x14ac:dyDescent="0.25">
      <c r="A149" s="32"/>
      <c r="B149" s="32"/>
      <c r="D149" s="32"/>
      <c r="E149" s="32"/>
      <c r="F149" s="32"/>
      <c r="G149" s="32"/>
      <c r="H149" s="32" t="s">
        <v>94</v>
      </c>
      <c r="J149" s="32"/>
      <c r="K149" s="32"/>
      <c r="L149" s="32" t="s">
        <v>26</v>
      </c>
      <c r="M149" s="32" t="s">
        <v>315</v>
      </c>
      <c r="N149" s="32" t="s">
        <v>365</v>
      </c>
      <c r="O149" s="32"/>
      <c r="P149" s="32" t="s">
        <v>344</v>
      </c>
      <c r="Q149" s="32">
        <v>12</v>
      </c>
      <c r="R149" s="32"/>
      <c r="S149" s="32"/>
      <c r="T149" s="32" t="s">
        <v>273</v>
      </c>
      <c r="U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5"/>
      <c r="AK149" s="35"/>
      <c r="AL149" s="35"/>
      <c r="AM149" s="34"/>
      <c r="AN149" s="36"/>
      <c r="AO149" s="36"/>
    </row>
    <row r="150" spans="1:41" x14ac:dyDescent="0.25">
      <c r="A150" s="32"/>
      <c r="B150" s="32"/>
      <c r="D150" s="32"/>
      <c r="E150" s="32"/>
      <c r="F150" s="32"/>
      <c r="G150" s="32"/>
      <c r="H150" s="32" t="s">
        <v>94</v>
      </c>
      <c r="J150" s="32"/>
      <c r="L150" s="32" t="s">
        <v>26</v>
      </c>
      <c r="M150" s="32" t="s">
        <v>315</v>
      </c>
      <c r="N150" s="32" t="s">
        <v>366</v>
      </c>
      <c r="O150" s="32"/>
      <c r="P150" s="32" t="s">
        <v>345</v>
      </c>
      <c r="Q150" s="32">
        <v>13</v>
      </c>
      <c r="R150" s="32"/>
      <c r="S150" s="32"/>
      <c r="T150" s="32" t="s">
        <v>273</v>
      </c>
      <c r="U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5"/>
      <c r="AK150" s="35"/>
      <c r="AL150" s="35"/>
      <c r="AM150" s="34"/>
      <c r="AN150" s="36"/>
      <c r="AO150" s="36"/>
    </row>
    <row r="151" spans="1:41" x14ac:dyDescent="0.25">
      <c r="A151" s="32"/>
      <c r="B151" s="32"/>
      <c r="D151" s="32"/>
      <c r="E151" s="32"/>
      <c r="F151" s="32"/>
      <c r="G151" s="32"/>
      <c r="H151" s="32" t="s">
        <v>94</v>
      </c>
      <c r="J151" s="32"/>
      <c r="L151" s="32" t="s">
        <v>26</v>
      </c>
      <c r="M151" s="32" t="s">
        <v>315</v>
      </c>
      <c r="N151" s="32" t="s">
        <v>367</v>
      </c>
      <c r="O151" s="32"/>
      <c r="P151" s="32" t="s">
        <v>346</v>
      </c>
      <c r="Q151" s="32">
        <v>14</v>
      </c>
      <c r="R151" s="32"/>
      <c r="S151" s="32"/>
      <c r="T151" s="32" t="s">
        <v>273</v>
      </c>
      <c r="U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5"/>
      <c r="AK151" s="35"/>
      <c r="AL151" s="35"/>
      <c r="AM151" s="34"/>
      <c r="AN151" s="36"/>
      <c r="AO151" s="36"/>
    </row>
    <row r="152" spans="1:41" x14ac:dyDescent="0.25">
      <c r="A152" s="32"/>
      <c r="B152" s="32"/>
      <c r="D152" s="32"/>
      <c r="E152" s="32"/>
      <c r="F152" s="32"/>
      <c r="G152" s="32"/>
      <c r="H152" s="32" t="s">
        <v>94</v>
      </c>
      <c r="J152" s="32"/>
      <c r="L152" s="32" t="s">
        <v>26</v>
      </c>
      <c r="M152" s="32" t="s">
        <v>315</v>
      </c>
      <c r="N152" s="32" t="s">
        <v>368</v>
      </c>
      <c r="O152" s="32"/>
      <c r="P152" s="32" t="s">
        <v>347</v>
      </c>
      <c r="Q152" s="32">
        <v>15</v>
      </c>
      <c r="R152" s="32"/>
      <c r="S152" s="32"/>
      <c r="T152" s="32" t="s">
        <v>273</v>
      </c>
      <c r="U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5"/>
      <c r="AK152" s="35"/>
      <c r="AL152" s="35"/>
      <c r="AM152" s="34"/>
      <c r="AN152" s="36"/>
      <c r="AO152" s="36"/>
    </row>
    <row r="153" spans="1:41" x14ac:dyDescent="0.25">
      <c r="A153" s="32"/>
      <c r="B153" s="32"/>
      <c r="D153" s="32"/>
      <c r="E153" s="32"/>
      <c r="F153" s="32"/>
      <c r="G153" s="32"/>
      <c r="H153" s="32" t="s">
        <v>94</v>
      </c>
      <c r="J153" s="32"/>
      <c r="L153" s="32" t="s">
        <v>26</v>
      </c>
      <c r="M153" s="32" t="s">
        <v>315</v>
      </c>
      <c r="N153" s="32" t="s">
        <v>369</v>
      </c>
      <c r="O153" s="32"/>
      <c r="P153" s="32" t="s">
        <v>348</v>
      </c>
      <c r="Q153" s="32">
        <v>16</v>
      </c>
      <c r="R153" s="32"/>
      <c r="S153" s="32"/>
      <c r="T153" s="32" t="s">
        <v>273</v>
      </c>
      <c r="U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5"/>
      <c r="AK153" s="35"/>
      <c r="AL153" s="35"/>
      <c r="AM153" s="34"/>
      <c r="AN153" s="36"/>
      <c r="AO153" s="36"/>
    </row>
    <row r="154" spans="1:41" x14ac:dyDescent="0.25">
      <c r="A154" s="32"/>
      <c r="B154" s="32"/>
      <c r="C154" s="32"/>
      <c r="D154" s="32"/>
      <c r="E154" s="32"/>
      <c r="F154" s="32"/>
      <c r="G154" s="32"/>
      <c r="H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 t="s">
        <v>131</v>
      </c>
      <c r="U154" s="32">
        <f>SUM(U2:U153)</f>
        <v>36</v>
      </c>
      <c r="V154" s="32">
        <f>SUM(V2:V153)</f>
        <v>11</v>
      </c>
      <c r="W154" s="32">
        <f>SUM(W2:W153)</f>
        <v>4</v>
      </c>
      <c r="X154" s="32">
        <f>SUM(X4:X153)</f>
        <v>3</v>
      </c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4"/>
      <c r="AN154" s="36"/>
      <c r="AO154" s="36"/>
    </row>
    <row r="155" spans="1:41" x14ac:dyDescent="0.25">
      <c r="A155" s="32"/>
      <c r="B155" s="32"/>
      <c r="C155" s="32"/>
      <c r="D155" s="32"/>
      <c r="E155" s="32"/>
      <c r="F155" s="32"/>
      <c r="G155" s="32"/>
      <c r="H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 t="s">
        <v>93</v>
      </c>
      <c r="V155" s="32" t="s">
        <v>95</v>
      </c>
      <c r="W155" s="32" t="s">
        <v>110</v>
      </c>
      <c r="X155" s="32" t="s">
        <v>109</v>
      </c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4"/>
      <c r="AN155" s="36"/>
      <c r="AO155" s="36"/>
    </row>
    <row r="156" spans="1:41" x14ac:dyDescent="0.25">
      <c r="A156" s="32"/>
      <c r="B156" s="32"/>
      <c r="C156" s="32"/>
      <c r="D156" s="32"/>
      <c r="E156" s="32"/>
      <c r="F156" s="32"/>
      <c r="G156" s="32"/>
      <c r="H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4"/>
      <c r="AN156" s="36"/>
      <c r="AO156" s="36"/>
    </row>
    <row r="157" spans="1:41" x14ac:dyDescent="0.25">
      <c r="A157" s="32"/>
      <c r="B157" s="32"/>
      <c r="C157" s="32"/>
      <c r="D157" s="32"/>
      <c r="E157" s="32"/>
      <c r="F157" s="32"/>
      <c r="G157" s="32"/>
      <c r="H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4"/>
      <c r="AN157" s="36"/>
      <c r="AO157" s="36"/>
    </row>
    <row r="158" spans="1:41" x14ac:dyDescent="0.25">
      <c r="A158" s="32"/>
      <c r="B158" s="32"/>
      <c r="C158" s="32"/>
      <c r="D158" s="32"/>
      <c r="E158" s="32"/>
      <c r="F158" s="32"/>
      <c r="G158" s="32"/>
      <c r="H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4"/>
      <c r="AN158" s="36"/>
      <c r="AO158" s="36"/>
    </row>
    <row r="159" spans="1:41" x14ac:dyDescent="0.25">
      <c r="A159" s="32"/>
      <c r="B159" s="32"/>
      <c r="C159" s="32"/>
      <c r="D159" s="32"/>
      <c r="E159" s="32"/>
      <c r="F159" s="32"/>
      <c r="G159" s="32"/>
      <c r="H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4"/>
      <c r="AN159" s="36"/>
      <c r="AO159" s="36"/>
    </row>
    <row r="160" spans="1:41" x14ac:dyDescent="0.25">
      <c r="A160" s="32"/>
      <c r="B160" s="32"/>
      <c r="C160" s="32"/>
      <c r="D160" s="32"/>
      <c r="E160" s="32"/>
      <c r="F160" s="32"/>
      <c r="G160" s="32"/>
      <c r="H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4"/>
      <c r="AN160" s="36"/>
      <c r="AO160" s="36"/>
    </row>
    <row r="161" spans="1:41" x14ac:dyDescent="0.25">
      <c r="A161" s="32"/>
      <c r="B161" s="32"/>
      <c r="C161" s="32"/>
      <c r="D161" s="32"/>
      <c r="E161" s="32"/>
      <c r="F161" s="32"/>
      <c r="G161" s="32"/>
      <c r="H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4"/>
      <c r="AN161" s="36"/>
      <c r="AO161" s="36"/>
    </row>
    <row r="162" spans="1:41" x14ac:dyDescent="0.25">
      <c r="A162" s="32"/>
      <c r="B162" s="32"/>
      <c r="C162" s="32"/>
      <c r="D162" s="32"/>
      <c r="E162" s="32"/>
      <c r="F162" s="32"/>
      <c r="G162" s="32"/>
      <c r="H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4"/>
      <c r="AN162" s="36"/>
      <c r="AO162" s="36"/>
    </row>
    <row r="163" spans="1:41" x14ac:dyDescent="0.25">
      <c r="A163" s="32"/>
      <c r="B163" s="32"/>
      <c r="C163" s="32"/>
      <c r="D163" s="32"/>
      <c r="E163" s="32"/>
      <c r="F163" s="32"/>
      <c r="G163" s="32"/>
      <c r="H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4"/>
      <c r="AN163" s="36"/>
      <c r="AO163" s="36"/>
    </row>
    <row r="164" spans="1:41" x14ac:dyDescent="0.25">
      <c r="A164" s="32"/>
      <c r="B164" s="32"/>
      <c r="C164" s="32"/>
      <c r="D164" s="32"/>
      <c r="E164" s="32"/>
      <c r="F164" s="32"/>
      <c r="G164" s="32"/>
      <c r="H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4"/>
      <c r="AN164" s="36"/>
      <c r="AO164" s="36"/>
    </row>
    <row r="165" spans="1:41" x14ac:dyDescent="0.25">
      <c r="A165" s="32"/>
      <c r="B165" s="32"/>
      <c r="C165" s="32"/>
      <c r="D165" s="32"/>
      <c r="E165" s="32"/>
      <c r="F165" s="32"/>
      <c r="G165" s="32"/>
      <c r="H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4"/>
      <c r="AN165" s="36"/>
      <c r="AO165" s="36"/>
    </row>
    <row r="166" spans="1:41" x14ac:dyDescent="0.25">
      <c r="A166" s="32"/>
      <c r="B166" s="32"/>
      <c r="C166" s="32"/>
      <c r="D166" s="32"/>
      <c r="E166" s="32"/>
      <c r="F166" s="32"/>
      <c r="G166" s="32"/>
      <c r="H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4"/>
      <c r="AN166" s="36"/>
      <c r="AO166" s="36"/>
    </row>
    <row r="167" spans="1:41" x14ac:dyDescent="0.25">
      <c r="A167" s="32"/>
      <c r="B167" s="32"/>
      <c r="C167" s="32"/>
      <c r="D167" s="32"/>
      <c r="E167" s="32"/>
      <c r="F167" s="32"/>
      <c r="G167" s="32"/>
      <c r="H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4"/>
      <c r="AN167" s="36"/>
      <c r="AO167" s="36"/>
    </row>
    <row r="168" spans="1:41" x14ac:dyDescent="0.25">
      <c r="A168" s="32"/>
      <c r="B168" s="32"/>
      <c r="C168" s="32"/>
      <c r="D168" s="32"/>
      <c r="E168" s="32"/>
      <c r="F168" s="32"/>
      <c r="G168" s="32"/>
      <c r="H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4"/>
      <c r="AN168" s="36"/>
      <c r="AO168" s="36"/>
    </row>
    <row r="169" spans="1:41" x14ac:dyDescent="0.25">
      <c r="A169" s="32"/>
      <c r="B169" s="32"/>
      <c r="C169" s="32"/>
      <c r="D169" s="32"/>
      <c r="E169" s="32"/>
      <c r="F169" s="32"/>
      <c r="G169" s="32"/>
      <c r="H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4"/>
      <c r="AN169" s="36"/>
      <c r="AO169" s="36"/>
    </row>
    <row r="170" spans="1:41" x14ac:dyDescent="0.25">
      <c r="A170" s="32"/>
      <c r="B170" s="32"/>
      <c r="C170" s="32"/>
      <c r="D170" s="32"/>
      <c r="E170" s="32"/>
      <c r="F170" s="32"/>
      <c r="G170" s="32"/>
      <c r="H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4"/>
      <c r="AN170" s="36"/>
      <c r="AO170" s="36"/>
    </row>
    <row r="171" spans="1:41" x14ac:dyDescent="0.25">
      <c r="A171" s="32"/>
      <c r="B171" s="32"/>
      <c r="C171" s="32"/>
      <c r="D171" s="32"/>
      <c r="E171" s="32"/>
      <c r="F171" s="32"/>
      <c r="G171" s="32"/>
      <c r="H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4"/>
      <c r="AN171" s="36"/>
      <c r="AO171" s="36"/>
    </row>
    <row r="172" spans="1:41" x14ac:dyDescent="0.25">
      <c r="A172" s="32"/>
      <c r="B172" s="32"/>
      <c r="C172" s="32"/>
      <c r="D172" s="32"/>
      <c r="E172" s="32"/>
      <c r="F172" s="32"/>
      <c r="G172" s="32"/>
      <c r="H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4"/>
      <c r="AN172" s="36"/>
      <c r="AO172" s="36"/>
    </row>
  </sheetData>
  <phoneticPr fontId="4" type="noConversion"/>
  <pageMargins left="0.7" right="0.7" top="0.75" bottom="0.75" header="0.3" footer="0.3"/>
  <pageSetup paperSize="9" scale="2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7564D-2A9C-4C42-9DB1-85CDE5B4B2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EE51FE-E126-4D29-A8E4-28FFDDAE4C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C06FCD-09F0-4AEC-B12E-4528F8BE016F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Lista signala</vt:lpstr>
      <vt:lpstr>Pregled IO kartica</vt:lpstr>
      <vt:lpstr>'Lista signala'!Print_Area</vt:lpstr>
      <vt:lpstr>'Lista signala'!Print_Titles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Ivančić</dc:creator>
  <cp:lastModifiedBy>Fran Švarc</cp:lastModifiedBy>
  <cp:lastPrinted>2025-10-30T14:05:37Z</cp:lastPrinted>
  <dcterms:created xsi:type="dcterms:W3CDTF">2023-02-21T14:27:12Z</dcterms:created>
  <dcterms:modified xsi:type="dcterms:W3CDTF">2026-09-29T10:28:59Z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</Properties>
</file>