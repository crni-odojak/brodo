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amara\Desktop\PROJEKTI\HE Varaždin\01 Glavni projekt - general i TR\10 Jednopolne i principne sheme\01 Popis potrošača\"/>
    </mc:Choice>
  </mc:AlternateContent>
  <xr:revisionPtr revIDLastSave="0" documentId="13_ncr:1_{F7924182-5D60-41D5-AD2F-2D85DB8C113D}" xr6:coauthVersionLast="47" xr6:coauthVersionMax="47" xr10:uidLastSave="{00000000-0000-0000-0000-000000000000}"/>
  <bookViews>
    <workbookView xWindow="7665" yWindow="2955" windowWidth="28800" windowHeight="15345" xr2:uid="{00000000-000D-0000-FFFF-FFFF00000000}"/>
  </bookViews>
  <sheets>
    <sheet name="POPIS IZVODA" sheetId="2" r:id="rId1"/>
    <sheet name="AUX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G10" i="1"/>
</calcChain>
</file>

<file path=xl/sharedStrings.xml><?xml version="1.0" encoding="utf-8"?>
<sst xmlns="http://schemas.openxmlformats.org/spreadsheetml/2006/main" count="100" uniqueCount="65">
  <si>
    <t>DT</t>
  </si>
  <si>
    <t>Naziv</t>
  </si>
  <si>
    <t>Snaga</t>
  </si>
  <si>
    <t>90.1</t>
  </si>
  <si>
    <t>101.2</t>
  </si>
  <si>
    <t>114/1</t>
  </si>
  <si>
    <t>114/2</t>
  </si>
  <si>
    <t>Upravljački elektromagnetski ventil izolacijskog logičkog ventila</t>
  </si>
  <si>
    <t>Elektromagnetski ventil 2/2</t>
  </si>
  <si>
    <t>Elektromagnetski ventil za rasterećenje u sustavu rezervnog uljno-zračnog spremnika</t>
  </si>
  <si>
    <t>Elektromagnetski ventil za rasterećenje u sustavu glavnog uljno-zračnog spremnika</t>
  </si>
  <si>
    <t>90.2</t>
  </si>
  <si>
    <t>80.2</t>
  </si>
  <si>
    <t>80.1</t>
  </si>
  <si>
    <t>Proporcionalni ventil radnog kola</t>
  </si>
  <si>
    <t>Pilot ventil predupravljanja proporcionalnog razvodnika radnog kola</t>
  </si>
  <si>
    <t>Pilot ventil predupravljanja proporcionalnog razvodnika privodnog kola</t>
  </si>
  <si>
    <t>Proporcionalni ventil privodnog kola</t>
  </si>
  <si>
    <t>Elektromagnetski razvodnik brava</t>
  </si>
  <si>
    <t>Eletromagnetski ventil BZ-a električni</t>
  </si>
  <si>
    <t>Servisni ventil - 24 VDC</t>
  </si>
  <si>
    <t>24 VDC</t>
  </si>
  <si>
    <t>220 VDC</t>
  </si>
  <si>
    <t>Napon</t>
  </si>
  <si>
    <t>24 VDC ?</t>
  </si>
  <si>
    <t>220 VDC?</t>
  </si>
  <si>
    <t>izvodi za ispravljače</t>
  </si>
  <si>
    <t>OPIS</t>
  </si>
  <si>
    <t>MCB</t>
  </si>
  <si>
    <t>PLC 1</t>
  </si>
  <si>
    <t>PLC 2</t>
  </si>
  <si>
    <t>UPRAVLJANJE</t>
  </si>
  <si>
    <t>OPERATERSKI PANEL</t>
  </si>
  <si>
    <t>6 A/B</t>
  </si>
  <si>
    <t>2 A/B</t>
  </si>
  <si>
    <t>REZERVA</t>
  </si>
  <si>
    <t>10 A/B</t>
  </si>
  <si>
    <t>-F11</t>
  </si>
  <si>
    <t>-F12</t>
  </si>
  <si>
    <t>-F13</t>
  </si>
  <si>
    <t>-F14</t>
  </si>
  <si>
    <t>-F111</t>
  </si>
  <si>
    <t>-F112</t>
  </si>
  <si>
    <t>-F113</t>
  </si>
  <si>
    <t>-F114</t>
  </si>
  <si>
    <t>220/24 VDC PRETVARAČ 1</t>
  </si>
  <si>
    <t>220/24 VDC PRETVARAČ 2</t>
  </si>
  <si>
    <t>10 A/C</t>
  </si>
  <si>
    <t>-F15</t>
  </si>
  <si>
    <t>ANALOGNI SIGNALI</t>
  </si>
  <si>
    <t>VANJSKI DIGITALNI SIGNALI</t>
  </si>
  <si>
    <t>DIGITALNI ULAZI</t>
  </si>
  <si>
    <t>DIGITALNI IZLAZI</t>
  </si>
  <si>
    <t>ANALOGNI ULAZI/IZLAZI</t>
  </si>
  <si>
    <t>-F115</t>
  </si>
  <si>
    <t>-F116</t>
  </si>
  <si>
    <t>-F117</t>
  </si>
  <si>
    <t>-F118</t>
  </si>
  <si>
    <t>-F119</t>
  </si>
  <si>
    <t>-F120</t>
  </si>
  <si>
    <t>-F121</t>
  </si>
  <si>
    <t>UPRAVLJANJE - SUSTAV GLAVNOG ULJNO-ZRAČNOG SPREMNIKA</t>
  </si>
  <si>
    <t>UPRAVLJANJE - SUSTAV REZERVNOG ULJNO-ZRAČNOG SPREMNIKA</t>
  </si>
  <si>
    <t>-F16</t>
  </si>
  <si>
    <t>*Napomena: KKS ormara turbinske regulacije agregata B je +B CBC01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</si>
</sst>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 W&quot;"/>
  </numFmts>
  <fonts count="4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1" fillId="2" borderId="0" xfId="1"/>
    <xf numFmtId="164" fontId="0" fillId="3" borderId="0" xfId="0" applyNumberFormat="1" applyFill="1"/>
    <xf numFmtId="0" fontId="2" fillId="0" borderId="0" xfId="0" applyFont="1"/>
    <xf numFmtId="49" fontId="0" fillId="0" borderId="0" xfId="0" applyNumberFormat="1"/>
    <xf numFmtId="0" fontId="2" fillId="0" borderId="0" xfId="0" applyFont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2" xfId="0" applyNumberFormat="1" applyBorder="1" applyAlignment="1">
      <alignment horizontal="center"/>
    </xf>
  </cellXfs>
  <cellStyles count="2">
    <cellStyle name="Neutral" xfId="1" builtinId="28"/>
    <cellStyle name="Normal" xfId="0" builtinId="0"/>
  </cellStyles>
  <dxfs count="2">
    <dxf>
      <numFmt numFmtId="164" formatCode="0&quot; W&quot;"/>
    </dxf>
    <dxf>
      <numFmt numFmtId="164" formatCode="0&quot; W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14932D-D64F-4B3A-ACF4-911D67B38F98}" name="Table1" displayName="Table1" ref="A1:D15" totalsRowShown="0">
  <autoFilter ref="A1:D15" xr:uid="{C914932D-D64F-4B3A-ACF4-911D67B38F98}"/>
  <sortState xmlns:xlrd2="http://schemas.microsoft.com/office/spreadsheetml/2017/richdata2" ref="A2:D15">
    <sortCondition ref="D1:D15"/>
  </sortState>
  <tableColumns count="4">
    <tableColumn id="1" xr3:uid="{809078A1-23A6-409E-9C97-CF6DFC3E9DB3}" name="DT"/>
    <tableColumn id="2" xr3:uid="{5BE08728-8C41-4DCF-8428-E58CA99CDDB8}" name="Naziv"/>
    <tableColumn id="3" xr3:uid="{843D0252-522F-474B-AEDE-72016FB7F083}" name="Snaga" dataDxfId="1"/>
    <tableColumn id="4" xr3:uid="{D60AD2CA-62B5-4ABB-9EA0-62FEB063C706}" name="Nap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86A18-0BA7-4C7C-B089-EE218175E261}">
  <dimension ref="A1:G16"/>
  <sheetViews>
    <sheetView tabSelected="1" workbookViewId="0">
      <selection activeCell="B21" sqref="B21:B22"/>
    </sheetView>
  </sheetViews>
  <sheetFormatPr defaultRowHeight="15" x14ac:dyDescent="0.25"/>
  <cols>
    <col min="2" max="2" width="55.28515625" customWidth="1"/>
    <col min="5" max="5" width="9.140625" customWidth="1"/>
    <col min="6" max="6" width="60.85546875" bestFit="1" customWidth="1"/>
    <col min="7" max="7" width="9.140625" customWidth="1"/>
  </cols>
  <sheetData>
    <row r="1" spans="1:7" x14ac:dyDescent="0.25">
      <c r="A1" s="6" t="s">
        <v>21</v>
      </c>
      <c r="B1" s="6"/>
      <c r="C1" s="6"/>
      <c r="D1" s="4"/>
      <c r="E1" s="6" t="s">
        <v>22</v>
      </c>
      <c r="F1" s="6"/>
      <c r="G1" s="6"/>
    </row>
    <row r="2" spans="1:7" x14ac:dyDescent="0.25">
      <c r="A2" s="4" t="s">
        <v>0</v>
      </c>
      <c r="B2" s="4" t="s">
        <v>27</v>
      </c>
      <c r="C2" s="4" t="s">
        <v>28</v>
      </c>
      <c r="E2" s="4" t="s">
        <v>0</v>
      </c>
      <c r="F2" s="4" t="s">
        <v>27</v>
      </c>
      <c r="G2" s="4" t="s">
        <v>28</v>
      </c>
    </row>
    <row r="3" spans="1:7" x14ac:dyDescent="0.25">
      <c r="A3" s="5" t="s">
        <v>41</v>
      </c>
      <c r="B3" t="s">
        <v>29</v>
      </c>
      <c r="C3" t="s">
        <v>33</v>
      </c>
      <c r="E3" s="5" t="s">
        <v>37</v>
      </c>
      <c r="F3" t="s">
        <v>45</v>
      </c>
      <c r="G3" t="s">
        <v>47</v>
      </c>
    </row>
    <row r="4" spans="1:7" x14ac:dyDescent="0.25">
      <c r="A4" s="5" t="s">
        <v>42</v>
      </c>
      <c r="B4" t="s">
        <v>30</v>
      </c>
      <c r="C4" t="s">
        <v>33</v>
      </c>
      <c r="E4" s="5" t="s">
        <v>38</v>
      </c>
      <c r="F4" t="s">
        <v>46</v>
      </c>
      <c r="G4" t="s">
        <v>47</v>
      </c>
    </row>
    <row r="5" spans="1:7" x14ac:dyDescent="0.25">
      <c r="A5" s="5" t="s">
        <v>43</v>
      </c>
      <c r="B5" t="s">
        <v>51</v>
      </c>
      <c r="C5" t="s">
        <v>33</v>
      </c>
      <c r="E5" s="5" t="s">
        <v>39</v>
      </c>
      <c r="F5" t="s">
        <v>61</v>
      </c>
      <c r="G5" t="s">
        <v>33</v>
      </c>
    </row>
    <row r="6" spans="1:7" x14ac:dyDescent="0.25">
      <c r="A6" s="5" t="s">
        <v>44</v>
      </c>
      <c r="B6" t="s">
        <v>52</v>
      </c>
      <c r="C6" t="s">
        <v>33</v>
      </c>
      <c r="E6" s="5" t="s">
        <v>40</v>
      </c>
      <c r="F6" t="s">
        <v>62</v>
      </c>
      <c r="G6" t="s">
        <v>33</v>
      </c>
    </row>
    <row r="7" spans="1:7" x14ac:dyDescent="0.25">
      <c r="A7" s="5" t="s">
        <v>54</v>
      </c>
      <c r="B7" t="s">
        <v>53</v>
      </c>
      <c r="C7" t="s">
        <v>34</v>
      </c>
      <c r="E7" s="5" t="s">
        <v>48</v>
      </c>
      <c r="F7" t="s">
        <v>35</v>
      </c>
      <c r="G7" t="s">
        <v>33</v>
      </c>
    </row>
    <row r="8" spans="1:7" x14ac:dyDescent="0.25">
      <c r="A8" s="5" t="s">
        <v>55</v>
      </c>
      <c r="B8" t="s">
        <v>32</v>
      </c>
      <c r="C8" t="s">
        <v>33</v>
      </c>
      <c r="E8" s="5" t="s">
        <v>63</v>
      </c>
      <c r="F8" t="s">
        <v>35</v>
      </c>
      <c r="G8" t="s">
        <v>33</v>
      </c>
    </row>
    <row r="9" spans="1:7" x14ac:dyDescent="0.25">
      <c r="A9" s="5" t="s">
        <v>56</v>
      </c>
      <c r="B9" t="s">
        <v>50</v>
      </c>
      <c r="C9" t="s">
        <v>33</v>
      </c>
      <c r="E9" s="5"/>
    </row>
    <row r="10" spans="1:7" x14ac:dyDescent="0.25">
      <c r="A10" s="5" t="s">
        <v>57</v>
      </c>
      <c r="B10" t="s">
        <v>49</v>
      </c>
      <c r="C10" t="s">
        <v>34</v>
      </c>
      <c r="E10" s="5"/>
    </row>
    <row r="11" spans="1:7" x14ac:dyDescent="0.25">
      <c r="A11" s="5" t="s">
        <v>58</v>
      </c>
      <c r="B11" t="s">
        <v>31</v>
      </c>
      <c r="C11" t="s">
        <v>36</v>
      </c>
      <c r="E11" s="5"/>
    </row>
    <row r="12" spans="1:7" x14ac:dyDescent="0.25">
      <c r="A12" s="5" t="s">
        <v>59</v>
      </c>
      <c r="B12" t="s">
        <v>35</v>
      </c>
      <c r="C12" t="s">
        <v>33</v>
      </c>
      <c r="E12" s="5"/>
    </row>
    <row r="13" spans="1:7" x14ac:dyDescent="0.25">
      <c r="A13" s="5" t="s">
        <v>60</v>
      </c>
      <c r="B13" t="s">
        <v>35</v>
      </c>
      <c r="C13" t="s">
        <v>34</v>
      </c>
      <c r="E13" s="5"/>
    </row>
    <row r="14" spans="1:7" x14ac:dyDescent="0.25">
      <c r="A14" s="5"/>
      <c r="E14" s="5"/>
    </row>
    <row r="15" spans="1:7" x14ac:dyDescent="0.25">
      <c r="A15" s="5"/>
      <c r="E15" s="5"/>
    </row>
    <row r="16" spans="1:7" x14ac:dyDescent="0.25">
      <c r="A16" s="5" t="s">
        <v>64</v>
      </c>
    </row>
  </sheetData>
  <mergeCells count="2">
    <mergeCell ref="A1:C1"/>
    <mergeCell ref="E1:G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J15"/>
  <sheetViews>
    <sheetView zoomScale="130" zoomScaleNormal="130" workbookViewId="0">
      <selection activeCell="B28" sqref="B28"/>
    </sheetView>
  </sheetViews>
  <sheetFormatPr defaultRowHeight="15" x14ac:dyDescent="0.25"/>
  <cols>
    <col min="1" max="1" width="9.140625" customWidth="1"/>
    <col min="2" max="2" width="82.140625" customWidth="1"/>
    <col min="3" max="3" width="12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23</v>
      </c>
    </row>
    <row r="2" spans="1:10" x14ac:dyDescent="0.25">
      <c r="A2">
        <v>113</v>
      </c>
      <c r="B2" t="s">
        <v>20</v>
      </c>
      <c r="C2" s="3">
        <v>50</v>
      </c>
      <c r="D2" s="1" t="s">
        <v>22</v>
      </c>
      <c r="F2" s="7">
        <v>450</v>
      </c>
    </row>
    <row r="3" spans="1:10" x14ac:dyDescent="0.25">
      <c r="A3">
        <v>75</v>
      </c>
      <c r="B3" t="s">
        <v>8</v>
      </c>
      <c r="C3" s="3">
        <v>50</v>
      </c>
      <c r="D3" s="1" t="s">
        <v>25</v>
      </c>
      <c r="F3" s="8"/>
    </row>
    <row r="4" spans="1:10" x14ac:dyDescent="0.25">
      <c r="A4">
        <v>24</v>
      </c>
      <c r="B4" t="s">
        <v>9</v>
      </c>
      <c r="C4" s="3">
        <v>50</v>
      </c>
      <c r="D4" s="1" t="s">
        <v>25</v>
      </c>
      <c r="F4" s="8"/>
    </row>
    <row r="5" spans="1:10" x14ac:dyDescent="0.25">
      <c r="A5">
        <v>17</v>
      </c>
      <c r="B5" t="s">
        <v>10</v>
      </c>
      <c r="C5" s="3">
        <v>50</v>
      </c>
      <c r="D5" s="1" t="s">
        <v>25</v>
      </c>
      <c r="F5" s="8"/>
    </row>
    <row r="6" spans="1:10" x14ac:dyDescent="0.25">
      <c r="A6">
        <v>17</v>
      </c>
      <c r="B6" t="s">
        <v>10</v>
      </c>
      <c r="C6" s="3">
        <v>50</v>
      </c>
      <c r="D6" s="1" t="s">
        <v>25</v>
      </c>
      <c r="F6" s="8"/>
    </row>
    <row r="7" spans="1:10" x14ac:dyDescent="0.25">
      <c r="A7" t="s">
        <v>13</v>
      </c>
      <c r="B7" t="s">
        <v>15</v>
      </c>
      <c r="C7" s="3">
        <v>50</v>
      </c>
      <c r="D7" s="1" t="s">
        <v>25</v>
      </c>
      <c r="F7" s="8"/>
    </row>
    <row r="8" spans="1:10" x14ac:dyDescent="0.25">
      <c r="A8" s="2" t="s">
        <v>12</v>
      </c>
      <c r="B8" t="s">
        <v>14</v>
      </c>
      <c r="C8" s="3">
        <v>50</v>
      </c>
      <c r="D8" s="1" t="s">
        <v>25</v>
      </c>
      <c r="F8" s="8"/>
    </row>
    <row r="9" spans="1:10" x14ac:dyDescent="0.25">
      <c r="A9" t="s">
        <v>3</v>
      </c>
      <c r="B9" t="s">
        <v>16</v>
      </c>
      <c r="C9" s="3">
        <v>50</v>
      </c>
      <c r="D9" s="1" t="s">
        <v>25</v>
      </c>
      <c r="F9" s="8"/>
    </row>
    <row r="10" spans="1:10" x14ac:dyDescent="0.25">
      <c r="A10" s="2" t="s">
        <v>11</v>
      </c>
      <c r="B10" t="s">
        <v>17</v>
      </c>
      <c r="C10" s="3">
        <v>50</v>
      </c>
      <c r="D10" s="1" t="s">
        <v>25</v>
      </c>
      <c r="F10" s="9"/>
      <c r="G10">
        <f>F2/220</f>
        <v>2.0454545454545454</v>
      </c>
      <c r="J10" t="s">
        <v>26</v>
      </c>
    </row>
    <row r="11" spans="1:10" x14ac:dyDescent="0.25">
      <c r="A11" t="s">
        <v>4</v>
      </c>
      <c r="B11" t="s">
        <v>18</v>
      </c>
      <c r="C11" s="1">
        <v>28</v>
      </c>
      <c r="D11" s="1" t="s">
        <v>21</v>
      </c>
      <c r="F11" s="7">
        <v>140</v>
      </c>
    </row>
    <row r="12" spans="1:10" x14ac:dyDescent="0.25">
      <c r="A12" t="s">
        <v>5</v>
      </c>
      <c r="B12" t="s">
        <v>19</v>
      </c>
      <c r="C12" s="1">
        <v>28</v>
      </c>
      <c r="D12" s="1" t="s">
        <v>21</v>
      </c>
      <c r="F12" s="8"/>
    </row>
    <row r="13" spans="1:10" x14ac:dyDescent="0.25">
      <c r="A13" t="s">
        <v>6</v>
      </c>
      <c r="B13" t="s">
        <v>19</v>
      </c>
      <c r="C13" s="1">
        <v>28</v>
      </c>
      <c r="D13" s="1" t="s">
        <v>21</v>
      </c>
      <c r="F13" s="8"/>
    </row>
    <row r="14" spans="1:10" x14ac:dyDescent="0.25">
      <c r="A14">
        <v>70</v>
      </c>
      <c r="B14" t="s">
        <v>7</v>
      </c>
      <c r="C14" s="1">
        <v>28</v>
      </c>
      <c r="D14" s="1" t="s">
        <v>24</v>
      </c>
      <c r="F14" s="8"/>
    </row>
    <row r="15" spans="1:10" x14ac:dyDescent="0.25">
      <c r="A15">
        <v>62</v>
      </c>
      <c r="B15" t="s">
        <v>7</v>
      </c>
      <c r="C15" s="1">
        <v>28</v>
      </c>
      <c r="D15" s="1" t="s">
        <v>24</v>
      </c>
      <c r="F15" s="9"/>
      <c r="G15">
        <f>F11/24</f>
        <v>5.833333333333333</v>
      </c>
    </row>
  </sheetData>
  <mergeCells count="2">
    <mergeCell ref="F2:F10"/>
    <mergeCell ref="F11:F15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POPIS IZVODA</vt:lpstr>
      <vt:lpstr>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</dc:creator>
  <cp:lastModifiedBy>Tamara Trogrlić</cp:lastModifiedBy>
  <dcterms:created xsi:type="dcterms:W3CDTF">2015-06-05T18:17:20Z</dcterms:created>
  <dcterms:modified xsi:type="dcterms:W3CDTF">2026-05-08T09:18:18Z</dcterms:modified>
</cp:coreProperties>
</file>